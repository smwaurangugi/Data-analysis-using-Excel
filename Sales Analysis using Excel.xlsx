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drawings/drawing11.xml" ContentType="application/vnd.openxmlformats-officedocument.drawing+xml"/>
  <Override PartName="/xl/slicers/slicer10.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Administrator\Desktop\Lux dev\"/>
    </mc:Choice>
  </mc:AlternateContent>
  <xr:revisionPtr revIDLastSave="0" documentId="13_ncr:1_{46A2F4E2-826B-46B8-89B8-56D5FFBAC624}" xr6:coauthVersionLast="47" xr6:coauthVersionMax="47" xr10:uidLastSave="{00000000-0000-0000-0000-000000000000}"/>
  <bookViews>
    <workbookView xWindow="28680" yWindow="-120" windowWidth="29040" windowHeight="15720" activeTab="4" xr2:uid="{00000000-000D-0000-FFFF-FFFF00000000}"/>
  </bookViews>
  <sheets>
    <sheet name="Orders_per_month" sheetId="3" r:id="rId1"/>
    <sheet name="Gross_profit_by_SP" sheetId="4" r:id="rId2"/>
    <sheet name="OnlineVsRetail" sheetId="5" r:id="rId3"/>
    <sheet name="PCT_of_7day_Lead_time" sheetId="7" r:id="rId4"/>
    <sheet name="Dashboard" sheetId="8" r:id="rId5"/>
    <sheet name="Disc greater than 20%" sheetId="11" r:id="rId6"/>
    <sheet name="Revenue_By_Country" sheetId="17" r:id="rId7"/>
    <sheet name="Total Revenue by Region" sheetId="18" r:id="rId8"/>
    <sheet name="Total Revenue by channel" sheetId="19" r:id="rId9"/>
    <sheet name="Total Revenue by category" sheetId="20" r:id="rId10"/>
    <sheet name="Total orders per month" sheetId="21" r:id="rId11"/>
    <sheet name="Total revenue by sales person" sheetId="22" r:id="rId12"/>
    <sheet name="Data" sheetId="1" r:id="rId13"/>
    <sheet name="Cohort_Analysis" sheetId="25" r:id="rId14"/>
    <sheet name="Brief" sheetId="2" r:id="rId15"/>
    <sheet name="Scenario_Analysis" sheetId="12" r:id="rId16"/>
    <sheet name="Sheet7" sheetId="13" r:id="rId17"/>
  </sheets>
  <definedNames>
    <definedName name="_xlnm._FilterDatabase" localSheetId="12" hidden="1">Data!$A$1:$X$631</definedName>
    <definedName name="_xlchart.v1.0" hidden="1">Data!$P$1</definedName>
    <definedName name="_xlchart.v1.1" hidden="1">Data!$P$2:$P$665</definedName>
    <definedName name="Slicer_Channel">#N/A</definedName>
    <definedName name="Slicer_Channel1">#N/A</definedName>
    <definedName name="Slicer_Country">#N/A</definedName>
    <definedName name="Slicer_OrderDate">#N/A</definedName>
    <definedName name="Slicer_OrderDate2">#N/A</definedName>
    <definedName name="Slicer_ProductCategory">#N/A</definedName>
    <definedName name="Slicer_Region">#N/A</definedName>
    <definedName name="Slicer_Salesperson">#N/A</definedName>
    <definedName name="Slicer_Salesperson1">#N/A</definedName>
    <definedName name="Slicer_SKU">#N/A</definedName>
  </definedNames>
  <calcPr calcId="191029"/>
  <pivotCaches>
    <pivotCache cacheId="0" r:id="rId18"/>
    <pivotCache cacheId="1" r:id="rId19"/>
    <pivotCache cacheId="2" r:id="rId20"/>
    <pivotCache cacheId="3"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5" l="1" a="1"/>
  <c r="F5" i="25" s="1"/>
  <c r="D3" i="1"/>
  <c r="AE3" i="1" s="1"/>
  <c r="E3" i="1"/>
  <c r="Q3" i="1"/>
  <c r="S3" i="1"/>
  <c r="T3" i="1"/>
  <c r="U3" i="1"/>
  <c r="V3" i="1"/>
  <c r="W3" i="1"/>
  <c r="X3" i="1" a="1"/>
  <c r="X3" i="1"/>
  <c r="Y3" i="1"/>
  <c r="Z3" i="1" s="1"/>
  <c r="AA3" i="1"/>
  <c r="AB3" i="1" s="1"/>
  <c r="AG3" i="1"/>
  <c r="AH3" i="1"/>
  <c r="AI3" i="1"/>
  <c r="AJ3" i="1" s="1"/>
  <c r="AK3" i="1"/>
  <c r="AL3" i="1"/>
  <c r="AM3" i="1"/>
  <c r="D4" i="1"/>
  <c r="E4" i="1"/>
  <c r="Q4" i="1"/>
  <c r="AH4" i="1" s="1"/>
  <c r="S4" i="1"/>
  <c r="T4" i="1"/>
  <c r="U4" i="1"/>
  <c r="V4" i="1"/>
  <c r="W4" i="1" s="1"/>
  <c r="X4" i="1" a="1"/>
  <c r="X4" i="1"/>
  <c r="Y4" i="1"/>
  <c r="Z4" i="1"/>
  <c r="AA4" i="1"/>
  <c r="AB4" i="1" s="1"/>
  <c r="AC4" i="1"/>
  <c r="AN4" i="1" s="1" a="1"/>
  <c r="AN4" i="1" s="1"/>
  <c r="AD4" i="1"/>
  <c r="AE4" i="1"/>
  <c r="AG4" i="1"/>
  <c r="AI4" i="1"/>
  <c r="AJ4" i="1" s="1"/>
  <c r="AK4" i="1"/>
  <c r="AL4" i="1"/>
  <c r="AM4" i="1"/>
  <c r="D5" i="1"/>
  <c r="E5" i="1"/>
  <c r="Q5" i="1"/>
  <c r="AH5" i="1" s="1"/>
  <c r="S5" i="1"/>
  <c r="X5" i="1" s="1" a="1"/>
  <c r="X5" i="1" s="1"/>
  <c r="T5" i="1"/>
  <c r="U5" i="1"/>
  <c r="V5" i="1" s="1"/>
  <c r="W5" i="1" s="1"/>
  <c r="Y5" i="1"/>
  <c r="Z5" i="1"/>
  <c r="AA5" i="1"/>
  <c r="AB5" i="1" s="1"/>
  <c r="AE5" i="1"/>
  <c r="AG5" i="1"/>
  <c r="AI5" i="1"/>
  <c r="AJ5" i="1"/>
  <c r="AK5" i="1"/>
  <c r="AL5" i="1"/>
  <c r="AM5" i="1"/>
  <c r="D6" i="1"/>
  <c r="AE6" i="1" s="1"/>
  <c r="E6" i="1"/>
  <c r="Q6" i="1"/>
  <c r="AH6" i="1" s="1"/>
  <c r="S6" i="1"/>
  <c r="T6" i="1"/>
  <c r="U6" i="1"/>
  <c r="V6" i="1"/>
  <c r="W6" i="1" s="1"/>
  <c r="X6" i="1" a="1"/>
  <c r="X6" i="1" s="1"/>
  <c r="Y6" i="1"/>
  <c r="Z6" i="1" s="1"/>
  <c r="AA6" i="1"/>
  <c r="AB6" i="1" s="1"/>
  <c r="AG6" i="1"/>
  <c r="AI6" i="1"/>
  <c r="AJ6" i="1" s="1"/>
  <c r="AK6" i="1"/>
  <c r="AL6" i="1"/>
  <c r="AM6" i="1" s="1"/>
  <c r="D7" i="1"/>
  <c r="AE7" i="1" s="1"/>
  <c r="E7" i="1"/>
  <c r="Q7" i="1"/>
  <c r="S7" i="1"/>
  <c r="T7" i="1"/>
  <c r="U7" i="1"/>
  <c r="V7" i="1" s="1"/>
  <c r="W7" i="1" s="1"/>
  <c r="X7" i="1" a="1"/>
  <c r="X7" i="1" s="1"/>
  <c r="Y7" i="1"/>
  <c r="Z7" i="1" s="1"/>
  <c r="AA7" i="1"/>
  <c r="AB7" i="1" s="1"/>
  <c r="AG7" i="1"/>
  <c r="AH7" i="1"/>
  <c r="AI7" i="1"/>
  <c r="AJ7" i="1"/>
  <c r="AK7" i="1"/>
  <c r="AL7" i="1"/>
  <c r="AM7" i="1"/>
  <c r="D8" i="1"/>
  <c r="E8" i="1"/>
  <c r="Q8" i="1"/>
  <c r="S8" i="1"/>
  <c r="X8" i="1" s="1" a="1"/>
  <c r="X8" i="1" s="1"/>
  <c r="T8" i="1"/>
  <c r="U8" i="1"/>
  <c r="Y8" i="1"/>
  <c r="Z8" i="1"/>
  <c r="AA8" i="1"/>
  <c r="AB8" i="1" s="1"/>
  <c r="AC8" i="1"/>
  <c r="AN8" i="1" s="1" a="1"/>
  <c r="AN8" i="1" s="1"/>
  <c r="AD8" i="1"/>
  <c r="AE8" i="1"/>
  <c r="AG8" i="1"/>
  <c r="AH8" i="1"/>
  <c r="AI8" i="1"/>
  <c r="AJ8" i="1"/>
  <c r="AK8" i="1"/>
  <c r="AL8" i="1"/>
  <c r="AM8" i="1"/>
  <c r="D9" i="1"/>
  <c r="E9" i="1"/>
  <c r="Q9" i="1"/>
  <c r="S9" i="1"/>
  <c r="T9" i="1"/>
  <c r="V9" i="1" s="1"/>
  <c r="W9" i="1" s="1"/>
  <c r="U9" i="1"/>
  <c r="Y9" i="1"/>
  <c r="Z9" i="1"/>
  <c r="AA9" i="1"/>
  <c r="AB9" i="1"/>
  <c r="AB10" i="1" s="1"/>
  <c r="AD9" i="1"/>
  <c r="AE9" i="1"/>
  <c r="AG9" i="1"/>
  <c r="AH9" i="1"/>
  <c r="AI9" i="1"/>
  <c r="AJ9" i="1" s="1"/>
  <c r="AK9" i="1"/>
  <c r="AL9" i="1"/>
  <c r="AM9" i="1" s="1"/>
  <c r="D10" i="1"/>
  <c r="E10" i="1"/>
  <c r="Q10" i="1"/>
  <c r="AH10" i="1" s="1"/>
  <c r="S10" i="1"/>
  <c r="X10" i="1" s="1" a="1"/>
  <c r="X10" i="1" s="1"/>
  <c r="T10" i="1"/>
  <c r="V10" i="1" s="1"/>
  <c r="W10" i="1" s="1"/>
  <c r="U10" i="1"/>
  <c r="Y10" i="1"/>
  <c r="Z10" i="1"/>
  <c r="AA10" i="1"/>
  <c r="AE10" i="1"/>
  <c r="AG10" i="1"/>
  <c r="AI10" i="1"/>
  <c r="AJ10" i="1" s="1"/>
  <c r="AK10" i="1"/>
  <c r="AL10" i="1"/>
  <c r="AM10" i="1"/>
  <c r="D11" i="1"/>
  <c r="AE11" i="1" s="1"/>
  <c r="E11" i="1"/>
  <c r="Q11" i="1"/>
  <c r="S11" i="1"/>
  <c r="T11" i="1"/>
  <c r="U11" i="1"/>
  <c r="V11" i="1" s="1"/>
  <c r="W11" i="1"/>
  <c r="X11" i="1" a="1"/>
  <c r="X11" i="1"/>
  <c r="Y11" i="1"/>
  <c r="Z11" i="1"/>
  <c r="AA11" i="1"/>
  <c r="AG11" i="1"/>
  <c r="AH11" i="1"/>
  <c r="AI11" i="1"/>
  <c r="AJ11" i="1"/>
  <c r="AK11" i="1"/>
  <c r="AL11" i="1"/>
  <c r="AM11" i="1"/>
  <c r="D12" i="1"/>
  <c r="E12" i="1"/>
  <c r="Q12" i="1"/>
  <c r="S12" i="1"/>
  <c r="T12" i="1"/>
  <c r="V12" i="1" s="1"/>
  <c r="W12" i="1" s="1"/>
  <c r="U12" i="1"/>
  <c r="X12" i="1" a="1"/>
  <c r="X12" i="1"/>
  <c r="Y12" i="1"/>
  <c r="Z12" i="1"/>
  <c r="AA12" i="1"/>
  <c r="AE12" i="1"/>
  <c r="AG12" i="1"/>
  <c r="AH12" i="1"/>
  <c r="AI12" i="1"/>
  <c r="AJ12" i="1"/>
  <c r="AK12" i="1"/>
  <c r="AL12" i="1"/>
  <c r="AM12" i="1" s="1"/>
  <c r="D13" i="1"/>
  <c r="E13" i="1"/>
  <c r="Q13" i="1"/>
  <c r="AH13" i="1" s="1"/>
  <c r="S13" i="1"/>
  <c r="T13" i="1"/>
  <c r="U13" i="1"/>
  <c r="V13" i="1"/>
  <c r="W13" i="1"/>
  <c r="X13" i="1" a="1"/>
  <c r="X13" i="1" s="1"/>
  <c r="Y13" i="1"/>
  <c r="Z13" i="1"/>
  <c r="AA13" i="1"/>
  <c r="AB13" i="1"/>
  <c r="AD13" i="1" s="1"/>
  <c r="AC13" i="1"/>
  <c r="AE13" i="1"/>
  <c r="AG13" i="1"/>
  <c r="AI13" i="1"/>
  <c r="AJ13" i="1" s="1"/>
  <c r="AK13" i="1"/>
  <c r="AL13" i="1"/>
  <c r="AM13" i="1" s="1"/>
  <c r="AN13" i="1" a="1"/>
  <c r="AN13" i="1" s="1"/>
  <c r="D14" i="1"/>
  <c r="E14" i="1"/>
  <c r="Q14" i="1"/>
  <c r="AH14" i="1" s="1"/>
  <c r="S14" i="1"/>
  <c r="X14" i="1" s="1" a="1"/>
  <c r="X14" i="1" s="1"/>
  <c r="T14" i="1"/>
  <c r="V14" i="1" s="1"/>
  <c r="W14" i="1" s="1"/>
  <c r="U14" i="1"/>
  <c r="Y14" i="1"/>
  <c r="Z14" i="1"/>
  <c r="AA14" i="1"/>
  <c r="AB14" i="1"/>
  <c r="AC14" i="1" s="1"/>
  <c r="AN14" i="1" s="1" a="1"/>
  <c r="AN14" i="1" s="1"/>
  <c r="AE14" i="1"/>
  <c r="AG14" i="1"/>
  <c r="AI14" i="1"/>
  <c r="AJ14" i="1" s="1"/>
  <c r="AK14" i="1"/>
  <c r="AL14" i="1"/>
  <c r="AM14" i="1"/>
  <c r="D15" i="1"/>
  <c r="AE15" i="1" s="1"/>
  <c r="E15" i="1"/>
  <c r="Q15" i="1"/>
  <c r="S15" i="1"/>
  <c r="T15" i="1"/>
  <c r="V15" i="1" s="1"/>
  <c r="W15" i="1" s="1"/>
  <c r="U15" i="1"/>
  <c r="X15" i="1" a="1"/>
  <c r="X15" i="1" s="1"/>
  <c r="Y15" i="1"/>
  <c r="Z15" i="1"/>
  <c r="AA15" i="1"/>
  <c r="AG15" i="1"/>
  <c r="AH15" i="1"/>
  <c r="AI15" i="1"/>
  <c r="AJ15" i="1" s="1"/>
  <c r="AK15" i="1"/>
  <c r="AL15" i="1"/>
  <c r="AM15" i="1" s="1"/>
  <c r="D16" i="1"/>
  <c r="E16" i="1"/>
  <c r="Q16" i="1"/>
  <c r="S16" i="1"/>
  <c r="T16" i="1"/>
  <c r="U16" i="1"/>
  <c r="V16" i="1" s="1"/>
  <c r="W16" i="1" s="1"/>
  <c r="X16" i="1" a="1"/>
  <c r="X16" i="1" s="1"/>
  <c r="Y16" i="1"/>
  <c r="Z16" i="1"/>
  <c r="AA16" i="1"/>
  <c r="AE16" i="1"/>
  <c r="AG16" i="1"/>
  <c r="AH16" i="1"/>
  <c r="AI16" i="1"/>
  <c r="AJ16" i="1" s="1"/>
  <c r="AK16" i="1"/>
  <c r="AL16" i="1"/>
  <c r="AM16" i="1" s="1"/>
  <c r="D17" i="1"/>
  <c r="E17" i="1"/>
  <c r="Q17" i="1"/>
  <c r="S17" i="1"/>
  <c r="T17" i="1"/>
  <c r="V17" i="1" s="1"/>
  <c r="W17" i="1" s="1"/>
  <c r="U17" i="1"/>
  <c r="X17" i="1" a="1"/>
  <c r="X17" i="1" s="1"/>
  <c r="Y17" i="1"/>
  <c r="Z17" i="1"/>
  <c r="AA17" i="1"/>
  <c r="AE17" i="1"/>
  <c r="AG17" i="1"/>
  <c r="AH17" i="1"/>
  <c r="AI17" i="1"/>
  <c r="AJ17" i="1" s="1"/>
  <c r="AK17" i="1"/>
  <c r="AL17" i="1"/>
  <c r="AM17" i="1" s="1"/>
  <c r="D18" i="1"/>
  <c r="E18" i="1"/>
  <c r="Q18" i="1"/>
  <c r="AH18" i="1" s="1"/>
  <c r="S18" i="1"/>
  <c r="X18" i="1" s="1" a="1"/>
  <c r="X18" i="1" s="1"/>
  <c r="T18" i="1"/>
  <c r="U18" i="1"/>
  <c r="Y18" i="1"/>
  <c r="Z18" i="1"/>
  <c r="AA18" i="1"/>
  <c r="AE18" i="1"/>
  <c r="AG18" i="1"/>
  <c r="AI18" i="1"/>
  <c r="AJ18" i="1" s="1"/>
  <c r="AK18" i="1"/>
  <c r="AL18" i="1"/>
  <c r="AM18" i="1" s="1"/>
  <c r="D19" i="1"/>
  <c r="AE19" i="1" s="1"/>
  <c r="E19" i="1"/>
  <c r="Q19" i="1"/>
  <c r="AH19" i="1" s="1"/>
  <c r="S19" i="1"/>
  <c r="T19" i="1"/>
  <c r="V19" i="1" s="1"/>
  <c r="W19" i="1" s="1"/>
  <c r="U19" i="1"/>
  <c r="X19" i="1" a="1"/>
  <c r="X19" i="1"/>
  <c r="Y19" i="1"/>
  <c r="Z19" i="1"/>
  <c r="AA19" i="1"/>
  <c r="AG19" i="1"/>
  <c r="AI19" i="1"/>
  <c r="AJ19" i="1"/>
  <c r="AK19" i="1"/>
  <c r="AL19" i="1"/>
  <c r="AM19" i="1"/>
  <c r="D20" i="1"/>
  <c r="E20" i="1"/>
  <c r="Q20" i="1"/>
  <c r="S20" i="1"/>
  <c r="T20" i="1"/>
  <c r="U20" i="1"/>
  <c r="V20" i="1"/>
  <c r="W20" i="1" s="1"/>
  <c r="X20" i="1" a="1"/>
  <c r="X20" i="1" s="1"/>
  <c r="Y20" i="1"/>
  <c r="Z20" i="1"/>
  <c r="AA20" i="1"/>
  <c r="AE20" i="1"/>
  <c r="AG20" i="1"/>
  <c r="AH20" i="1"/>
  <c r="AI20" i="1"/>
  <c r="AJ20" i="1" s="1"/>
  <c r="AK20" i="1"/>
  <c r="AL20" i="1"/>
  <c r="AM20" i="1" s="1"/>
  <c r="D22" i="1"/>
  <c r="E22" i="1"/>
  <c r="Q22" i="1"/>
  <c r="AH22" i="1" s="1"/>
  <c r="S22" i="1"/>
  <c r="X22" i="1" s="1" a="1"/>
  <c r="X22" i="1" s="1"/>
  <c r="T22" i="1"/>
  <c r="V22" i="1" s="1"/>
  <c r="W22" i="1" s="1"/>
  <c r="U22" i="1"/>
  <c r="Y22" i="1"/>
  <c r="Z22" i="1"/>
  <c r="AA22" i="1"/>
  <c r="AE22" i="1"/>
  <c r="AG22" i="1"/>
  <c r="AI22" i="1"/>
  <c r="AJ22" i="1" s="1"/>
  <c r="AK22" i="1"/>
  <c r="AL22" i="1"/>
  <c r="AM22" i="1" s="1"/>
  <c r="D23" i="1"/>
  <c r="E23" i="1"/>
  <c r="Q23" i="1"/>
  <c r="AH23" i="1" s="1"/>
  <c r="S23" i="1"/>
  <c r="X23" i="1" s="1" a="1"/>
  <c r="X23" i="1" s="1"/>
  <c r="T23" i="1"/>
  <c r="V23" i="1" s="1"/>
  <c r="W23" i="1" s="1"/>
  <c r="U23" i="1"/>
  <c r="Y23" i="1"/>
  <c r="Z23" i="1" s="1"/>
  <c r="AA23" i="1"/>
  <c r="AE23" i="1"/>
  <c r="AG23" i="1"/>
  <c r="AI23" i="1"/>
  <c r="AJ23" i="1" s="1"/>
  <c r="AK23" i="1"/>
  <c r="AL23" i="1"/>
  <c r="AM23" i="1"/>
  <c r="D24" i="1"/>
  <c r="AE24" i="1" s="1"/>
  <c r="E24" i="1"/>
  <c r="Q24" i="1"/>
  <c r="AH24" i="1" s="1"/>
  <c r="S24" i="1"/>
  <c r="T24" i="1"/>
  <c r="V24" i="1" s="1"/>
  <c r="U24" i="1"/>
  <c r="W24" i="1"/>
  <c r="X24" i="1" a="1"/>
  <c r="X24" i="1" s="1"/>
  <c r="Y24" i="1"/>
  <c r="Z24" i="1" s="1"/>
  <c r="AA24" i="1"/>
  <c r="AG24" i="1"/>
  <c r="AI24" i="1"/>
  <c r="AJ24" i="1"/>
  <c r="AK24" i="1"/>
  <c r="AL24" i="1"/>
  <c r="AM24" i="1" s="1"/>
  <c r="D25" i="1"/>
  <c r="E25" i="1"/>
  <c r="Q25" i="1"/>
  <c r="S25" i="1"/>
  <c r="T25" i="1"/>
  <c r="V25" i="1" s="1"/>
  <c r="W25" i="1" s="1"/>
  <c r="U25" i="1"/>
  <c r="X25" i="1" a="1"/>
  <c r="X25" i="1" s="1"/>
  <c r="Y25" i="1"/>
  <c r="Z25" i="1" s="1"/>
  <c r="AA25" i="1"/>
  <c r="AE25" i="1"/>
  <c r="AG25" i="1"/>
  <c r="AH25" i="1"/>
  <c r="AI25" i="1"/>
  <c r="AJ25" i="1"/>
  <c r="AK25" i="1"/>
  <c r="AL25" i="1"/>
  <c r="AM25" i="1" s="1"/>
  <c r="D26" i="1"/>
  <c r="E26" i="1"/>
  <c r="Q26" i="1"/>
  <c r="S26" i="1"/>
  <c r="T26" i="1"/>
  <c r="U26" i="1"/>
  <c r="V26" i="1" s="1"/>
  <c r="W26" i="1" s="1"/>
  <c r="X26" i="1" a="1"/>
  <c r="X26" i="1" s="1"/>
  <c r="Y26" i="1"/>
  <c r="Z26" i="1"/>
  <c r="AA26" i="1"/>
  <c r="AE26" i="1"/>
  <c r="AG26" i="1"/>
  <c r="AH26" i="1"/>
  <c r="AI26" i="1"/>
  <c r="AJ26" i="1" s="1"/>
  <c r="AK26" i="1"/>
  <c r="AL26" i="1"/>
  <c r="AM26" i="1" s="1"/>
  <c r="D27" i="1"/>
  <c r="E27" i="1"/>
  <c r="Q27" i="1"/>
  <c r="AH27" i="1" s="1"/>
  <c r="S27" i="1"/>
  <c r="X27" i="1" s="1" a="1"/>
  <c r="X27" i="1" s="1"/>
  <c r="T27" i="1"/>
  <c r="V27" i="1" s="1"/>
  <c r="W27" i="1" s="1"/>
  <c r="U27" i="1"/>
  <c r="Y27" i="1"/>
  <c r="Z27" i="1"/>
  <c r="AA27" i="1"/>
  <c r="AE27" i="1"/>
  <c r="AG27" i="1"/>
  <c r="AI27" i="1"/>
  <c r="AJ27" i="1" s="1"/>
  <c r="AK27" i="1"/>
  <c r="AL27" i="1"/>
  <c r="AM27" i="1"/>
  <c r="D28" i="1"/>
  <c r="AE28" i="1" s="1"/>
  <c r="E28" i="1"/>
  <c r="Q28" i="1"/>
  <c r="AH28" i="1" s="1"/>
  <c r="S28" i="1"/>
  <c r="T28" i="1"/>
  <c r="V28" i="1" s="1"/>
  <c r="U28" i="1"/>
  <c r="W28" i="1"/>
  <c r="X28" i="1" a="1"/>
  <c r="X28" i="1" s="1"/>
  <c r="Y28" i="1"/>
  <c r="Z28" i="1" s="1"/>
  <c r="AA28" i="1"/>
  <c r="AG28" i="1"/>
  <c r="AI28" i="1"/>
  <c r="AJ28" i="1" s="1"/>
  <c r="AK28" i="1"/>
  <c r="AL28" i="1"/>
  <c r="AM28" i="1"/>
  <c r="D29" i="1"/>
  <c r="E29" i="1"/>
  <c r="Q29" i="1"/>
  <c r="S29" i="1"/>
  <c r="T29" i="1"/>
  <c r="U29" i="1"/>
  <c r="V29" i="1" s="1"/>
  <c r="W29" i="1" s="1"/>
  <c r="X29" i="1" a="1"/>
  <c r="X29" i="1"/>
  <c r="Y29" i="1"/>
  <c r="Z29" i="1"/>
  <c r="AA29" i="1"/>
  <c r="AE29" i="1"/>
  <c r="AG29" i="1"/>
  <c r="AH29" i="1"/>
  <c r="AI29" i="1"/>
  <c r="AJ29" i="1" s="1"/>
  <c r="AK29" i="1"/>
  <c r="AL29" i="1"/>
  <c r="AM29" i="1" s="1"/>
  <c r="D30" i="1"/>
  <c r="E30" i="1"/>
  <c r="Q30" i="1"/>
  <c r="S30" i="1"/>
  <c r="T30" i="1"/>
  <c r="U30" i="1"/>
  <c r="V30" i="1" s="1"/>
  <c r="W30" i="1" s="1"/>
  <c r="X30" i="1" a="1"/>
  <c r="X30" i="1" s="1"/>
  <c r="Y30" i="1"/>
  <c r="Z30" i="1"/>
  <c r="AA30" i="1"/>
  <c r="AE30" i="1"/>
  <c r="AG30" i="1"/>
  <c r="AH30" i="1"/>
  <c r="AI30" i="1"/>
  <c r="AJ30" i="1" s="1"/>
  <c r="AK30" i="1"/>
  <c r="AL30" i="1"/>
  <c r="AM30" i="1" s="1"/>
  <c r="D31" i="1"/>
  <c r="E31" i="1"/>
  <c r="Q31" i="1"/>
  <c r="AH31" i="1" s="1"/>
  <c r="S31" i="1"/>
  <c r="X31" i="1" s="1" a="1"/>
  <c r="X31" i="1" s="1"/>
  <c r="T31" i="1"/>
  <c r="V31" i="1" s="1"/>
  <c r="W31" i="1" s="1"/>
  <c r="U31" i="1"/>
  <c r="Y31" i="1"/>
  <c r="Z31" i="1" s="1"/>
  <c r="AA31" i="1"/>
  <c r="AE31" i="1"/>
  <c r="AG31" i="1"/>
  <c r="AI31" i="1"/>
  <c r="AJ31" i="1" s="1"/>
  <c r="AK31" i="1"/>
  <c r="AL31" i="1"/>
  <c r="AM31" i="1"/>
  <c r="D32" i="1"/>
  <c r="AE32" i="1" s="1"/>
  <c r="E32" i="1"/>
  <c r="Q32" i="1"/>
  <c r="AH32" i="1" s="1"/>
  <c r="S32" i="1"/>
  <c r="T32" i="1"/>
  <c r="V32" i="1" s="1"/>
  <c r="W32" i="1" s="1"/>
  <c r="U32" i="1"/>
  <c r="X32" i="1" a="1"/>
  <c r="X32" i="1"/>
  <c r="Y32" i="1"/>
  <c r="Z32" i="1" s="1"/>
  <c r="AA32" i="1"/>
  <c r="AG32" i="1"/>
  <c r="AI32" i="1"/>
  <c r="AJ32" i="1" s="1"/>
  <c r="AK32" i="1"/>
  <c r="AL32" i="1"/>
  <c r="AM32" i="1"/>
  <c r="D34" i="1"/>
  <c r="E34" i="1"/>
  <c r="Q34" i="1"/>
  <c r="S34" i="1"/>
  <c r="T34" i="1"/>
  <c r="U34" i="1"/>
  <c r="V34" i="1"/>
  <c r="W34" i="1"/>
  <c r="X34" i="1" a="1"/>
  <c r="X34" i="1" s="1"/>
  <c r="Y34" i="1"/>
  <c r="Z34" i="1" s="1"/>
  <c r="AA34" i="1"/>
  <c r="AE34" i="1"/>
  <c r="AG34" i="1"/>
  <c r="AH34" i="1"/>
  <c r="AI34" i="1"/>
  <c r="AJ34" i="1"/>
  <c r="AK34" i="1"/>
  <c r="AL34" i="1"/>
  <c r="AM34" i="1" s="1"/>
  <c r="D35" i="1"/>
  <c r="E35" i="1"/>
  <c r="Q35" i="1"/>
  <c r="S35" i="1"/>
  <c r="T35" i="1"/>
  <c r="V35" i="1" s="1"/>
  <c r="W35" i="1" s="1"/>
  <c r="U35" i="1"/>
  <c r="X35" i="1" a="1"/>
  <c r="X35" i="1" s="1"/>
  <c r="Y35" i="1"/>
  <c r="Z35" i="1"/>
  <c r="AA35" i="1"/>
  <c r="AE35" i="1"/>
  <c r="AG35" i="1"/>
  <c r="AH35" i="1"/>
  <c r="AI35" i="1"/>
  <c r="AJ35" i="1" s="1"/>
  <c r="AK35" i="1"/>
  <c r="AL35" i="1"/>
  <c r="AM35" i="1" s="1"/>
  <c r="D36" i="1"/>
  <c r="AE36" i="1" s="1"/>
  <c r="E36" i="1"/>
  <c r="Q36" i="1"/>
  <c r="AH36" i="1" s="1"/>
  <c r="S36" i="1"/>
  <c r="X36" i="1" s="1" a="1"/>
  <c r="X36" i="1" s="1"/>
  <c r="T36" i="1"/>
  <c r="U36" i="1"/>
  <c r="Y36" i="1"/>
  <c r="Z36" i="1" s="1"/>
  <c r="AA36" i="1"/>
  <c r="AG36" i="1"/>
  <c r="AI36" i="1"/>
  <c r="AJ36" i="1" s="1"/>
  <c r="AK36" i="1"/>
  <c r="AL36" i="1"/>
  <c r="AM36" i="1"/>
  <c r="D37" i="1"/>
  <c r="AE37" i="1" s="1"/>
  <c r="E37" i="1"/>
  <c r="Q37" i="1"/>
  <c r="AH37" i="1" s="1"/>
  <c r="S37" i="1"/>
  <c r="T37" i="1"/>
  <c r="V37" i="1" s="1"/>
  <c r="W37" i="1" s="1"/>
  <c r="U37" i="1"/>
  <c r="X37" i="1" a="1"/>
  <c r="X37" i="1"/>
  <c r="Y37" i="1"/>
  <c r="Z37" i="1" s="1"/>
  <c r="AA37" i="1"/>
  <c r="AG37" i="1"/>
  <c r="AI37" i="1"/>
  <c r="AJ37" i="1" s="1"/>
  <c r="AK37" i="1"/>
  <c r="AL37" i="1"/>
  <c r="AM37" i="1"/>
  <c r="D38" i="1"/>
  <c r="E38" i="1"/>
  <c r="Q38" i="1"/>
  <c r="S38" i="1"/>
  <c r="T38" i="1"/>
  <c r="V38" i="1" s="1"/>
  <c r="U38" i="1"/>
  <c r="W38" i="1"/>
  <c r="X38" i="1" a="1"/>
  <c r="X38" i="1"/>
  <c r="Y38" i="1"/>
  <c r="Z38" i="1"/>
  <c r="AA38" i="1"/>
  <c r="AE38" i="1"/>
  <c r="AG38" i="1"/>
  <c r="AH38" i="1"/>
  <c r="AI38" i="1"/>
  <c r="AJ38" i="1" s="1"/>
  <c r="AK38" i="1"/>
  <c r="AL38" i="1"/>
  <c r="AM38" i="1" s="1"/>
  <c r="D39" i="1"/>
  <c r="E39" i="1"/>
  <c r="Q39" i="1"/>
  <c r="AH39" i="1" s="1"/>
  <c r="S39" i="1"/>
  <c r="T39" i="1"/>
  <c r="V39" i="1" s="1"/>
  <c r="W39" i="1" s="1"/>
  <c r="U39" i="1"/>
  <c r="X39" i="1" a="1"/>
  <c r="X39" i="1" s="1"/>
  <c r="Y39" i="1"/>
  <c r="Z39" i="1" s="1"/>
  <c r="AA39" i="1"/>
  <c r="AE39" i="1"/>
  <c r="AG39" i="1"/>
  <c r="AI39" i="1"/>
  <c r="AJ39" i="1" s="1"/>
  <c r="AK39" i="1"/>
  <c r="AL39" i="1"/>
  <c r="AM39" i="1" s="1"/>
  <c r="D40" i="1"/>
  <c r="E40" i="1"/>
  <c r="Q40" i="1"/>
  <c r="AH40" i="1" s="1"/>
  <c r="S40" i="1"/>
  <c r="X40" i="1" s="1" a="1"/>
  <c r="X40" i="1" s="1"/>
  <c r="T40" i="1"/>
  <c r="U40" i="1"/>
  <c r="Y40" i="1"/>
  <c r="Z40" i="1" s="1"/>
  <c r="AA40" i="1"/>
  <c r="AE40" i="1"/>
  <c r="AG40" i="1"/>
  <c r="AI40" i="1"/>
  <c r="AJ40" i="1" s="1"/>
  <c r="AK40" i="1"/>
  <c r="AL40" i="1"/>
  <c r="AM40" i="1"/>
  <c r="D41" i="1"/>
  <c r="AE41" i="1" s="1"/>
  <c r="E41" i="1"/>
  <c r="Q41" i="1"/>
  <c r="S41" i="1"/>
  <c r="T41" i="1"/>
  <c r="V41" i="1" s="1"/>
  <c r="W41" i="1" s="1"/>
  <c r="U41" i="1"/>
  <c r="X41" i="1" a="1"/>
  <c r="X41" i="1"/>
  <c r="Y41" i="1"/>
  <c r="Z41" i="1"/>
  <c r="AA41" i="1"/>
  <c r="AG41" i="1"/>
  <c r="AH41" i="1"/>
  <c r="AI41" i="1"/>
  <c r="AJ41" i="1" s="1"/>
  <c r="AK41" i="1"/>
  <c r="AL41" i="1"/>
  <c r="AM41" i="1"/>
  <c r="D42" i="1"/>
  <c r="E42" i="1"/>
  <c r="Q42" i="1"/>
  <c r="S42" i="1"/>
  <c r="T42" i="1"/>
  <c r="U42" i="1"/>
  <c r="V42" i="1"/>
  <c r="W42" i="1" s="1"/>
  <c r="X42" i="1" a="1"/>
  <c r="X42" i="1"/>
  <c r="Y42" i="1"/>
  <c r="Z42" i="1"/>
  <c r="AA42" i="1"/>
  <c r="AE42" i="1"/>
  <c r="AG42" i="1"/>
  <c r="AH42" i="1"/>
  <c r="AI42" i="1"/>
  <c r="AJ42" i="1"/>
  <c r="AK42" i="1"/>
  <c r="AL42" i="1"/>
  <c r="AM42" i="1" s="1"/>
  <c r="D43" i="1"/>
  <c r="E43" i="1"/>
  <c r="Q43" i="1"/>
  <c r="AH43" i="1" s="1"/>
  <c r="S43" i="1"/>
  <c r="T43" i="1"/>
  <c r="U43" i="1"/>
  <c r="V43" i="1"/>
  <c r="W43" i="1" s="1"/>
  <c r="X43" i="1" a="1"/>
  <c r="X43" i="1" s="1"/>
  <c r="Y43" i="1"/>
  <c r="Z43" i="1" s="1"/>
  <c r="AA43" i="1"/>
  <c r="AE43" i="1"/>
  <c r="AG43" i="1"/>
  <c r="AI43" i="1"/>
  <c r="AJ43" i="1" s="1"/>
  <c r="AK43" i="1"/>
  <c r="AL43" i="1"/>
  <c r="AM43" i="1" s="1"/>
  <c r="D44" i="1"/>
  <c r="E44" i="1"/>
  <c r="Q44" i="1"/>
  <c r="AH44" i="1" s="1"/>
  <c r="S44" i="1"/>
  <c r="X44" i="1" s="1" a="1"/>
  <c r="X44" i="1" s="1"/>
  <c r="T44" i="1"/>
  <c r="U44" i="1"/>
  <c r="Y44" i="1"/>
  <c r="Z44" i="1"/>
  <c r="AA44" i="1"/>
  <c r="AE44" i="1"/>
  <c r="AG44" i="1"/>
  <c r="AI44" i="1"/>
  <c r="AJ44" i="1" s="1"/>
  <c r="AK44" i="1"/>
  <c r="AL44" i="1"/>
  <c r="AM44" i="1" s="1"/>
  <c r="D45" i="1"/>
  <c r="AE45" i="1" s="1"/>
  <c r="E45" i="1"/>
  <c r="Q45" i="1"/>
  <c r="AH45" i="1" s="1"/>
  <c r="S45" i="1"/>
  <c r="T45" i="1"/>
  <c r="V45" i="1" s="1"/>
  <c r="W45" i="1" s="1"/>
  <c r="U45" i="1"/>
  <c r="X45" i="1" a="1"/>
  <c r="X45" i="1" s="1"/>
  <c r="Y45" i="1"/>
  <c r="Z45" i="1"/>
  <c r="AA45" i="1"/>
  <c r="AG45" i="1"/>
  <c r="AI45" i="1"/>
  <c r="AJ45" i="1"/>
  <c r="AK45" i="1"/>
  <c r="AL45" i="1"/>
  <c r="AM45" i="1" s="1"/>
  <c r="D46" i="1"/>
  <c r="E46" i="1"/>
  <c r="Q46" i="1"/>
  <c r="S46" i="1"/>
  <c r="T46" i="1"/>
  <c r="V46" i="1" s="1"/>
  <c r="W46" i="1" s="1"/>
  <c r="U46" i="1"/>
  <c r="X46" i="1" a="1"/>
  <c r="X46" i="1"/>
  <c r="Y46" i="1"/>
  <c r="Z46" i="1"/>
  <c r="AA46" i="1"/>
  <c r="AE46" i="1"/>
  <c r="AG46" i="1"/>
  <c r="AH46" i="1"/>
  <c r="AI46" i="1"/>
  <c r="AJ46" i="1"/>
  <c r="AK46" i="1"/>
  <c r="AL46" i="1"/>
  <c r="AM46" i="1" s="1"/>
  <c r="D47" i="1"/>
  <c r="E47" i="1"/>
  <c r="Q47" i="1"/>
  <c r="AH47" i="1" s="1"/>
  <c r="S47" i="1"/>
  <c r="X47" i="1" s="1" a="1"/>
  <c r="X47" i="1" s="1"/>
  <c r="T47" i="1"/>
  <c r="U47" i="1"/>
  <c r="V47" i="1" s="1"/>
  <c r="W47" i="1" s="1"/>
  <c r="Y47" i="1"/>
  <c r="Z47" i="1" s="1"/>
  <c r="AA47" i="1"/>
  <c r="AE47" i="1"/>
  <c r="AG47" i="1"/>
  <c r="AI47" i="1"/>
  <c r="AJ47" i="1" s="1"/>
  <c r="AK47" i="1"/>
  <c r="AL47" i="1"/>
  <c r="AM47" i="1" s="1"/>
  <c r="D48" i="1"/>
  <c r="AE48" i="1" s="1"/>
  <c r="E48" i="1"/>
  <c r="Q48" i="1"/>
  <c r="AH48" i="1" s="1"/>
  <c r="S48" i="1"/>
  <c r="X48" i="1" s="1" a="1"/>
  <c r="X48" i="1" s="1"/>
  <c r="T48" i="1"/>
  <c r="U48" i="1"/>
  <c r="Y48" i="1"/>
  <c r="Z48" i="1"/>
  <c r="AA48" i="1"/>
  <c r="AG48" i="1"/>
  <c r="AI48" i="1"/>
  <c r="AJ48" i="1" s="1"/>
  <c r="AK48" i="1"/>
  <c r="AL48" i="1"/>
  <c r="AM48" i="1" s="1"/>
  <c r="D49" i="1"/>
  <c r="AE49" i="1" s="1"/>
  <c r="E49" i="1"/>
  <c r="Q49" i="1"/>
  <c r="S49" i="1"/>
  <c r="T49" i="1"/>
  <c r="V49" i="1" s="1"/>
  <c r="U49" i="1"/>
  <c r="W49" i="1"/>
  <c r="X49" i="1" a="1"/>
  <c r="X49" i="1" s="1"/>
  <c r="Y49" i="1"/>
  <c r="Z49" i="1"/>
  <c r="AA49" i="1"/>
  <c r="AG49" i="1"/>
  <c r="AH49" i="1"/>
  <c r="AI49" i="1"/>
  <c r="AJ49" i="1" s="1"/>
  <c r="AK49" i="1"/>
  <c r="AL49" i="1"/>
  <c r="AM49" i="1"/>
  <c r="D50" i="1"/>
  <c r="E50" i="1"/>
  <c r="Q50" i="1"/>
  <c r="S50" i="1"/>
  <c r="T50" i="1"/>
  <c r="V50" i="1" s="1"/>
  <c r="W50" i="1" s="1"/>
  <c r="U50" i="1"/>
  <c r="X50" i="1" a="1"/>
  <c r="X50" i="1" s="1"/>
  <c r="Y50" i="1"/>
  <c r="Z50" i="1"/>
  <c r="AA50" i="1"/>
  <c r="AE50" i="1"/>
  <c r="AG50" i="1"/>
  <c r="AH50" i="1"/>
  <c r="AI50" i="1"/>
  <c r="AJ50" i="1" s="1"/>
  <c r="AK50" i="1"/>
  <c r="AL50" i="1"/>
  <c r="AM50" i="1" s="1"/>
  <c r="D51" i="1"/>
  <c r="E51" i="1"/>
  <c r="Q51" i="1"/>
  <c r="S51" i="1"/>
  <c r="X51" i="1" s="1" a="1"/>
  <c r="X51" i="1" s="1"/>
  <c r="T51" i="1"/>
  <c r="U51" i="1"/>
  <c r="V51" i="1" s="1"/>
  <c r="W51" i="1" s="1"/>
  <c r="Y51" i="1"/>
  <c r="Z51" i="1" s="1"/>
  <c r="AA51" i="1"/>
  <c r="AE51" i="1"/>
  <c r="AG51" i="1"/>
  <c r="AH51" i="1"/>
  <c r="AI51" i="1"/>
  <c r="AJ51" i="1" s="1"/>
  <c r="AK51" i="1"/>
  <c r="AL51" i="1"/>
  <c r="AM51" i="1" s="1"/>
  <c r="D52" i="1"/>
  <c r="AE52" i="1" s="1"/>
  <c r="E52" i="1"/>
  <c r="Q52" i="1"/>
  <c r="AH52" i="1" s="1"/>
  <c r="S52" i="1"/>
  <c r="X52" i="1" s="1" a="1"/>
  <c r="X52" i="1" s="1"/>
  <c r="T52" i="1"/>
  <c r="V52" i="1" s="1"/>
  <c r="W52" i="1" s="1"/>
  <c r="U52" i="1"/>
  <c r="Y52" i="1"/>
  <c r="Z52" i="1"/>
  <c r="AA52" i="1"/>
  <c r="AG52" i="1"/>
  <c r="AI52" i="1"/>
  <c r="AJ52" i="1" s="1"/>
  <c r="AK52" i="1"/>
  <c r="AL52" i="1"/>
  <c r="AM52" i="1"/>
  <c r="D53" i="1"/>
  <c r="AE53" i="1" s="1"/>
  <c r="E53" i="1"/>
  <c r="Q53" i="1"/>
  <c r="S53" i="1"/>
  <c r="T53" i="1"/>
  <c r="V53" i="1" s="1"/>
  <c r="W53" i="1" s="1"/>
  <c r="U53" i="1"/>
  <c r="X53" i="1" a="1"/>
  <c r="X53" i="1"/>
  <c r="Y53" i="1"/>
  <c r="Z53" i="1" s="1"/>
  <c r="AA53" i="1"/>
  <c r="AG53" i="1"/>
  <c r="AH53" i="1"/>
  <c r="AI53" i="1"/>
  <c r="AJ53" i="1" s="1"/>
  <c r="AK53" i="1"/>
  <c r="AL53" i="1"/>
  <c r="AM53" i="1"/>
  <c r="D54" i="1"/>
  <c r="E54" i="1"/>
  <c r="Q54" i="1"/>
  <c r="S54" i="1"/>
  <c r="T54" i="1"/>
  <c r="U54" i="1"/>
  <c r="X54" i="1" a="1"/>
  <c r="X54" i="1"/>
  <c r="Y54" i="1"/>
  <c r="Z54" i="1" s="1"/>
  <c r="AA54" i="1"/>
  <c r="AE54" i="1"/>
  <c r="AG54" i="1"/>
  <c r="AH54" i="1"/>
  <c r="AI54" i="1"/>
  <c r="AJ54" i="1" s="1"/>
  <c r="AK54" i="1"/>
  <c r="AL54" i="1"/>
  <c r="AM54" i="1" s="1"/>
  <c r="D55" i="1"/>
  <c r="E55" i="1"/>
  <c r="Q55" i="1"/>
  <c r="AH55" i="1" s="1"/>
  <c r="S55" i="1"/>
  <c r="T55" i="1"/>
  <c r="U55" i="1"/>
  <c r="V55" i="1"/>
  <c r="W55" i="1" s="1"/>
  <c r="X55" i="1" a="1"/>
  <c r="X55" i="1" s="1"/>
  <c r="Y55" i="1"/>
  <c r="Z55" i="1" s="1"/>
  <c r="AA55" i="1"/>
  <c r="AE55" i="1"/>
  <c r="AG55" i="1"/>
  <c r="AI55" i="1"/>
  <c r="AJ55" i="1" s="1"/>
  <c r="AK55" i="1"/>
  <c r="AL55" i="1"/>
  <c r="AM55" i="1" s="1"/>
  <c r="D56" i="1"/>
  <c r="AE56" i="1" s="1"/>
  <c r="E56" i="1"/>
  <c r="Q56" i="1"/>
  <c r="S56" i="1"/>
  <c r="X56" i="1" s="1" a="1"/>
  <c r="X56" i="1" s="1"/>
  <c r="T56" i="1"/>
  <c r="U56" i="1"/>
  <c r="Y56" i="1"/>
  <c r="Z56" i="1"/>
  <c r="AA56" i="1"/>
  <c r="AG56" i="1"/>
  <c r="AH56" i="1"/>
  <c r="AI56" i="1"/>
  <c r="AJ56" i="1" s="1"/>
  <c r="AK56" i="1"/>
  <c r="AL56" i="1"/>
  <c r="AM56" i="1"/>
  <c r="D57" i="1"/>
  <c r="E57" i="1"/>
  <c r="Q57" i="1"/>
  <c r="AH57" i="1" s="1"/>
  <c r="S57" i="1"/>
  <c r="T57" i="1"/>
  <c r="V57" i="1" s="1"/>
  <c r="U57" i="1"/>
  <c r="W57" i="1"/>
  <c r="X57" i="1" a="1"/>
  <c r="X57" i="1"/>
  <c r="Y57" i="1"/>
  <c r="Z57" i="1"/>
  <c r="AA57" i="1"/>
  <c r="AE57" i="1"/>
  <c r="AG57" i="1"/>
  <c r="AI57" i="1"/>
  <c r="AJ57" i="1"/>
  <c r="AK57" i="1"/>
  <c r="AL57" i="1"/>
  <c r="AM57" i="1"/>
  <c r="D58" i="1"/>
  <c r="E58" i="1"/>
  <c r="Q58" i="1"/>
  <c r="S58" i="1"/>
  <c r="T58" i="1"/>
  <c r="U58" i="1"/>
  <c r="V58" i="1"/>
  <c r="W58" i="1" s="1"/>
  <c r="X58" i="1" a="1"/>
  <c r="X58" i="1" s="1"/>
  <c r="Y58" i="1"/>
  <c r="Z58" i="1"/>
  <c r="AA58" i="1"/>
  <c r="AE58" i="1"/>
  <c r="AG58" i="1"/>
  <c r="AH58" i="1"/>
  <c r="AI58" i="1"/>
  <c r="AJ58" i="1" s="1"/>
  <c r="AK58" i="1"/>
  <c r="AL58" i="1"/>
  <c r="AM58" i="1" s="1"/>
  <c r="D59" i="1"/>
  <c r="E59" i="1"/>
  <c r="Q59" i="1"/>
  <c r="AH59" i="1" s="1"/>
  <c r="S59" i="1"/>
  <c r="X59" i="1" s="1" a="1"/>
  <c r="X59" i="1" s="1"/>
  <c r="T59" i="1"/>
  <c r="U59" i="1"/>
  <c r="Y59" i="1"/>
  <c r="Z59" i="1" s="1"/>
  <c r="AA59" i="1"/>
  <c r="AE59" i="1"/>
  <c r="AG59" i="1"/>
  <c r="AI59" i="1"/>
  <c r="AJ59" i="1" s="1"/>
  <c r="AK59" i="1"/>
  <c r="AL59" i="1"/>
  <c r="AM59" i="1" s="1"/>
  <c r="D60" i="1"/>
  <c r="AE60" i="1" s="1"/>
  <c r="E60" i="1"/>
  <c r="Q60" i="1"/>
  <c r="S60" i="1"/>
  <c r="X60" i="1" s="1" a="1"/>
  <c r="X60" i="1" s="1"/>
  <c r="T60" i="1"/>
  <c r="U60" i="1"/>
  <c r="Y60" i="1"/>
  <c r="Z60" i="1" s="1"/>
  <c r="AA60" i="1"/>
  <c r="AG60" i="1"/>
  <c r="AH60" i="1"/>
  <c r="AI60" i="1"/>
  <c r="AJ60" i="1" s="1"/>
  <c r="AK60" i="1"/>
  <c r="AL60" i="1"/>
  <c r="AM60" i="1" s="1"/>
  <c r="D61" i="1"/>
  <c r="E61" i="1"/>
  <c r="Q61" i="1"/>
  <c r="AH61" i="1" s="1"/>
  <c r="S61" i="1"/>
  <c r="T61" i="1"/>
  <c r="V61" i="1" s="1"/>
  <c r="U61" i="1"/>
  <c r="W61" i="1"/>
  <c r="X61" i="1" a="1"/>
  <c r="X61" i="1"/>
  <c r="Y61" i="1"/>
  <c r="Z61" i="1" s="1"/>
  <c r="AA61" i="1"/>
  <c r="AE61" i="1"/>
  <c r="AG61" i="1"/>
  <c r="AI61" i="1"/>
  <c r="AJ61" i="1" s="1"/>
  <c r="AK61" i="1"/>
  <c r="AL61" i="1"/>
  <c r="AM61" i="1"/>
  <c r="D62" i="1"/>
  <c r="E62" i="1"/>
  <c r="Q62" i="1"/>
  <c r="S62" i="1"/>
  <c r="T62" i="1"/>
  <c r="U62" i="1"/>
  <c r="V62" i="1"/>
  <c r="W62" i="1" s="1"/>
  <c r="X62" i="1" a="1"/>
  <c r="X62" i="1" s="1"/>
  <c r="Y62" i="1"/>
  <c r="Z62" i="1"/>
  <c r="AA62" i="1"/>
  <c r="AE62" i="1"/>
  <c r="AG62" i="1"/>
  <c r="AH62" i="1"/>
  <c r="AI62" i="1"/>
  <c r="AJ62" i="1"/>
  <c r="AK62" i="1"/>
  <c r="AL62" i="1"/>
  <c r="AM62" i="1" s="1"/>
  <c r="D63" i="1"/>
  <c r="E63" i="1"/>
  <c r="Q63" i="1"/>
  <c r="S63" i="1"/>
  <c r="T63" i="1"/>
  <c r="U63" i="1"/>
  <c r="V63" i="1"/>
  <c r="W63" i="1" s="1"/>
  <c r="X63" i="1" a="1"/>
  <c r="X63" i="1" s="1"/>
  <c r="Y63" i="1"/>
  <c r="Z63" i="1" s="1"/>
  <c r="AA63" i="1"/>
  <c r="AE63" i="1"/>
  <c r="AG63" i="1"/>
  <c r="AH63" i="1"/>
  <c r="AI63" i="1"/>
  <c r="AJ63" i="1" s="1"/>
  <c r="AK63" i="1"/>
  <c r="AL63" i="1"/>
  <c r="AM63" i="1" s="1"/>
  <c r="D64" i="1"/>
  <c r="E64" i="1"/>
  <c r="Q64" i="1"/>
  <c r="S64" i="1"/>
  <c r="X64" i="1" s="1" a="1"/>
  <c r="X64" i="1" s="1"/>
  <c r="T64" i="1"/>
  <c r="U64" i="1"/>
  <c r="Y64" i="1"/>
  <c r="Z64" i="1" s="1"/>
  <c r="AA64" i="1"/>
  <c r="AE64" i="1"/>
  <c r="AG64" i="1"/>
  <c r="AH64" i="1"/>
  <c r="AI64" i="1"/>
  <c r="AJ64" i="1" s="1"/>
  <c r="AK64" i="1"/>
  <c r="AL64" i="1"/>
  <c r="AM64" i="1"/>
  <c r="D65" i="1"/>
  <c r="E65" i="1"/>
  <c r="Q65" i="1"/>
  <c r="S65" i="1"/>
  <c r="T65" i="1"/>
  <c r="U65" i="1"/>
  <c r="X65" i="1" a="1"/>
  <c r="X65" i="1"/>
  <c r="Y65" i="1"/>
  <c r="Z65" i="1"/>
  <c r="AA65" i="1"/>
  <c r="AE65" i="1"/>
  <c r="AG65" i="1"/>
  <c r="AH65" i="1"/>
  <c r="AI65" i="1"/>
  <c r="AJ65" i="1" s="1"/>
  <c r="AK65" i="1"/>
  <c r="AL65" i="1"/>
  <c r="AM65" i="1"/>
  <c r="D66" i="1"/>
  <c r="E66" i="1"/>
  <c r="Q66" i="1"/>
  <c r="AH66" i="1" s="1"/>
  <c r="S66" i="1"/>
  <c r="T66" i="1"/>
  <c r="V66" i="1" s="1"/>
  <c r="W66" i="1" s="1"/>
  <c r="U66" i="1"/>
  <c r="X66" i="1" a="1"/>
  <c r="X66" i="1"/>
  <c r="Y66" i="1"/>
  <c r="Z66" i="1" s="1"/>
  <c r="AA66" i="1"/>
  <c r="AE66" i="1"/>
  <c r="AG66" i="1"/>
  <c r="AI66" i="1"/>
  <c r="AJ66" i="1"/>
  <c r="AK66" i="1"/>
  <c r="AL66" i="1"/>
  <c r="AM66" i="1" s="1"/>
  <c r="D67" i="1"/>
  <c r="E67" i="1"/>
  <c r="Q67" i="1"/>
  <c r="AH67" i="1" s="1"/>
  <c r="S67" i="1"/>
  <c r="X67" i="1" s="1" a="1"/>
  <c r="X67" i="1" s="1"/>
  <c r="T67" i="1"/>
  <c r="U67" i="1"/>
  <c r="Y67" i="1"/>
  <c r="Z67" i="1" s="1"/>
  <c r="AA67" i="1"/>
  <c r="AE67" i="1"/>
  <c r="AG67" i="1"/>
  <c r="AI67" i="1"/>
  <c r="AJ67" i="1" s="1"/>
  <c r="AK67" i="1"/>
  <c r="AL67" i="1"/>
  <c r="AM67" i="1" s="1"/>
  <c r="D68" i="1"/>
  <c r="E68" i="1"/>
  <c r="Q68" i="1"/>
  <c r="S68" i="1"/>
  <c r="X68" i="1" s="1" a="1"/>
  <c r="X68" i="1" s="1"/>
  <c r="T68" i="1"/>
  <c r="U68" i="1"/>
  <c r="Y68" i="1"/>
  <c r="Z68" i="1"/>
  <c r="AA68" i="1"/>
  <c r="AE68" i="1"/>
  <c r="AG68" i="1"/>
  <c r="AH68" i="1"/>
  <c r="AI68" i="1"/>
  <c r="AJ68" i="1" s="1"/>
  <c r="AK68" i="1"/>
  <c r="AL68" i="1"/>
  <c r="AM68" i="1"/>
  <c r="D69" i="1"/>
  <c r="AE69" i="1" s="1"/>
  <c r="E69" i="1"/>
  <c r="Q69" i="1"/>
  <c r="S69" i="1"/>
  <c r="T69" i="1"/>
  <c r="V69" i="1" s="1"/>
  <c r="U69" i="1"/>
  <c r="W69" i="1"/>
  <c r="X69" i="1" a="1"/>
  <c r="X69" i="1" s="1"/>
  <c r="Y69" i="1"/>
  <c r="Z69" i="1"/>
  <c r="AA69" i="1"/>
  <c r="AG69" i="1"/>
  <c r="AH69" i="1"/>
  <c r="AI69" i="1"/>
  <c r="AJ69" i="1"/>
  <c r="AK69" i="1"/>
  <c r="AL69" i="1"/>
  <c r="AM69" i="1"/>
  <c r="D70" i="1"/>
  <c r="E70" i="1"/>
  <c r="Q70" i="1"/>
  <c r="S70" i="1"/>
  <c r="T70" i="1"/>
  <c r="U70" i="1"/>
  <c r="V70" i="1"/>
  <c r="W70" i="1" s="1"/>
  <c r="X70" i="1" a="1"/>
  <c r="X70" i="1" s="1"/>
  <c r="Y70" i="1"/>
  <c r="Z70" i="1"/>
  <c r="AA70" i="1"/>
  <c r="AE70" i="1"/>
  <c r="AG70" i="1"/>
  <c r="AH70" i="1"/>
  <c r="AI70" i="1"/>
  <c r="AJ70" i="1"/>
  <c r="AK70" i="1"/>
  <c r="AL70" i="1"/>
  <c r="AM70" i="1" s="1"/>
  <c r="D71" i="1"/>
  <c r="E71" i="1"/>
  <c r="Q71" i="1"/>
  <c r="AH71" i="1" s="1"/>
  <c r="S71" i="1"/>
  <c r="X71" i="1" s="1" a="1"/>
  <c r="X71" i="1" s="1"/>
  <c r="T71" i="1"/>
  <c r="U71" i="1"/>
  <c r="V71" i="1" s="1"/>
  <c r="W71" i="1" s="1"/>
  <c r="Y71" i="1"/>
  <c r="Z71" i="1"/>
  <c r="AA71" i="1"/>
  <c r="AE71" i="1"/>
  <c r="AG71" i="1"/>
  <c r="AI71" i="1"/>
  <c r="AJ71" i="1" s="1"/>
  <c r="AK71" i="1"/>
  <c r="AL71" i="1"/>
  <c r="AM71" i="1" s="1"/>
  <c r="D72" i="1"/>
  <c r="AE72" i="1" s="1"/>
  <c r="E72" i="1"/>
  <c r="Q72" i="1"/>
  <c r="AH72" i="1" s="1"/>
  <c r="S72" i="1"/>
  <c r="X72" i="1" s="1" a="1"/>
  <c r="X72" i="1" s="1"/>
  <c r="T72" i="1"/>
  <c r="V72" i="1" s="1"/>
  <c r="W72" i="1" s="1"/>
  <c r="U72" i="1"/>
  <c r="Y72" i="1"/>
  <c r="Z72" i="1" s="1"/>
  <c r="AA72" i="1"/>
  <c r="AG72" i="1"/>
  <c r="AI72" i="1"/>
  <c r="AJ72" i="1"/>
  <c r="AK72" i="1"/>
  <c r="AL72" i="1"/>
  <c r="AM72" i="1"/>
  <c r="D73" i="1"/>
  <c r="E73" i="1"/>
  <c r="Q73" i="1"/>
  <c r="AH73" i="1" s="1"/>
  <c r="S73" i="1"/>
  <c r="X73" i="1" s="1" a="1"/>
  <c r="X73" i="1" s="1"/>
  <c r="T73" i="1"/>
  <c r="U73" i="1"/>
  <c r="V73" i="1" s="1"/>
  <c r="W73" i="1" s="1"/>
  <c r="Y73" i="1"/>
  <c r="Z73" i="1" s="1"/>
  <c r="AA73" i="1"/>
  <c r="AE73" i="1"/>
  <c r="AG73" i="1"/>
  <c r="AI73" i="1"/>
  <c r="AJ73" i="1"/>
  <c r="AK73" i="1"/>
  <c r="AL73" i="1"/>
  <c r="AM73" i="1"/>
  <c r="D74" i="1"/>
  <c r="E74" i="1"/>
  <c r="Q74" i="1"/>
  <c r="AH74" i="1" s="1"/>
  <c r="S74" i="1"/>
  <c r="X74" i="1" s="1" a="1"/>
  <c r="T74" i="1"/>
  <c r="V74" i="1" s="1"/>
  <c r="W74" i="1" s="1"/>
  <c r="U74" i="1"/>
  <c r="X74" i="1"/>
  <c r="Y74" i="1"/>
  <c r="Z74" i="1" s="1"/>
  <c r="AA74" i="1"/>
  <c r="AE74" i="1"/>
  <c r="AG74" i="1"/>
  <c r="AI74" i="1"/>
  <c r="AJ74" i="1" s="1"/>
  <c r="AK74" i="1"/>
  <c r="AL74" i="1"/>
  <c r="AM74" i="1" s="1"/>
  <c r="D75" i="1"/>
  <c r="E75" i="1"/>
  <c r="Q75" i="1"/>
  <c r="S75" i="1"/>
  <c r="X75" i="1" s="1" a="1"/>
  <c r="X75" i="1" s="1"/>
  <c r="T75" i="1"/>
  <c r="U75" i="1"/>
  <c r="V75" i="1" s="1"/>
  <c r="W75" i="1"/>
  <c r="Y75" i="1"/>
  <c r="Z75" i="1"/>
  <c r="AA75" i="1"/>
  <c r="AE75" i="1"/>
  <c r="AG75" i="1"/>
  <c r="AH75" i="1"/>
  <c r="AI75" i="1"/>
  <c r="AJ75" i="1" s="1"/>
  <c r="AK75" i="1"/>
  <c r="AL75" i="1"/>
  <c r="AM75" i="1"/>
  <c r="D76" i="1"/>
  <c r="AE76" i="1" s="1"/>
  <c r="E76" i="1"/>
  <c r="Q76" i="1"/>
  <c r="AH76" i="1" s="1"/>
  <c r="S76" i="1"/>
  <c r="T76" i="1"/>
  <c r="U76" i="1"/>
  <c r="V76" i="1"/>
  <c r="W76" i="1" s="1"/>
  <c r="X76" i="1" a="1"/>
  <c r="X76" i="1"/>
  <c r="Y76" i="1"/>
  <c r="Z76" i="1" s="1"/>
  <c r="AA76" i="1"/>
  <c r="AG76" i="1"/>
  <c r="AI76" i="1"/>
  <c r="AJ76" i="1" s="1"/>
  <c r="AK76" i="1"/>
  <c r="AL76" i="1"/>
  <c r="AM76" i="1"/>
  <c r="D77" i="1"/>
  <c r="AE77" i="1" s="1"/>
  <c r="E77" i="1"/>
  <c r="Q77" i="1"/>
  <c r="S77" i="1"/>
  <c r="X77" i="1" s="1" a="1"/>
  <c r="T77" i="1"/>
  <c r="U77" i="1"/>
  <c r="X77" i="1"/>
  <c r="Y77" i="1"/>
  <c r="Z77" i="1"/>
  <c r="AA77" i="1"/>
  <c r="AG77" i="1"/>
  <c r="AH77" i="1"/>
  <c r="AI77" i="1"/>
  <c r="AJ77" i="1"/>
  <c r="AK77" i="1"/>
  <c r="AL77" i="1"/>
  <c r="AM77" i="1"/>
  <c r="D78" i="1"/>
  <c r="E78" i="1"/>
  <c r="Q78" i="1"/>
  <c r="AH78" i="1" s="1"/>
  <c r="S78" i="1"/>
  <c r="T78" i="1"/>
  <c r="U78" i="1"/>
  <c r="V78" i="1"/>
  <c r="W78" i="1" s="1"/>
  <c r="X78" i="1" a="1"/>
  <c r="X78" i="1" s="1"/>
  <c r="Y78" i="1"/>
  <c r="Z78" i="1" s="1"/>
  <c r="AA78" i="1"/>
  <c r="AE78" i="1"/>
  <c r="AG78" i="1"/>
  <c r="AI78" i="1"/>
  <c r="AJ78" i="1"/>
  <c r="AK78" i="1"/>
  <c r="AL78" i="1"/>
  <c r="AM78" i="1" s="1"/>
  <c r="D79" i="1"/>
  <c r="AE79" i="1" s="1"/>
  <c r="E79" i="1"/>
  <c r="Q79" i="1"/>
  <c r="S79" i="1"/>
  <c r="T79" i="1"/>
  <c r="U79" i="1"/>
  <c r="V79" i="1"/>
  <c r="W79" i="1" s="1"/>
  <c r="X79" i="1" a="1"/>
  <c r="X79" i="1" s="1"/>
  <c r="Y79" i="1"/>
  <c r="Z79" i="1" s="1"/>
  <c r="AA79" i="1"/>
  <c r="AG79" i="1"/>
  <c r="AH79" i="1"/>
  <c r="AI79" i="1"/>
  <c r="AJ79" i="1"/>
  <c r="AK79" i="1"/>
  <c r="AL79" i="1"/>
  <c r="AM79" i="1" s="1"/>
  <c r="D80" i="1"/>
  <c r="E80" i="1"/>
  <c r="Q80" i="1"/>
  <c r="AH80" i="1" s="1"/>
  <c r="S80" i="1"/>
  <c r="X80" i="1" s="1" a="1"/>
  <c r="X80" i="1" s="1"/>
  <c r="T80" i="1"/>
  <c r="V80" i="1" s="1"/>
  <c r="W80" i="1" s="1"/>
  <c r="U80" i="1"/>
  <c r="Y80" i="1"/>
  <c r="Z80" i="1" s="1"/>
  <c r="AA80" i="1"/>
  <c r="AE80" i="1"/>
  <c r="AG80" i="1"/>
  <c r="AI80" i="1"/>
  <c r="AJ80" i="1" s="1"/>
  <c r="AK80" i="1"/>
  <c r="AL80" i="1"/>
  <c r="AM80" i="1"/>
  <c r="D81" i="1"/>
  <c r="AE81" i="1" s="1"/>
  <c r="E81" i="1"/>
  <c r="Q81" i="1"/>
  <c r="AH81" i="1" s="1"/>
  <c r="S81" i="1"/>
  <c r="X81" i="1" s="1" a="1"/>
  <c r="X81" i="1" s="1"/>
  <c r="T81" i="1"/>
  <c r="U81" i="1"/>
  <c r="Y81" i="1"/>
  <c r="Z81" i="1"/>
  <c r="AA81" i="1"/>
  <c r="AG81" i="1"/>
  <c r="AI81" i="1"/>
  <c r="AJ81" i="1"/>
  <c r="AK81" i="1"/>
  <c r="AL81" i="1"/>
  <c r="AM81" i="1" s="1"/>
  <c r="D82" i="1"/>
  <c r="AE82" i="1" s="1"/>
  <c r="E82" i="1"/>
  <c r="Q82" i="1"/>
  <c r="AH82" i="1" s="1"/>
  <c r="S82" i="1"/>
  <c r="T82" i="1"/>
  <c r="U82" i="1"/>
  <c r="V82" i="1"/>
  <c r="W82" i="1"/>
  <c r="X82" i="1" a="1"/>
  <c r="X82" i="1" s="1"/>
  <c r="Y82" i="1"/>
  <c r="Z82" i="1"/>
  <c r="AA82" i="1"/>
  <c r="AG82" i="1"/>
  <c r="AI82" i="1"/>
  <c r="AJ82" i="1"/>
  <c r="AK82" i="1"/>
  <c r="AL82" i="1"/>
  <c r="AM82" i="1" s="1"/>
  <c r="D83" i="1"/>
  <c r="AE83" i="1" s="1"/>
  <c r="E83" i="1"/>
  <c r="Q83" i="1"/>
  <c r="S83" i="1"/>
  <c r="T83" i="1"/>
  <c r="U83" i="1"/>
  <c r="V83" i="1"/>
  <c r="W83" i="1" s="1"/>
  <c r="X83" i="1" a="1"/>
  <c r="X83" i="1"/>
  <c r="Y83" i="1"/>
  <c r="Z83" i="1"/>
  <c r="AA83" i="1"/>
  <c r="AG83" i="1"/>
  <c r="AH83" i="1"/>
  <c r="AI83" i="1"/>
  <c r="AJ83" i="1"/>
  <c r="AK83" i="1"/>
  <c r="AL83" i="1"/>
  <c r="AM83" i="1"/>
  <c r="D84" i="1"/>
  <c r="AE84" i="1" s="1"/>
  <c r="E84" i="1"/>
  <c r="Q84" i="1"/>
  <c r="S84" i="1"/>
  <c r="T84" i="1"/>
  <c r="V84" i="1" s="1"/>
  <c r="U84" i="1"/>
  <c r="W84" i="1"/>
  <c r="X84" i="1" a="1"/>
  <c r="X84" i="1" s="1"/>
  <c r="Y84" i="1"/>
  <c r="Z84" i="1" s="1"/>
  <c r="AA84" i="1"/>
  <c r="AG84" i="1"/>
  <c r="AH84" i="1"/>
  <c r="AI84" i="1"/>
  <c r="AJ84" i="1"/>
  <c r="AK84" i="1"/>
  <c r="AL84" i="1"/>
  <c r="AM84" i="1"/>
  <c r="D85" i="1"/>
  <c r="E85" i="1"/>
  <c r="Q85" i="1"/>
  <c r="S85" i="1"/>
  <c r="X85" i="1" s="1" a="1"/>
  <c r="X85" i="1" s="1"/>
  <c r="T85" i="1"/>
  <c r="U85" i="1"/>
  <c r="V85" i="1" s="1"/>
  <c r="W85" i="1" s="1"/>
  <c r="Y85" i="1"/>
  <c r="Z85" i="1"/>
  <c r="AA85" i="1"/>
  <c r="AE85" i="1"/>
  <c r="AG85" i="1"/>
  <c r="AH85" i="1"/>
  <c r="AI85" i="1"/>
  <c r="AJ85" i="1"/>
  <c r="AK85" i="1"/>
  <c r="AL85" i="1"/>
  <c r="AM85" i="1" s="1"/>
  <c r="D86" i="1"/>
  <c r="E86" i="1"/>
  <c r="Q86" i="1"/>
  <c r="S86" i="1"/>
  <c r="T86" i="1"/>
  <c r="V86" i="1" s="1"/>
  <c r="W86" i="1" s="1"/>
  <c r="U86" i="1"/>
  <c r="X86" i="1" a="1"/>
  <c r="X86" i="1" s="1"/>
  <c r="Y86" i="1"/>
  <c r="Z86" i="1" s="1"/>
  <c r="AA86" i="1"/>
  <c r="AE86" i="1"/>
  <c r="AG86" i="1"/>
  <c r="AH86" i="1"/>
  <c r="AI86" i="1"/>
  <c r="AJ86" i="1" s="1"/>
  <c r="AK86" i="1"/>
  <c r="AL86" i="1"/>
  <c r="AM86" i="1" s="1"/>
  <c r="D87" i="1"/>
  <c r="E87" i="1"/>
  <c r="Q87" i="1"/>
  <c r="S87" i="1"/>
  <c r="X87" i="1" s="1" a="1"/>
  <c r="X87" i="1" s="1"/>
  <c r="T87" i="1"/>
  <c r="U87" i="1"/>
  <c r="V87" i="1"/>
  <c r="W87" i="1" s="1"/>
  <c r="Y87" i="1"/>
  <c r="Z87" i="1"/>
  <c r="AA87" i="1"/>
  <c r="AE87" i="1"/>
  <c r="AG87" i="1"/>
  <c r="AH87" i="1"/>
  <c r="AI87" i="1"/>
  <c r="AJ87" i="1"/>
  <c r="AK87" i="1"/>
  <c r="AL87" i="1"/>
  <c r="AM87" i="1" s="1"/>
  <c r="D88" i="1"/>
  <c r="E88" i="1"/>
  <c r="Q88" i="1"/>
  <c r="AH88" i="1" s="1"/>
  <c r="S88" i="1"/>
  <c r="X88" i="1" s="1" a="1"/>
  <c r="T88" i="1"/>
  <c r="V88" i="1" s="1"/>
  <c r="W88" i="1" s="1"/>
  <c r="U88" i="1"/>
  <c r="X88" i="1"/>
  <c r="Y88" i="1"/>
  <c r="Z88" i="1" s="1"/>
  <c r="AA88" i="1"/>
  <c r="AE88" i="1"/>
  <c r="AG88" i="1"/>
  <c r="AI88" i="1"/>
  <c r="AJ88" i="1" s="1"/>
  <c r="AK88" i="1"/>
  <c r="AL88" i="1"/>
  <c r="AM88" i="1"/>
  <c r="D89" i="1"/>
  <c r="AE89" i="1" s="1"/>
  <c r="E89" i="1"/>
  <c r="Q89" i="1"/>
  <c r="AH89" i="1" s="1"/>
  <c r="S89" i="1"/>
  <c r="X89" i="1" s="1" a="1"/>
  <c r="X89" i="1" s="1"/>
  <c r="T89" i="1"/>
  <c r="U89" i="1"/>
  <c r="V89" i="1" s="1"/>
  <c r="W89" i="1" s="1"/>
  <c r="Y89" i="1"/>
  <c r="Z89" i="1"/>
  <c r="AA89" i="1"/>
  <c r="AG89" i="1"/>
  <c r="AI89" i="1"/>
  <c r="AJ89" i="1"/>
  <c r="AK89" i="1"/>
  <c r="AL89" i="1"/>
  <c r="AM89" i="1" s="1"/>
  <c r="D90" i="1"/>
  <c r="AE90" i="1" s="1"/>
  <c r="E90" i="1"/>
  <c r="Q90" i="1"/>
  <c r="S90" i="1"/>
  <c r="T90" i="1"/>
  <c r="U90" i="1"/>
  <c r="V90" i="1"/>
  <c r="W90" i="1" s="1"/>
  <c r="X90" i="1" a="1"/>
  <c r="X90" i="1"/>
  <c r="Y90" i="1"/>
  <c r="Z90" i="1"/>
  <c r="AA90" i="1"/>
  <c r="AG90" i="1"/>
  <c r="AH90" i="1"/>
  <c r="AI90" i="1"/>
  <c r="AJ90" i="1"/>
  <c r="AK90" i="1"/>
  <c r="AL90" i="1"/>
  <c r="AM90" i="1" s="1"/>
  <c r="D91" i="1"/>
  <c r="E91" i="1"/>
  <c r="Q91" i="1"/>
  <c r="S91" i="1"/>
  <c r="X91" i="1" s="1" a="1"/>
  <c r="X91" i="1" s="1"/>
  <c r="T91" i="1"/>
  <c r="U91" i="1"/>
  <c r="V91" i="1"/>
  <c r="W91" i="1" s="1"/>
  <c r="Y91" i="1"/>
  <c r="Z91" i="1" s="1"/>
  <c r="AA91" i="1"/>
  <c r="AE91" i="1"/>
  <c r="AG91" i="1"/>
  <c r="AH91" i="1"/>
  <c r="AI91" i="1"/>
  <c r="AJ91" i="1"/>
  <c r="AK91" i="1"/>
  <c r="AL91" i="1"/>
  <c r="AM91" i="1" s="1"/>
  <c r="D92" i="1"/>
  <c r="E92" i="1"/>
  <c r="Q92" i="1"/>
  <c r="S92" i="1"/>
  <c r="T92" i="1"/>
  <c r="U92" i="1"/>
  <c r="V92" i="1" s="1"/>
  <c r="W92" i="1" s="1"/>
  <c r="X92" i="1" a="1"/>
  <c r="X92" i="1"/>
  <c r="Y92" i="1"/>
  <c r="Z92" i="1" s="1"/>
  <c r="AA92" i="1"/>
  <c r="AE92" i="1"/>
  <c r="AG92" i="1"/>
  <c r="AH92" i="1"/>
  <c r="AI92" i="1"/>
  <c r="AJ92" i="1"/>
  <c r="AK92" i="1"/>
  <c r="AL92" i="1"/>
  <c r="AM92" i="1"/>
  <c r="D93" i="1"/>
  <c r="AE93" i="1" s="1"/>
  <c r="E93" i="1"/>
  <c r="Q93" i="1"/>
  <c r="S93" i="1"/>
  <c r="X93" i="1" s="1" a="1"/>
  <c r="T93" i="1"/>
  <c r="U93" i="1"/>
  <c r="V93" i="1"/>
  <c r="W93" i="1" s="1"/>
  <c r="X93" i="1"/>
  <c r="Y93" i="1"/>
  <c r="Z93" i="1"/>
  <c r="AA93" i="1"/>
  <c r="AG93" i="1"/>
  <c r="AH93" i="1"/>
  <c r="AI93" i="1"/>
  <c r="AJ93" i="1"/>
  <c r="AK93" i="1"/>
  <c r="AL93" i="1"/>
  <c r="AM93" i="1" s="1"/>
  <c r="D94" i="1"/>
  <c r="E94" i="1"/>
  <c r="Q94" i="1"/>
  <c r="S94" i="1"/>
  <c r="X94" i="1" s="1" a="1"/>
  <c r="X94" i="1" s="1"/>
  <c r="T94" i="1"/>
  <c r="U94" i="1"/>
  <c r="V94" i="1"/>
  <c r="W94" i="1" s="1"/>
  <c r="Y94" i="1"/>
  <c r="Z94" i="1"/>
  <c r="AA94" i="1"/>
  <c r="AE94" i="1"/>
  <c r="AG94" i="1"/>
  <c r="AH94" i="1"/>
  <c r="AI94" i="1"/>
  <c r="AJ94" i="1"/>
  <c r="AK94" i="1"/>
  <c r="AL94" i="1"/>
  <c r="AM94" i="1"/>
  <c r="D95" i="1"/>
  <c r="E95" i="1"/>
  <c r="Q95" i="1"/>
  <c r="AH95" i="1" s="1"/>
  <c r="S95" i="1"/>
  <c r="X95" i="1" s="1" a="1"/>
  <c r="T95" i="1"/>
  <c r="V95" i="1" s="1"/>
  <c r="W95" i="1" s="1"/>
  <c r="U95" i="1"/>
  <c r="X95" i="1"/>
  <c r="Y95" i="1"/>
  <c r="Z95" i="1"/>
  <c r="AA95" i="1"/>
  <c r="AE95" i="1"/>
  <c r="AG95" i="1"/>
  <c r="AI95" i="1"/>
  <c r="AJ95" i="1"/>
  <c r="AK95" i="1"/>
  <c r="AL95" i="1"/>
  <c r="AM95" i="1" s="1"/>
  <c r="D96" i="1"/>
  <c r="AE96" i="1" s="1"/>
  <c r="E96" i="1"/>
  <c r="Q96" i="1"/>
  <c r="S96" i="1"/>
  <c r="T96" i="1"/>
  <c r="U96" i="1"/>
  <c r="V96" i="1"/>
  <c r="W96" i="1" s="1"/>
  <c r="X96" i="1" a="1"/>
  <c r="X96" i="1"/>
  <c r="Y96" i="1"/>
  <c r="Z96" i="1" s="1"/>
  <c r="AA96" i="1"/>
  <c r="AG96" i="1"/>
  <c r="AH96" i="1"/>
  <c r="AI96" i="1"/>
  <c r="AJ96" i="1" s="1"/>
  <c r="AK96" i="1"/>
  <c r="AL96" i="1"/>
  <c r="AM96" i="1"/>
  <c r="D97" i="1"/>
  <c r="E97" i="1"/>
  <c r="Q97" i="1"/>
  <c r="S97" i="1"/>
  <c r="X97" i="1" s="1" a="1"/>
  <c r="X97" i="1" s="1"/>
  <c r="T97" i="1"/>
  <c r="U97" i="1"/>
  <c r="V97" i="1"/>
  <c r="W97" i="1" s="1"/>
  <c r="Y97" i="1"/>
  <c r="Z97" i="1" s="1"/>
  <c r="AA97" i="1"/>
  <c r="AE97" i="1"/>
  <c r="AG97" i="1"/>
  <c r="AH97" i="1"/>
  <c r="AI97" i="1"/>
  <c r="AJ97" i="1" s="1"/>
  <c r="AK97" i="1"/>
  <c r="AL97" i="1"/>
  <c r="AM97" i="1"/>
  <c r="D98" i="1"/>
  <c r="E98" i="1"/>
  <c r="Q98" i="1"/>
  <c r="S98" i="1"/>
  <c r="X98" i="1" s="1" a="1"/>
  <c r="X98" i="1" s="1"/>
  <c r="T98" i="1"/>
  <c r="U98" i="1"/>
  <c r="V98" i="1"/>
  <c r="W98" i="1" s="1"/>
  <c r="Y98" i="1"/>
  <c r="Z98" i="1"/>
  <c r="AA98" i="1"/>
  <c r="AE98" i="1"/>
  <c r="AG98" i="1"/>
  <c r="AH98" i="1"/>
  <c r="AI98" i="1"/>
  <c r="AJ98" i="1"/>
  <c r="AK98" i="1"/>
  <c r="AL98" i="1"/>
  <c r="AM98" i="1" s="1"/>
  <c r="D99" i="1"/>
  <c r="E99" i="1"/>
  <c r="Q99" i="1"/>
  <c r="AH99" i="1" s="1"/>
  <c r="S99" i="1"/>
  <c r="T99" i="1"/>
  <c r="V99" i="1" s="1"/>
  <c r="W99" i="1" s="1"/>
  <c r="U99" i="1"/>
  <c r="X99" i="1" a="1"/>
  <c r="X99" i="1" s="1"/>
  <c r="Y99" i="1"/>
  <c r="Z99" i="1" s="1"/>
  <c r="AA99" i="1"/>
  <c r="AE99" i="1"/>
  <c r="AG99" i="1"/>
  <c r="AI99" i="1"/>
  <c r="AJ99" i="1"/>
  <c r="AK99" i="1"/>
  <c r="AL99" i="1"/>
  <c r="AM99" i="1"/>
  <c r="D100" i="1"/>
  <c r="AE100" i="1" s="1"/>
  <c r="E100" i="1"/>
  <c r="Q100" i="1"/>
  <c r="S100" i="1"/>
  <c r="T100" i="1"/>
  <c r="U100" i="1"/>
  <c r="V100" i="1" s="1"/>
  <c r="W100" i="1" s="1"/>
  <c r="X100" i="1" a="1"/>
  <c r="X100" i="1"/>
  <c r="Y100" i="1"/>
  <c r="Z100" i="1"/>
  <c r="AA100" i="1"/>
  <c r="AG100" i="1"/>
  <c r="AH100" i="1"/>
  <c r="AI100" i="1"/>
  <c r="AJ100" i="1" s="1"/>
  <c r="AK100" i="1"/>
  <c r="AL100" i="1"/>
  <c r="AM100" i="1"/>
  <c r="D101" i="1"/>
  <c r="E101" i="1"/>
  <c r="Q101" i="1"/>
  <c r="S101" i="1"/>
  <c r="X101" i="1" s="1" a="1"/>
  <c r="X101" i="1" s="1"/>
  <c r="T101" i="1"/>
  <c r="U101" i="1"/>
  <c r="V101" i="1"/>
  <c r="W101" i="1" s="1"/>
  <c r="Y101" i="1"/>
  <c r="Z101" i="1" s="1"/>
  <c r="AA101" i="1"/>
  <c r="AE101" i="1"/>
  <c r="AG101" i="1"/>
  <c r="AH101" i="1"/>
  <c r="AI101" i="1"/>
  <c r="AJ101" i="1"/>
  <c r="AK101" i="1"/>
  <c r="AL101" i="1"/>
  <c r="AM101" i="1"/>
  <c r="D102" i="1"/>
  <c r="AE102" i="1" s="1"/>
  <c r="E102" i="1"/>
  <c r="Q102" i="1"/>
  <c r="S102" i="1"/>
  <c r="X102" i="1" s="1" a="1"/>
  <c r="X102" i="1" s="1"/>
  <c r="T102" i="1"/>
  <c r="U102" i="1"/>
  <c r="V102" i="1" s="1"/>
  <c r="W102" i="1" s="1"/>
  <c r="Y102" i="1"/>
  <c r="Z102" i="1"/>
  <c r="AA102" i="1"/>
  <c r="AG102" i="1"/>
  <c r="AH102" i="1"/>
  <c r="AI102" i="1"/>
  <c r="AJ102" i="1"/>
  <c r="AK102" i="1"/>
  <c r="AL102" i="1"/>
  <c r="AM102" i="1"/>
  <c r="D103" i="1"/>
  <c r="AE103" i="1" s="1"/>
  <c r="E103" i="1"/>
  <c r="Q103" i="1"/>
  <c r="AH103" i="1" s="1"/>
  <c r="S103" i="1"/>
  <c r="T103" i="1"/>
  <c r="V103" i="1" s="1"/>
  <c r="W103" i="1" s="1"/>
  <c r="U103" i="1"/>
  <c r="X103" i="1" a="1"/>
  <c r="X103" i="1"/>
  <c r="Y103" i="1"/>
  <c r="Z103" i="1"/>
  <c r="AA103" i="1"/>
  <c r="AG103" i="1"/>
  <c r="AI103" i="1"/>
  <c r="AJ103" i="1"/>
  <c r="AK103" i="1"/>
  <c r="AL103" i="1"/>
  <c r="AM103" i="1" s="1"/>
  <c r="D104" i="1"/>
  <c r="AE104" i="1" s="1"/>
  <c r="E104" i="1"/>
  <c r="Q104" i="1"/>
  <c r="S104" i="1"/>
  <c r="T104" i="1"/>
  <c r="U104" i="1"/>
  <c r="V104" i="1" s="1"/>
  <c r="W104" i="1" s="1"/>
  <c r="X104" i="1" a="1"/>
  <c r="X104" i="1" s="1"/>
  <c r="Y104" i="1"/>
  <c r="Z104" i="1" s="1"/>
  <c r="AA104" i="1"/>
  <c r="AG104" i="1"/>
  <c r="AH104" i="1"/>
  <c r="AI104" i="1"/>
  <c r="AJ104" i="1" s="1"/>
  <c r="AK104" i="1"/>
  <c r="AL104" i="1"/>
  <c r="AM104" i="1" s="1"/>
  <c r="D105" i="1"/>
  <c r="E105" i="1"/>
  <c r="Q105" i="1"/>
  <c r="S105" i="1"/>
  <c r="T105" i="1"/>
  <c r="U105" i="1"/>
  <c r="V105" i="1"/>
  <c r="W105" i="1"/>
  <c r="X105" i="1" a="1"/>
  <c r="X105" i="1" s="1"/>
  <c r="Y105" i="1"/>
  <c r="Z105" i="1" s="1"/>
  <c r="AA105" i="1"/>
  <c r="AE105" i="1"/>
  <c r="AG105" i="1"/>
  <c r="AH105" i="1"/>
  <c r="AI105" i="1"/>
  <c r="AJ105" i="1" s="1"/>
  <c r="AK105" i="1"/>
  <c r="AL105" i="1"/>
  <c r="AM105" i="1"/>
  <c r="D106" i="1"/>
  <c r="E106" i="1"/>
  <c r="Q106" i="1"/>
  <c r="AH106" i="1" s="1"/>
  <c r="S106" i="1"/>
  <c r="X106" i="1" s="1" a="1"/>
  <c r="T106" i="1"/>
  <c r="U106" i="1"/>
  <c r="V106" i="1"/>
  <c r="W106" i="1"/>
  <c r="X106" i="1"/>
  <c r="Y106" i="1"/>
  <c r="Z106" i="1"/>
  <c r="AA106" i="1"/>
  <c r="AE106" i="1"/>
  <c r="AG106" i="1"/>
  <c r="AI106" i="1"/>
  <c r="AJ106" i="1"/>
  <c r="AK106" i="1"/>
  <c r="AL106" i="1"/>
  <c r="AM106" i="1"/>
  <c r="D107" i="1"/>
  <c r="E107" i="1"/>
  <c r="Q107" i="1"/>
  <c r="AH107" i="1" s="1"/>
  <c r="S107" i="1"/>
  <c r="T107" i="1"/>
  <c r="U107" i="1"/>
  <c r="V107" i="1"/>
  <c r="W107" i="1" s="1"/>
  <c r="X107" i="1" a="1"/>
  <c r="X107" i="1" s="1"/>
  <c r="Y107" i="1"/>
  <c r="Z107" i="1" s="1"/>
  <c r="AA107" i="1"/>
  <c r="AE107" i="1"/>
  <c r="AG107" i="1"/>
  <c r="AI107" i="1"/>
  <c r="AJ107" i="1" s="1"/>
  <c r="AK107" i="1"/>
  <c r="AL107" i="1"/>
  <c r="AM107" i="1"/>
  <c r="D108" i="1"/>
  <c r="AE108" i="1" s="1"/>
  <c r="E108" i="1"/>
  <c r="Q108" i="1"/>
  <c r="S108" i="1"/>
  <c r="X108" i="1" s="1" a="1"/>
  <c r="X108" i="1" s="1"/>
  <c r="T108" i="1"/>
  <c r="U108" i="1"/>
  <c r="V108" i="1"/>
  <c r="W108" i="1" s="1"/>
  <c r="Y108" i="1"/>
  <c r="Z108" i="1"/>
  <c r="AA108" i="1"/>
  <c r="AG108" i="1"/>
  <c r="AH108" i="1"/>
  <c r="AI108" i="1"/>
  <c r="AJ108" i="1"/>
  <c r="AK108" i="1"/>
  <c r="AL108" i="1"/>
  <c r="AM108" i="1" s="1"/>
  <c r="D109" i="1"/>
  <c r="AE109" i="1" s="1"/>
  <c r="E109" i="1"/>
  <c r="Q109" i="1"/>
  <c r="S109" i="1"/>
  <c r="X109" i="1" s="1" a="1"/>
  <c r="X109" i="1" s="1"/>
  <c r="T109" i="1"/>
  <c r="U109" i="1"/>
  <c r="V109" i="1" s="1"/>
  <c r="W109" i="1" s="1"/>
  <c r="Y109" i="1"/>
  <c r="Z109" i="1" s="1"/>
  <c r="AA109" i="1"/>
  <c r="AG109" i="1"/>
  <c r="AH109" i="1"/>
  <c r="AI109" i="1"/>
  <c r="AJ109" i="1" s="1"/>
  <c r="AK109" i="1"/>
  <c r="AL109" i="1"/>
  <c r="AM109" i="1"/>
  <c r="D110" i="1"/>
  <c r="E110" i="1"/>
  <c r="Q110" i="1"/>
  <c r="S110" i="1"/>
  <c r="X110" i="1" s="1" a="1"/>
  <c r="X110" i="1" s="1"/>
  <c r="T110" i="1"/>
  <c r="U110" i="1"/>
  <c r="V110" i="1"/>
  <c r="W110" i="1" s="1"/>
  <c r="Y110" i="1"/>
  <c r="Z110" i="1"/>
  <c r="AA110" i="1"/>
  <c r="AE110" i="1"/>
  <c r="AG110" i="1"/>
  <c r="AH110" i="1"/>
  <c r="AI110" i="1"/>
  <c r="AJ110" i="1"/>
  <c r="AK110" i="1"/>
  <c r="AL110" i="1"/>
  <c r="AM110" i="1"/>
  <c r="D111" i="1"/>
  <c r="E111" i="1"/>
  <c r="Q111" i="1"/>
  <c r="AH111" i="1" s="1"/>
  <c r="S111" i="1"/>
  <c r="X111" i="1" s="1" a="1"/>
  <c r="X111" i="1" s="1"/>
  <c r="T111" i="1"/>
  <c r="V111" i="1" s="1"/>
  <c r="W111" i="1" s="1"/>
  <c r="U111" i="1"/>
  <c r="Y111" i="1"/>
  <c r="Z111" i="1"/>
  <c r="AA111" i="1"/>
  <c r="AE111" i="1"/>
  <c r="AG111" i="1"/>
  <c r="AI111" i="1"/>
  <c r="AJ111" i="1" s="1"/>
  <c r="AK111" i="1"/>
  <c r="AL111" i="1"/>
  <c r="AM111" i="1"/>
  <c r="D112" i="1"/>
  <c r="AE112" i="1" s="1"/>
  <c r="E112" i="1"/>
  <c r="Q112" i="1"/>
  <c r="S112" i="1"/>
  <c r="X112" i="1" s="1" a="1"/>
  <c r="X112" i="1" s="1"/>
  <c r="T112" i="1"/>
  <c r="U112" i="1"/>
  <c r="V112" i="1" s="1"/>
  <c r="W112" i="1" s="1"/>
  <c r="Y112" i="1"/>
  <c r="Z112" i="1" s="1"/>
  <c r="AA112" i="1"/>
  <c r="AG112" i="1"/>
  <c r="AH112" i="1"/>
  <c r="AI112" i="1"/>
  <c r="AJ112" i="1"/>
  <c r="AK112" i="1"/>
  <c r="AL112" i="1"/>
  <c r="AM112" i="1"/>
  <c r="D113" i="1"/>
  <c r="E113" i="1"/>
  <c r="Q113" i="1"/>
  <c r="S113" i="1"/>
  <c r="X113" i="1" s="1" a="1"/>
  <c r="T113" i="1"/>
  <c r="U113" i="1"/>
  <c r="X113" i="1"/>
  <c r="Y113" i="1"/>
  <c r="Z113" i="1" s="1"/>
  <c r="AA113" i="1"/>
  <c r="AE113" i="1"/>
  <c r="AG113" i="1"/>
  <c r="AH113" i="1"/>
  <c r="AI113" i="1"/>
  <c r="AJ113" i="1"/>
  <c r="AK113" i="1"/>
  <c r="AL113" i="1"/>
  <c r="AM113" i="1"/>
  <c r="D114" i="1"/>
  <c r="AE114" i="1" s="1"/>
  <c r="E114" i="1"/>
  <c r="Q114" i="1"/>
  <c r="AH114" i="1" s="1"/>
  <c r="S114" i="1"/>
  <c r="X114" i="1" s="1" a="1"/>
  <c r="X114" i="1" s="1"/>
  <c r="T114" i="1"/>
  <c r="V114" i="1" s="1"/>
  <c r="W114" i="1" s="1"/>
  <c r="U114" i="1"/>
  <c r="Y114" i="1"/>
  <c r="Z114" i="1" s="1"/>
  <c r="AA114" i="1"/>
  <c r="AG114" i="1"/>
  <c r="AI114" i="1"/>
  <c r="AJ114" i="1"/>
  <c r="AK114" i="1"/>
  <c r="AL114" i="1"/>
  <c r="AM114" i="1"/>
  <c r="D115" i="1"/>
  <c r="AE115" i="1" s="1"/>
  <c r="E115" i="1"/>
  <c r="Q115" i="1"/>
  <c r="S115" i="1"/>
  <c r="T115" i="1"/>
  <c r="U115" i="1"/>
  <c r="V115" i="1"/>
  <c r="W115" i="1"/>
  <c r="X115" i="1" a="1"/>
  <c r="X115" i="1"/>
  <c r="Y115" i="1"/>
  <c r="Z115" i="1" s="1"/>
  <c r="AA115" i="1"/>
  <c r="AG115" i="1"/>
  <c r="AH115" i="1"/>
  <c r="AI115" i="1"/>
  <c r="AJ115" i="1" s="1"/>
  <c r="AK115" i="1"/>
  <c r="AL115" i="1"/>
  <c r="AM115" i="1" s="1"/>
  <c r="D116" i="1"/>
  <c r="AE116" i="1" s="1"/>
  <c r="E116" i="1"/>
  <c r="Q116" i="1"/>
  <c r="S116" i="1"/>
  <c r="T116" i="1"/>
  <c r="V116" i="1" s="1"/>
  <c r="W116" i="1" s="1"/>
  <c r="U116" i="1"/>
  <c r="X116" i="1" a="1"/>
  <c r="X116" i="1"/>
  <c r="Y116" i="1"/>
  <c r="Z116" i="1"/>
  <c r="AA116" i="1"/>
  <c r="AG116" i="1"/>
  <c r="AH116" i="1"/>
  <c r="AI116" i="1"/>
  <c r="AJ116" i="1" s="1"/>
  <c r="AK116" i="1"/>
  <c r="AL116" i="1"/>
  <c r="AM116" i="1" s="1"/>
  <c r="D117" i="1"/>
  <c r="E117" i="1"/>
  <c r="Q117" i="1"/>
  <c r="S117" i="1"/>
  <c r="T117" i="1"/>
  <c r="U117" i="1"/>
  <c r="V117" i="1"/>
  <c r="W117" i="1"/>
  <c r="X117" i="1" a="1"/>
  <c r="X117" i="1" s="1"/>
  <c r="Y117" i="1"/>
  <c r="Z117" i="1" s="1"/>
  <c r="AA117" i="1"/>
  <c r="AE117" i="1"/>
  <c r="AG117" i="1"/>
  <c r="AH117" i="1"/>
  <c r="AI117" i="1"/>
  <c r="AJ117" i="1" s="1"/>
  <c r="AK117" i="1"/>
  <c r="AL117" i="1"/>
  <c r="AM117" i="1"/>
  <c r="D118" i="1"/>
  <c r="E118" i="1"/>
  <c r="Q118" i="1"/>
  <c r="S118" i="1"/>
  <c r="X118" i="1" s="1" a="1"/>
  <c r="T118" i="1"/>
  <c r="U118" i="1"/>
  <c r="X118" i="1"/>
  <c r="Y118" i="1"/>
  <c r="Z118" i="1" s="1"/>
  <c r="AA118" i="1"/>
  <c r="AE118" i="1"/>
  <c r="AG118" i="1"/>
  <c r="AH118" i="1"/>
  <c r="AI118" i="1"/>
  <c r="AJ118" i="1"/>
  <c r="AK118" i="1"/>
  <c r="AL118" i="1"/>
  <c r="AM118" i="1"/>
  <c r="D119" i="1"/>
  <c r="AE119" i="1" s="1"/>
  <c r="E119" i="1"/>
  <c r="Q119" i="1"/>
  <c r="S119" i="1"/>
  <c r="X119" i="1" s="1" a="1"/>
  <c r="X119" i="1" s="1"/>
  <c r="T119" i="1"/>
  <c r="U119" i="1"/>
  <c r="V119" i="1"/>
  <c r="W119" i="1" s="1"/>
  <c r="Y119" i="1"/>
  <c r="Z119" i="1"/>
  <c r="AA119" i="1"/>
  <c r="AG119" i="1"/>
  <c r="AH119" i="1"/>
  <c r="AI119" i="1"/>
  <c r="AJ119" i="1" s="1"/>
  <c r="AK119" i="1"/>
  <c r="AL119" i="1"/>
  <c r="AM119" i="1"/>
  <c r="D120" i="1"/>
  <c r="E120" i="1"/>
  <c r="Q120" i="1"/>
  <c r="S120" i="1"/>
  <c r="X120" i="1" s="1" a="1"/>
  <c r="X120" i="1" s="1"/>
  <c r="T120" i="1"/>
  <c r="V120" i="1" s="1"/>
  <c r="W120" i="1" s="1"/>
  <c r="U120" i="1"/>
  <c r="Y120" i="1"/>
  <c r="Z120" i="1" s="1"/>
  <c r="AA120" i="1"/>
  <c r="AE120" i="1"/>
  <c r="AG120" i="1"/>
  <c r="AH120" i="1"/>
  <c r="AI120" i="1"/>
  <c r="AJ120" i="1" s="1"/>
  <c r="AK120" i="1"/>
  <c r="AL120" i="1"/>
  <c r="AM120" i="1" s="1"/>
  <c r="D121" i="1"/>
  <c r="E121" i="1"/>
  <c r="Q121" i="1"/>
  <c r="AH121" i="1" s="1"/>
  <c r="S121" i="1"/>
  <c r="T121" i="1"/>
  <c r="V121" i="1" s="1"/>
  <c r="W121" i="1" s="1"/>
  <c r="U121" i="1"/>
  <c r="X121" i="1" a="1"/>
  <c r="X121" i="1" s="1"/>
  <c r="Y121" i="1"/>
  <c r="Z121" i="1" s="1"/>
  <c r="AA121" i="1"/>
  <c r="AE121" i="1"/>
  <c r="AG121" i="1"/>
  <c r="AI121" i="1"/>
  <c r="AJ121" i="1"/>
  <c r="AK121" i="1"/>
  <c r="AL121" i="1"/>
  <c r="AM121" i="1"/>
  <c r="D122" i="1"/>
  <c r="AE122" i="1" s="1"/>
  <c r="E122" i="1"/>
  <c r="Q122" i="1"/>
  <c r="AH122" i="1" s="1"/>
  <c r="S122" i="1"/>
  <c r="X122" i="1" s="1" a="1"/>
  <c r="T122" i="1"/>
  <c r="U122" i="1"/>
  <c r="V122" i="1"/>
  <c r="W122" i="1" s="1"/>
  <c r="X122" i="1"/>
  <c r="Y122" i="1"/>
  <c r="Z122" i="1" s="1"/>
  <c r="AA122" i="1"/>
  <c r="AG122" i="1"/>
  <c r="AI122" i="1"/>
  <c r="AJ122" i="1"/>
  <c r="AK122" i="1"/>
  <c r="AL122" i="1"/>
  <c r="AM122" i="1"/>
  <c r="D123" i="1"/>
  <c r="E123" i="1"/>
  <c r="Q123" i="1"/>
  <c r="S123" i="1"/>
  <c r="T123" i="1"/>
  <c r="V123" i="1" s="1"/>
  <c r="U123" i="1"/>
  <c r="W123" i="1"/>
  <c r="X123" i="1" a="1"/>
  <c r="X123" i="1" s="1"/>
  <c r="Y123" i="1"/>
  <c r="Z123" i="1" s="1"/>
  <c r="AA123" i="1"/>
  <c r="AE123" i="1"/>
  <c r="AG123" i="1"/>
  <c r="AH123" i="1"/>
  <c r="AI123" i="1"/>
  <c r="AJ123" i="1" s="1"/>
  <c r="AK123" i="1"/>
  <c r="AL123" i="1"/>
  <c r="AM123" i="1"/>
  <c r="D124" i="1"/>
  <c r="E124" i="1"/>
  <c r="Q124" i="1"/>
  <c r="S124" i="1"/>
  <c r="T124" i="1"/>
  <c r="U124" i="1"/>
  <c r="V124" i="1" s="1"/>
  <c r="W124" i="1" s="1"/>
  <c r="X124" i="1" a="1"/>
  <c r="X124" i="1" s="1"/>
  <c r="Y124" i="1"/>
  <c r="Z124" i="1" s="1"/>
  <c r="AA124" i="1"/>
  <c r="AE124" i="1"/>
  <c r="AG124" i="1"/>
  <c r="AH124" i="1"/>
  <c r="AI124" i="1"/>
  <c r="AJ124" i="1"/>
  <c r="AK124" i="1"/>
  <c r="AL124" i="1"/>
  <c r="AM124" i="1" s="1"/>
  <c r="D125" i="1"/>
  <c r="E125" i="1"/>
  <c r="Q125" i="1"/>
  <c r="S125" i="1"/>
  <c r="T125" i="1"/>
  <c r="V125" i="1" s="1"/>
  <c r="W125" i="1" s="1"/>
  <c r="U125" i="1"/>
  <c r="X125" i="1" a="1"/>
  <c r="X125" i="1"/>
  <c r="Y125" i="1"/>
  <c r="Z125" i="1" s="1"/>
  <c r="AA125" i="1"/>
  <c r="AE125" i="1"/>
  <c r="AG125" i="1"/>
  <c r="AH125" i="1"/>
  <c r="AI125" i="1"/>
  <c r="AJ125" i="1" s="1"/>
  <c r="AK125" i="1"/>
  <c r="AL125" i="1"/>
  <c r="AM125" i="1"/>
  <c r="D126" i="1"/>
  <c r="AE126" i="1" s="1"/>
  <c r="E126" i="1"/>
  <c r="Q126" i="1"/>
  <c r="S126" i="1"/>
  <c r="X126" i="1" s="1" a="1"/>
  <c r="X126" i="1" s="1"/>
  <c r="T126" i="1"/>
  <c r="V126" i="1" s="1"/>
  <c r="W126" i="1" s="1"/>
  <c r="U126" i="1"/>
  <c r="Y126" i="1"/>
  <c r="Z126" i="1" s="1"/>
  <c r="AA126" i="1"/>
  <c r="AG126" i="1"/>
  <c r="AH126" i="1"/>
  <c r="AI126" i="1"/>
  <c r="AJ126" i="1"/>
  <c r="AK126" i="1"/>
  <c r="AL126" i="1"/>
  <c r="AM126" i="1"/>
  <c r="D127" i="1"/>
  <c r="AE127" i="1" s="1"/>
  <c r="E127" i="1"/>
  <c r="Q127" i="1"/>
  <c r="AH127" i="1" s="1"/>
  <c r="S127" i="1"/>
  <c r="X127" i="1" s="1" a="1"/>
  <c r="X127" i="1" s="1"/>
  <c r="T127" i="1"/>
  <c r="V127" i="1" s="1"/>
  <c r="W127" i="1" s="1"/>
  <c r="U127" i="1"/>
  <c r="Y127" i="1"/>
  <c r="Z127" i="1" s="1"/>
  <c r="AA127" i="1"/>
  <c r="AG127" i="1"/>
  <c r="AI127" i="1"/>
  <c r="AJ127" i="1" s="1"/>
  <c r="AK127" i="1"/>
  <c r="AL127" i="1"/>
  <c r="AM127" i="1" s="1"/>
  <c r="D128" i="1"/>
  <c r="AE128" i="1" s="1"/>
  <c r="E128" i="1"/>
  <c r="Q128" i="1"/>
  <c r="S128" i="1"/>
  <c r="T128" i="1"/>
  <c r="U128" i="1"/>
  <c r="V128" i="1" s="1"/>
  <c r="W128" i="1" s="1"/>
  <c r="X128" i="1" a="1"/>
  <c r="X128" i="1" s="1"/>
  <c r="Y128" i="1"/>
  <c r="Z128" i="1" s="1"/>
  <c r="AA128" i="1"/>
  <c r="AG128" i="1"/>
  <c r="AH128" i="1"/>
  <c r="AI128" i="1"/>
  <c r="AJ128" i="1"/>
  <c r="AK128" i="1"/>
  <c r="AL128" i="1"/>
  <c r="AM128" i="1"/>
  <c r="D129" i="1"/>
  <c r="AE129" i="1" s="1"/>
  <c r="E129" i="1"/>
  <c r="Q129" i="1"/>
  <c r="AH129" i="1" s="1"/>
  <c r="S129" i="1"/>
  <c r="T129" i="1"/>
  <c r="U129" i="1"/>
  <c r="V129" i="1"/>
  <c r="W129" i="1"/>
  <c r="X129" i="1" a="1"/>
  <c r="X129" i="1"/>
  <c r="Y129" i="1"/>
  <c r="Z129" i="1" s="1"/>
  <c r="AA129" i="1"/>
  <c r="AG129" i="1"/>
  <c r="AI129" i="1"/>
  <c r="AJ129" i="1" s="1"/>
  <c r="AK129" i="1"/>
  <c r="AL129" i="1"/>
  <c r="AM129" i="1"/>
  <c r="D130" i="1"/>
  <c r="AE130" i="1" s="1"/>
  <c r="E130" i="1"/>
  <c r="Q130" i="1"/>
  <c r="S130" i="1"/>
  <c r="X130" i="1" s="1" a="1"/>
  <c r="T130" i="1"/>
  <c r="V130" i="1" s="1"/>
  <c r="W130" i="1" s="1"/>
  <c r="U130" i="1"/>
  <c r="X130" i="1"/>
  <c r="Y130" i="1"/>
  <c r="Z130" i="1" s="1"/>
  <c r="AA130" i="1"/>
  <c r="AG130" i="1"/>
  <c r="AH130" i="1"/>
  <c r="AI130" i="1"/>
  <c r="AJ130" i="1"/>
  <c r="AK130" i="1"/>
  <c r="AL130" i="1"/>
  <c r="AM130" i="1"/>
  <c r="D131" i="1"/>
  <c r="E131" i="1"/>
  <c r="Q131" i="1"/>
  <c r="AH131" i="1" s="1"/>
  <c r="S131" i="1"/>
  <c r="X131" i="1" s="1" a="1"/>
  <c r="X131" i="1" s="1"/>
  <c r="T131" i="1"/>
  <c r="U131" i="1"/>
  <c r="V131" i="1"/>
  <c r="W131" i="1" s="1"/>
  <c r="Y131" i="1"/>
  <c r="Z131" i="1" s="1"/>
  <c r="AA131" i="1"/>
  <c r="AE131" i="1"/>
  <c r="AG131" i="1"/>
  <c r="AI131" i="1"/>
  <c r="AJ131" i="1" s="1"/>
  <c r="AK131" i="1"/>
  <c r="AL131" i="1"/>
  <c r="AM131" i="1" s="1"/>
  <c r="D132" i="1"/>
  <c r="E132" i="1"/>
  <c r="Q132" i="1"/>
  <c r="S132" i="1"/>
  <c r="T132" i="1"/>
  <c r="U132" i="1"/>
  <c r="V132" i="1"/>
  <c r="W132" i="1" s="1"/>
  <c r="X132" i="1" a="1"/>
  <c r="X132" i="1" s="1"/>
  <c r="Y132" i="1"/>
  <c r="Z132" i="1" s="1"/>
  <c r="AA132" i="1"/>
  <c r="AE132" i="1"/>
  <c r="AG132" i="1"/>
  <c r="AH132" i="1"/>
  <c r="AI132" i="1"/>
  <c r="AJ132" i="1"/>
  <c r="AK132" i="1"/>
  <c r="AL132" i="1"/>
  <c r="AM132" i="1" s="1"/>
  <c r="D133" i="1"/>
  <c r="E133" i="1"/>
  <c r="Q133" i="1"/>
  <c r="AH133" i="1" s="1"/>
  <c r="S133" i="1"/>
  <c r="X133" i="1" s="1" a="1"/>
  <c r="X133" i="1" s="1"/>
  <c r="T133" i="1"/>
  <c r="U133" i="1"/>
  <c r="Y133" i="1"/>
  <c r="Z133" i="1" s="1"/>
  <c r="AA133" i="1"/>
  <c r="AE133" i="1"/>
  <c r="AG133" i="1"/>
  <c r="AI133" i="1"/>
  <c r="AJ133" i="1" s="1"/>
  <c r="AK133" i="1"/>
  <c r="AL133" i="1"/>
  <c r="AM133" i="1"/>
  <c r="D134" i="1"/>
  <c r="E134" i="1"/>
  <c r="Q134" i="1"/>
  <c r="AH134" i="1" s="1"/>
  <c r="S134" i="1"/>
  <c r="X134" i="1" s="1" a="1"/>
  <c r="X134" i="1" s="1"/>
  <c r="T134" i="1"/>
  <c r="V134" i="1" s="1"/>
  <c r="W134" i="1" s="1"/>
  <c r="U134" i="1"/>
  <c r="Y134" i="1"/>
  <c r="Z134" i="1"/>
  <c r="AA134" i="1"/>
  <c r="AE134" i="1"/>
  <c r="AG134" i="1"/>
  <c r="AI134" i="1"/>
  <c r="AJ134" i="1"/>
  <c r="AK134" i="1"/>
  <c r="AL134" i="1"/>
  <c r="AM134" i="1" s="1"/>
  <c r="D135" i="1"/>
  <c r="AE135" i="1" s="1"/>
  <c r="E135" i="1"/>
  <c r="Q135" i="1"/>
  <c r="AH135" i="1" s="1"/>
  <c r="S135" i="1"/>
  <c r="X135" i="1" s="1" a="1"/>
  <c r="X135" i="1" s="1"/>
  <c r="T135" i="1"/>
  <c r="U135" i="1"/>
  <c r="V135" i="1"/>
  <c r="W135" i="1"/>
  <c r="Y135" i="1"/>
  <c r="Z135" i="1"/>
  <c r="AA135" i="1"/>
  <c r="AG135" i="1"/>
  <c r="AI135" i="1"/>
  <c r="AJ135" i="1"/>
  <c r="AK135" i="1"/>
  <c r="AL135" i="1"/>
  <c r="AM135" i="1" s="1"/>
  <c r="D136" i="1"/>
  <c r="AE136" i="1" s="1"/>
  <c r="E136" i="1"/>
  <c r="Q136" i="1"/>
  <c r="S136" i="1"/>
  <c r="T136" i="1"/>
  <c r="U136" i="1"/>
  <c r="V136" i="1" s="1"/>
  <c r="W136" i="1" s="1"/>
  <c r="X136" i="1" a="1"/>
  <c r="X136" i="1" s="1"/>
  <c r="Y136" i="1"/>
  <c r="Z136" i="1" s="1"/>
  <c r="AA136" i="1"/>
  <c r="AG136" i="1"/>
  <c r="AH136" i="1"/>
  <c r="AI136" i="1"/>
  <c r="AJ136" i="1"/>
  <c r="AK136" i="1"/>
  <c r="AL136" i="1"/>
  <c r="AM136" i="1" s="1"/>
  <c r="D137" i="1"/>
  <c r="AE137" i="1" s="1"/>
  <c r="E137" i="1"/>
  <c r="Q137" i="1"/>
  <c r="S137" i="1"/>
  <c r="T137" i="1"/>
  <c r="U137" i="1"/>
  <c r="X137" i="1" a="1"/>
  <c r="X137" i="1" s="1"/>
  <c r="Y137" i="1"/>
  <c r="Z137" i="1" s="1"/>
  <c r="AA137" i="1"/>
  <c r="AG137" i="1"/>
  <c r="AH137" i="1"/>
  <c r="AI137" i="1"/>
  <c r="AJ137" i="1" s="1"/>
  <c r="AK137" i="1"/>
  <c r="AL137" i="1"/>
  <c r="AM137" i="1"/>
  <c r="D138" i="1"/>
  <c r="E138" i="1"/>
  <c r="Q138" i="1"/>
  <c r="AH138" i="1" s="1"/>
  <c r="S138" i="1"/>
  <c r="X138" i="1" s="1" a="1"/>
  <c r="T138" i="1"/>
  <c r="U138" i="1"/>
  <c r="V138" i="1" s="1"/>
  <c r="W138" i="1" s="1"/>
  <c r="X138" i="1"/>
  <c r="Y138" i="1"/>
  <c r="Z138" i="1" s="1"/>
  <c r="AA138" i="1"/>
  <c r="AE138" i="1"/>
  <c r="AG138" i="1"/>
  <c r="AI138" i="1"/>
  <c r="AJ138" i="1"/>
  <c r="AK138" i="1"/>
  <c r="AL138" i="1"/>
  <c r="AM138" i="1" s="1"/>
  <c r="D139" i="1"/>
  <c r="E139" i="1"/>
  <c r="Q139" i="1"/>
  <c r="S139" i="1"/>
  <c r="X139" i="1" s="1" a="1"/>
  <c r="X139" i="1" s="1"/>
  <c r="T139" i="1"/>
  <c r="V139" i="1" s="1"/>
  <c r="W139" i="1" s="1"/>
  <c r="U139" i="1"/>
  <c r="Y139" i="1"/>
  <c r="Z139" i="1" s="1"/>
  <c r="AA139" i="1"/>
  <c r="AE139" i="1"/>
  <c r="AG139" i="1"/>
  <c r="AH139" i="1"/>
  <c r="AI139" i="1"/>
  <c r="AJ139" i="1"/>
  <c r="AK139" i="1"/>
  <c r="AL139" i="1"/>
  <c r="AM139" i="1" s="1"/>
  <c r="D140" i="1"/>
  <c r="E140" i="1"/>
  <c r="Q140" i="1"/>
  <c r="S140" i="1"/>
  <c r="X140" i="1" s="1" a="1"/>
  <c r="X140" i="1" s="1"/>
  <c r="T140" i="1"/>
  <c r="U140" i="1"/>
  <c r="Y140" i="1"/>
  <c r="Z140" i="1" s="1"/>
  <c r="AA140" i="1"/>
  <c r="AE140" i="1"/>
  <c r="AG140" i="1"/>
  <c r="AH140" i="1"/>
  <c r="AI140" i="1"/>
  <c r="AJ140" i="1"/>
  <c r="AK140" i="1"/>
  <c r="AL140" i="1"/>
  <c r="AM140" i="1" s="1"/>
  <c r="D141" i="1"/>
  <c r="E141" i="1"/>
  <c r="Q141" i="1"/>
  <c r="AH141" i="1" s="1"/>
  <c r="S141" i="1"/>
  <c r="X141" i="1" s="1" a="1"/>
  <c r="T141" i="1"/>
  <c r="V141" i="1" s="1"/>
  <c r="W141" i="1" s="1"/>
  <c r="U141" i="1"/>
  <c r="X141" i="1"/>
  <c r="Y141" i="1"/>
  <c r="Z141" i="1" s="1"/>
  <c r="AA141" i="1"/>
  <c r="AE141" i="1"/>
  <c r="AG141" i="1"/>
  <c r="AI141" i="1"/>
  <c r="AJ141" i="1" s="1"/>
  <c r="AK141" i="1"/>
  <c r="AL141" i="1"/>
  <c r="AM141" i="1"/>
  <c r="D142" i="1"/>
  <c r="AE142" i="1" s="1"/>
  <c r="E142" i="1"/>
  <c r="Q142" i="1"/>
  <c r="AH142" i="1" s="1"/>
  <c r="S142" i="1"/>
  <c r="X142" i="1" s="1" a="1"/>
  <c r="T142" i="1"/>
  <c r="V142" i="1" s="1"/>
  <c r="W142" i="1" s="1"/>
  <c r="U142" i="1"/>
  <c r="X142" i="1"/>
  <c r="Y142" i="1"/>
  <c r="Z142" i="1"/>
  <c r="AA142" i="1"/>
  <c r="AG142" i="1"/>
  <c r="AI142" i="1"/>
  <c r="AJ142" i="1"/>
  <c r="AK142" i="1"/>
  <c r="AL142" i="1"/>
  <c r="AM142" i="1"/>
  <c r="D143" i="1"/>
  <c r="AE143" i="1" s="1"/>
  <c r="E143" i="1"/>
  <c r="Q143" i="1"/>
  <c r="S143" i="1"/>
  <c r="T143" i="1"/>
  <c r="U143" i="1"/>
  <c r="V143" i="1"/>
  <c r="W143" i="1" s="1"/>
  <c r="X143" i="1" a="1"/>
  <c r="X143" i="1" s="1"/>
  <c r="Y143" i="1"/>
  <c r="Z143" i="1" s="1"/>
  <c r="AA143" i="1"/>
  <c r="AG143" i="1"/>
  <c r="AH143" i="1"/>
  <c r="AI143" i="1"/>
  <c r="AJ143" i="1"/>
  <c r="AK143" i="1"/>
  <c r="AL143" i="1"/>
  <c r="AM143" i="1"/>
  <c r="D144" i="1"/>
  <c r="E144" i="1"/>
  <c r="Q144" i="1"/>
  <c r="S144" i="1"/>
  <c r="T144" i="1"/>
  <c r="U144" i="1"/>
  <c r="V144" i="1"/>
  <c r="W144" i="1"/>
  <c r="X144" i="1" a="1"/>
  <c r="X144" i="1"/>
  <c r="Y144" i="1"/>
  <c r="Z144" i="1"/>
  <c r="AA144" i="1"/>
  <c r="AE144" i="1"/>
  <c r="AG144" i="1"/>
  <c r="AH144" i="1"/>
  <c r="AI144" i="1"/>
  <c r="AJ144" i="1"/>
  <c r="AK144" i="1"/>
  <c r="AL144" i="1"/>
  <c r="AM144" i="1"/>
  <c r="D145" i="1"/>
  <c r="E145" i="1"/>
  <c r="Q145" i="1"/>
  <c r="AH145" i="1" s="1"/>
  <c r="S145" i="1"/>
  <c r="T145" i="1"/>
  <c r="V145" i="1" s="1"/>
  <c r="W145" i="1" s="1"/>
  <c r="U145" i="1"/>
  <c r="X145" i="1" a="1"/>
  <c r="X145" i="1" s="1"/>
  <c r="Y145" i="1"/>
  <c r="Z145" i="1"/>
  <c r="AA145" i="1"/>
  <c r="AE145" i="1"/>
  <c r="AG145" i="1"/>
  <c r="AI145" i="1"/>
  <c r="AJ145" i="1"/>
  <c r="AK145" i="1"/>
  <c r="AL145" i="1"/>
  <c r="AM145" i="1" s="1"/>
  <c r="D146" i="1"/>
  <c r="AE146" i="1" s="1"/>
  <c r="E146" i="1"/>
  <c r="Q146" i="1"/>
  <c r="AH146" i="1" s="1"/>
  <c r="S146" i="1"/>
  <c r="X146" i="1" s="1" a="1"/>
  <c r="X146" i="1" s="1"/>
  <c r="T146" i="1"/>
  <c r="U146" i="1"/>
  <c r="V146" i="1"/>
  <c r="W146" i="1" s="1"/>
  <c r="Y146" i="1"/>
  <c r="Z146" i="1" s="1"/>
  <c r="AA146" i="1"/>
  <c r="AG146" i="1"/>
  <c r="AI146" i="1"/>
  <c r="AJ146" i="1" s="1"/>
  <c r="AK146" i="1"/>
  <c r="AL146" i="1"/>
  <c r="AM146" i="1"/>
  <c r="D147" i="1"/>
  <c r="AE147" i="1" s="1"/>
  <c r="E147" i="1"/>
  <c r="Q147" i="1"/>
  <c r="AH147" i="1" s="1"/>
  <c r="S147" i="1"/>
  <c r="X147" i="1" s="1" a="1"/>
  <c r="T147" i="1"/>
  <c r="V147" i="1" s="1"/>
  <c r="W147" i="1" s="1"/>
  <c r="U147" i="1"/>
  <c r="X147" i="1"/>
  <c r="Y147" i="1"/>
  <c r="Z147" i="1" s="1"/>
  <c r="AA147" i="1"/>
  <c r="AG147" i="1"/>
  <c r="AI147" i="1"/>
  <c r="AJ147" i="1" s="1"/>
  <c r="AK147" i="1"/>
  <c r="AL147" i="1"/>
  <c r="AM147" i="1" s="1"/>
  <c r="D148" i="1"/>
  <c r="E148" i="1"/>
  <c r="Q148" i="1"/>
  <c r="S148" i="1"/>
  <c r="T148" i="1"/>
  <c r="V148" i="1" s="1"/>
  <c r="W148" i="1" s="1"/>
  <c r="U148" i="1"/>
  <c r="X148" i="1" a="1"/>
  <c r="X148" i="1"/>
  <c r="Y148" i="1"/>
  <c r="Z148" i="1"/>
  <c r="AA148" i="1"/>
  <c r="AE148" i="1"/>
  <c r="AG148" i="1"/>
  <c r="AH148" i="1"/>
  <c r="AI148" i="1"/>
  <c r="AJ148" i="1" s="1"/>
  <c r="AK148" i="1"/>
  <c r="AL148" i="1"/>
  <c r="AM148" i="1" s="1"/>
  <c r="D149" i="1"/>
  <c r="E149" i="1"/>
  <c r="Q149" i="1"/>
  <c r="AH149" i="1" s="1"/>
  <c r="S149" i="1"/>
  <c r="X149" i="1" s="1" a="1"/>
  <c r="X149" i="1" s="1"/>
  <c r="T149" i="1"/>
  <c r="U149" i="1"/>
  <c r="Y149" i="1"/>
  <c r="Z149" i="1"/>
  <c r="AA149" i="1"/>
  <c r="AE149" i="1"/>
  <c r="AG149" i="1"/>
  <c r="AI149" i="1"/>
  <c r="AJ149" i="1" s="1"/>
  <c r="AK149" i="1"/>
  <c r="AL149" i="1"/>
  <c r="AM149" i="1" s="1"/>
  <c r="D150" i="1"/>
  <c r="AE150" i="1" s="1"/>
  <c r="E150" i="1"/>
  <c r="Q150" i="1"/>
  <c r="AH150" i="1" s="1"/>
  <c r="S150" i="1"/>
  <c r="X150" i="1" s="1" a="1"/>
  <c r="X150" i="1" s="1"/>
  <c r="T150" i="1"/>
  <c r="V150" i="1" s="1"/>
  <c r="W150" i="1" s="1"/>
  <c r="U150" i="1"/>
  <c r="Y150" i="1"/>
  <c r="Z150" i="1"/>
  <c r="AA150" i="1"/>
  <c r="AG150" i="1"/>
  <c r="AI150" i="1"/>
  <c r="AJ150" i="1" s="1"/>
  <c r="AK150" i="1"/>
  <c r="AL150" i="1"/>
  <c r="AM150" i="1" s="1"/>
  <c r="D151" i="1"/>
  <c r="AE151" i="1" s="1"/>
  <c r="E151" i="1"/>
  <c r="Q151" i="1"/>
  <c r="AH151" i="1" s="1"/>
  <c r="S151" i="1"/>
  <c r="X151" i="1" s="1" a="1"/>
  <c r="X151" i="1" s="1"/>
  <c r="T151" i="1"/>
  <c r="U151" i="1"/>
  <c r="V151" i="1" s="1"/>
  <c r="W151" i="1"/>
  <c r="Y151" i="1"/>
  <c r="Z151" i="1"/>
  <c r="AA151" i="1"/>
  <c r="AG151" i="1"/>
  <c r="AI151" i="1"/>
  <c r="AJ151" i="1" s="1"/>
  <c r="AK151" i="1"/>
  <c r="AL151" i="1"/>
  <c r="AM151" i="1" s="1"/>
  <c r="D152" i="1"/>
  <c r="E152" i="1"/>
  <c r="Q152" i="1"/>
  <c r="S152" i="1"/>
  <c r="T152" i="1"/>
  <c r="U152" i="1"/>
  <c r="V152" i="1"/>
  <c r="W152" i="1" s="1"/>
  <c r="X152" i="1" a="1"/>
  <c r="X152" i="1" s="1"/>
  <c r="Y152" i="1"/>
  <c r="Z152" i="1"/>
  <c r="AA152" i="1"/>
  <c r="AE152" i="1"/>
  <c r="AG152" i="1"/>
  <c r="AH152" i="1"/>
  <c r="AI152" i="1"/>
  <c r="AJ152" i="1" s="1"/>
  <c r="AK152" i="1"/>
  <c r="AL152" i="1"/>
  <c r="AM152" i="1" s="1"/>
  <c r="D153" i="1"/>
  <c r="E153" i="1"/>
  <c r="Q153" i="1"/>
  <c r="S153" i="1"/>
  <c r="T153" i="1"/>
  <c r="U153" i="1"/>
  <c r="V153" i="1"/>
  <c r="W153" i="1"/>
  <c r="X153" i="1" a="1"/>
  <c r="X153" i="1" s="1"/>
  <c r="Y153" i="1"/>
  <c r="Z153" i="1"/>
  <c r="AA153" i="1"/>
  <c r="AE153" i="1"/>
  <c r="AG153" i="1"/>
  <c r="AH153" i="1"/>
  <c r="AI153" i="1"/>
  <c r="AJ153" i="1" s="1"/>
  <c r="AK153" i="1"/>
  <c r="AL153" i="1"/>
  <c r="AM153" i="1" s="1"/>
  <c r="D154" i="1"/>
  <c r="E154" i="1"/>
  <c r="Q154" i="1"/>
  <c r="AH154" i="1" s="1"/>
  <c r="S154" i="1"/>
  <c r="X154" i="1" s="1" a="1"/>
  <c r="X154" i="1" s="1"/>
  <c r="T154" i="1"/>
  <c r="V154" i="1" s="1"/>
  <c r="W154" i="1" s="1"/>
  <c r="U154" i="1"/>
  <c r="Y154" i="1"/>
  <c r="Z154" i="1" s="1"/>
  <c r="AA154" i="1"/>
  <c r="AE154" i="1"/>
  <c r="AG154" i="1"/>
  <c r="AI154" i="1"/>
  <c r="AJ154" i="1" s="1"/>
  <c r="AK154" i="1"/>
  <c r="AL154" i="1"/>
  <c r="AM154" i="1" s="1"/>
  <c r="D155" i="1"/>
  <c r="AE155" i="1" s="1"/>
  <c r="E155" i="1"/>
  <c r="Q155" i="1"/>
  <c r="S155" i="1"/>
  <c r="X155" i="1" s="1" a="1"/>
  <c r="X155" i="1" s="1"/>
  <c r="T155" i="1"/>
  <c r="U155" i="1"/>
  <c r="V155" i="1" s="1"/>
  <c r="W155" i="1" s="1"/>
  <c r="Y155" i="1"/>
  <c r="Z155" i="1" s="1"/>
  <c r="AA155" i="1"/>
  <c r="AG155" i="1"/>
  <c r="AH155" i="1"/>
  <c r="AI155" i="1"/>
  <c r="AJ155" i="1" s="1"/>
  <c r="AK155" i="1"/>
  <c r="AL155" i="1"/>
  <c r="AM155" i="1" s="1"/>
  <c r="D156" i="1"/>
  <c r="E156" i="1"/>
  <c r="Q156" i="1"/>
  <c r="S156" i="1"/>
  <c r="T156" i="1"/>
  <c r="V156" i="1" s="1"/>
  <c r="U156" i="1"/>
  <c r="W156" i="1"/>
  <c r="X156" i="1" a="1"/>
  <c r="X156" i="1" s="1"/>
  <c r="Y156" i="1"/>
  <c r="Z156" i="1" s="1"/>
  <c r="AA156" i="1"/>
  <c r="AE156" i="1"/>
  <c r="AG156" i="1"/>
  <c r="AH156" i="1"/>
  <c r="AI156" i="1"/>
  <c r="AJ156" i="1"/>
  <c r="AK156" i="1"/>
  <c r="AL156" i="1"/>
  <c r="AM156" i="1" s="1"/>
  <c r="D157" i="1"/>
  <c r="E157" i="1"/>
  <c r="Q157" i="1"/>
  <c r="AH157" i="1" s="1"/>
  <c r="S157" i="1"/>
  <c r="X157" i="1" s="1" a="1"/>
  <c r="X157" i="1" s="1"/>
  <c r="T157" i="1"/>
  <c r="U157" i="1"/>
  <c r="V157" i="1" s="1"/>
  <c r="W157" i="1" s="1"/>
  <c r="Y157" i="1"/>
  <c r="Z157" i="1"/>
  <c r="AA157" i="1"/>
  <c r="AE157" i="1"/>
  <c r="AG157" i="1"/>
  <c r="AI157" i="1"/>
  <c r="AJ157" i="1" s="1"/>
  <c r="AK157" i="1"/>
  <c r="AL157" i="1"/>
  <c r="AM157" i="1"/>
  <c r="D158" i="1"/>
  <c r="AE158" i="1" s="1"/>
  <c r="E158" i="1"/>
  <c r="Q158" i="1"/>
  <c r="AH158" i="1" s="1"/>
  <c r="S158" i="1"/>
  <c r="X158" i="1" s="1" a="1"/>
  <c r="X158" i="1" s="1"/>
  <c r="T158" i="1"/>
  <c r="U158" i="1"/>
  <c r="Y158" i="1"/>
  <c r="Z158" i="1" s="1"/>
  <c r="AA158" i="1"/>
  <c r="AG158" i="1"/>
  <c r="AI158" i="1"/>
  <c r="AJ158" i="1"/>
  <c r="AK158" i="1"/>
  <c r="AL158" i="1"/>
  <c r="AM158" i="1" s="1"/>
  <c r="D159" i="1"/>
  <c r="AE159" i="1" s="1"/>
  <c r="E159" i="1"/>
  <c r="Q159" i="1"/>
  <c r="S159" i="1"/>
  <c r="T159" i="1"/>
  <c r="U159" i="1"/>
  <c r="V159" i="1"/>
  <c r="W159" i="1"/>
  <c r="X159" i="1" a="1"/>
  <c r="X159" i="1" s="1"/>
  <c r="Y159" i="1"/>
  <c r="Z159" i="1" s="1"/>
  <c r="AA159" i="1"/>
  <c r="AG159" i="1"/>
  <c r="AH159" i="1"/>
  <c r="AI159" i="1"/>
  <c r="AJ159" i="1"/>
  <c r="AK159" i="1"/>
  <c r="AL159" i="1"/>
  <c r="AM159" i="1" s="1"/>
  <c r="D160" i="1"/>
  <c r="AE160" i="1" s="1"/>
  <c r="E160" i="1"/>
  <c r="Q160" i="1"/>
  <c r="S160" i="1"/>
  <c r="T160" i="1"/>
  <c r="V160" i="1" s="1"/>
  <c r="W160" i="1" s="1"/>
  <c r="U160" i="1"/>
  <c r="X160" i="1" a="1"/>
  <c r="X160" i="1" s="1"/>
  <c r="Y160" i="1"/>
  <c r="Z160" i="1"/>
  <c r="AA160" i="1"/>
  <c r="AG160" i="1"/>
  <c r="AH160" i="1"/>
  <c r="AI160" i="1"/>
  <c r="AJ160" i="1"/>
  <c r="AK160" i="1"/>
  <c r="AL160" i="1"/>
  <c r="AM160" i="1" s="1"/>
  <c r="D161" i="1"/>
  <c r="E161" i="1"/>
  <c r="Q161" i="1"/>
  <c r="S161" i="1"/>
  <c r="T161" i="1"/>
  <c r="V161" i="1" s="1"/>
  <c r="W161" i="1" s="1"/>
  <c r="U161" i="1"/>
  <c r="X161" i="1" a="1"/>
  <c r="X161" i="1"/>
  <c r="Y161" i="1"/>
  <c r="Z161" i="1"/>
  <c r="AA161" i="1"/>
  <c r="AE161" i="1"/>
  <c r="AG161" i="1"/>
  <c r="AH161" i="1"/>
  <c r="AI161" i="1"/>
  <c r="AJ161" i="1" s="1"/>
  <c r="AK161" i="1"/>
  <c r="AL161" i="1"/>
  <c r="AM161" i="1"/>
  <c r="D162" i="1"/>
  <c r="E162" i="1"/>
  <c r="Q162" i="1"/>
  <c r="AH162" i="1" s="1"/>
  <c r="S162" i="1"/>
  <c r="X162" i="1" s="1" a="1"/>
  <c r="X162" i="1" s="1"/>
  <c r="T162" i="1"/>
  <c r="U162" i="1"/>
  <c r="V162" i="1"/>
  <c r="W162" i="1" s="1"/>
  <c r="Y162" i="1"/>
  <c r="Z162" i="1" s="1"/>
  <c r="AA162" i="1"/>
  <c r="AE162" i="1"/>
  <c r="AG162" i="1"/>
  <c r="AI162" i="1"/>
  <c r="AJ162" i="1" s="1"/>
  <c r="AK162" i="1"/>
  <c r="AL162" i="1"/>
  <c r="AM162" i="1" s="1"/>
  <c r="D163" i="1"/>
  <c r="AE163" i="1" s="1"/>
  <c r="E163" i="1"/>
  <c r="Q163" i="1"/>
  <c r="S163" i="1"/>
  <c r="X163" i="1" s="1" a="1"/>
  <c r="X163" i="1" s="1"/>
  <c r="T163" i="1"/>
  <c r="U163" i="1"/>
  <c r="V163" i="1"/>
  <c r="W163" i="1" s="1"/>
  <c r="Y163" i="1"/>
  <c r="Z163" i="1" s="1"/>
  <c r="AA163" i="1"/>
  <c r="AG163" i="1"/>
  <c r="AH163" i="1"/>
  <c r="AI163" i="1"/>
  <c r="AJ163" i="1" s="1"/>
  <c r="AK163" i="1"/>
  <c r="AL163" i="1"/>
  <c r="AM163" i="1" s="1"/>
  <c r="D164" i="1"/>
  <c r="E164" i="1"/>
  <c r="Q164" i="1"/>
  <c r="AH164" i="1" s="1"/>
  <c r="S164" i="1"/>
  <c r="T164" i="1"/>
  <c r="V164" i="1" s="1"/>
  <c r="W164" i="1" s="1"/>
  <c r="U164" i="1"/>
  <c r="X164" i="1" a="1"/>
  <c r="X164" i="1" s="1"/>
  <c r="Y164" i="1"/>
  <c r="Z164" i="1"/>
  <c r="AA164" i="1"/>
  <c r="AE164" i="1"/>
  <c r="AG164" i="1"/>
  <c r="AI164" i="1"/>
  <c r="AJ164" i="1"/>
  <c r="AK164" i="1"/>
  <c r="AL164" i="1"/>
  <c r="AM164" i="1"/>
  <c r="D165" i="1"/>
  <c r="AE165" i="1" s="1"/>
  <c r="E165" i="1"/>
  <c r="Q165" i="1"/>
  <c r="AH165" i="1" s="1"/>
  <c r="S165" i="1"/>
  <c r="X165" i="1" s="1" a="1"/>
  <c r="X165" i="1" s="1"/>
  <c r="T165" i="1"/>
  <c r="V165" i="1" s="1"/>
  <c r="W165" i="1" s="1"/>
  <c r="U165" i="1"/>
  <c r="Y165" i="1"/>
  <c r="Z165" i="1"/>
  <c r="AA165" i="1"/>
  <c r="AG165" i="1"/>
  <c r="AI165" i="1"/>
  <c r="AJ165" i="1" s="1"/>
  <c r="AK165" i="1"/>
  <c r="AL165" i="1"/>
  <c r="AM165" i="1"/>
  <c r="D166" i="1"/>
  <c r="AE166" i="1" s="1"/>
  <c r="E166" i="1"/>
  <c r="Q166" i="1"/>
  <c r="S166" i="1"/>
  <c r="T166" i="1"/>
  <c r="U166" i="1"/>
  <c r="X166" i="1" a="1"/>
  <c r="X166" i="1" s="1"/>
  <c r="Y166" i="1"/>
  <c r="Z166" i="1"/>
  <c r="AA166" i="1"/>
  <c r="AG166" i="1"/>
  <c r="AH166" i="1"/>
  <c r="AI166" i="1"/>
  <c r="AJ166" i="1" s="1"/>
  <c r="AK166" i="1"/>
  <c r="AL166" i="1"/>
  <c r="AM166" i="1" s="1"/>
  <c r="D167" i="1"/>
  <c r="E167" i="1"/>
  <c r="Q167" i="1"/>
  <c r="S167" i="1"/>
  <c r="T167" i="1"/>
  <c r="U167" i="1"/>
  <c r="V167" i="1"/>
  <c r="W167" i="1"/>
  <c r="X167" i="1" a="1"/>
  <c r="X167" i="1" s="1"/>
  <c r="Y167" i="1"/>
  <c r="Z167" i="1" s="1"/>
  <c r="AA167" i="1"/>
  <c r="AE167" i="1"/>
  <c r="AG167" i="1"/>
  <c r="AH167" i="1"/>
  <c r="AI167" i="1"/>
  <c r="AJ167" i="1" s="1"/>
  <c r="AK167" i="1"/>
  <c r="AL167" i="1"/>
  <c r="AM167" i="1"/>
  <c r="D168" i="1"/>
  <c r="E168" i="1"/>
  <c r="Q168" i="1"/>
  <c r="S168" i="1"/>
  <c r="X168" i="1" s="1" a="1"/>
  <c r="X168" i="1" s="1"/>
  <c r="T168" i="1"/>
  <c r="U168" i="1"/>
  <c r="V168" i="1"/>
  <c r="W168" i="1" s="1"/>
  <c r="Y168" i="1"/>
  <c r="Z168" i="1"/>
  <c r="AA168" i="1"/>
  <c r="AE168" i="1"/>
  <c r="AG168" i="1"/>
  <c r="AH168" i="1"/>
  <c r="AI168" i="1"/>
  <c r="AJ168" i="1"/>
  <c r="AK168" i="1"/>
  <c r="AL168" i="1"/>
  <c r="AM168" i="1"/>
  <c r="D169" i="1"/>
  <c r="E169" i="1"/>
  <c r="Q169" i="1"/>
  <c r="AH169" i="1" s="1"/>
  <c r="S169" i="1"/>
  <c r="T169" i="1"/>
  <c r="V169" i="1" s="1"/>
  <c r="W169" i="1" s="1"/>
  <c r="U169" i="1"/>
  <c r="X169" i="1" a="1"/>
  <c r="X169" i="1"/>
  <c r="Y169" i="1"/>
  <c r="Z169" i="1"/>
  <c r="AA169" i="1"/>
  <c r="AE169" i="1"/>
  <c r="AG169" i="1"/>
  <c r="AI169" i="1"/>
  <c r="AJ169" i="1"/>
  <c r="AK169" i="1"/>
  <c r="AL169" i="1"/>
  <c r="AM169" i="1"/>
  <c r="D170" i="1"/>
  <c r="AE170" i="1" s="1"/>
  <c r="E170" i="1"/>
  <c r="Q170" i="1"/>
  <c r="S170" i="1"/>
  <c r="T170" i="1"/>
  <c r="U170" i="1"/>
  <c r="V170" i="1"/>
  <c r="W170" i="1" s="1"/>
  <c r="X170" i="1" a="1"/>
  <c r="X170" i="1" s="1"/>
  <c r="Y170" i="1"/>
  <c r="Z170" i="1"/>
  <c r="AA170" i="1"/>
  <c r="AG170" i="1"/>
  <c r="AH170" i="1"/>
  <c r="AI170" i="1"/>
  <c r="AJ170" i="1" s="1"/>
  <c r="AK170" i="1"/>
  <c r="AL170" i="1"/>
  <c r="AM170" i="1" s="1"/>
  <c r="D171" i="1"/>
  <c r="E171" i="1"/>
  <c r="Q171" i="1"/>
  <c r="S171" i="1"/>
  <c r="T171" i="1"/>
  <c r="U171" i="1"/>
  <c r="V171" i="1" s="1"/>
  <c r="W171" i="1" s="1"/>
  <c r="X171" i="1" a="1"/>
  <c r="X171" i="1" s="1"/>
  <c r="Y171" i="1"/>
  <c r="Z171" i="1" s="1"/>
  <c r="AA171" i="1"/>
  <c r="AE171" i="1"/>
  <c r="AG171" i="1"/>
  <c r="AH171" i="1"/>
  <c r="AI171" i="1"/>
  <c r="AJ171" i="1" s="1"/>
  <c r="AK171" i="1"/>
  <c r="AL171" i="1"/>
  <c r="AM171" i="1"/>
  <c r="D172" i="1"/>
  <c r="AE172" i="1" s="1"/>
  <c r="E172" i="1"/>
  <c r="Q172" i="1"/>
  <c r="AH172" i="1" s="1"/>
  <c r="S172" i="1"/>
  <c r="X172" i="1" s="1" a="1"/>
  <c r="X172" i="1" s="1"/>
  <c r="T172" i="1"/>
  <c r="U172" i="1"/>
  <c r="V172" i="1" s="1"/>
  <c r="W172" i="1" s="1"/>
  <c r="Y172" i="1"/>
  <c r="Z172" i="1"/>
  <c r="AA172" i="1"/>
  <c r="AG172" i="1"/>
  <c r="AI172" i="1"/>
  <c r="AJ172" i="1"/>
  <c r="AK172" i="1"/>
  <c r="AL172" i="1"/>
  <c r="AM172" i="1" s="1"/>
  <c r="D173" i="1"/>
  <c r="E173" i="1"/>
  <c r="Q173" i="1"/>
  <c r="AH173" i="1" s="1"/>
  <c r="S173" i="1"/>
  <c r="T173" i="1"/>
  <c r="V173" i="1" s="1"/>
  <c r="W173" i="1" s="1"/>
  <c r="U173" i="1"/>
  <c r="X173" i="1" a="1"/>
  <c r="X173" i="1" s="1"/>
  <c r="Y173" i="1"/>
  <c r="Z173" i="1"/>
  <c r="AA173" i="1"/>
  <c r="AE173" i="1"/>
  <c r="AG173" i="1"/>
  <c r="AI173" i="1"/>
  <c r="AJ173" i="1"/>
  <c r="AK173" i="1"/>
  <c r="AL173" i="1"/>
  <c r="AM173" i="1" s="1"/>
  <c r="D174" i="1"/>
  <c r="AE174" i="1" s="1"/>
  <c r="E174" i="1"/>
  <c r="Q174" i="1"/>
  <c r="S174" i="1"/>
  <c r="T174" i="1"/>
  <c r="U174" i="1"/>
  <c r="V174" i="1"/>
  <c r="W174" i="1" s="1"/>
  <c r="X174" i="1" a="1"/>
  <c r="X174" i="1" s="1"/>
  <c r="Y174" i="1"/>
  <c r="Z174" i="1"/>
  <c r="AA174" i="1"/>
  <c r="AG174" i="1"/>
  <c r="AH174" i="1"/>
  <c r="AI174" i="1"/>
  <c r="AJ174" i="1" s="1"/>
  <c r="AK174" i="1"/>
  <c r="AL174" i="1"/>
  <c r="AM174" i="1" s="1"/>
  <c r="D175" i="1"/>
  <c r="E175" i="1"/>
  <c r="Q175" i="1"/>
  <c r="S175" i="1"/>
  <c r="X175" i="1" s="1" a="1"/>
  <c r="T175" i="1"/>
  <c r="U175" i="1"/>
  <c r="V175" i="1" s="1"/>
  <c r="W175" i="1" s="1"/>
  <c r="X175" i="1"/>
  <c r="Y175" i="1"/>
  <c r="Z175" i="1" s="1"/>
  <c r="AA175" i="1"/>
  <c r="AE175" i="1"/>
  <c r="AG175" i="1"/>
  <c r="AH175" i="1"/>
  <c r="AI175" i="1"/>
  <c r="AJ175" i="1" s="1"/>
  <c r="AK175" i="1"/>
  <c r="AL175" i="1"/>
  <c r="AM175" i="1"/>
  <c r="D176" i="1"/>
  <c r="AE176" i="1" s="1"/>
  <c r="E176" i="1"/>
  <c r="Q176" i="1"/>
  <c r="S176" i="1"/>
  <c r="X176" i="1" s="1" a="1"/>
  <c r="X176" i="1" s="1"/>
  <c r="T176" i="1"/>
  <c r="U176" i="1"/>
  <c r="Y176" i="1"/>
  <c r="Z176" i="1"/>
  <c r="AA176" i="1"/>
  <c r="AG176" i="1"/>
  <c r="AH176" i="1"/>
  <c r="AI176" i="1"/>
  <c r="AJ176" i="1"/>
  <c r="AK176" i="1"/>
  <c r="AL176" i="1"/>
  <c r="AM176" i="1"/>
  <c r="D177" i="1"/>
  <c r="E177" i="1"/>
  <c r="Q177" i="1"/>
  <c r="AH177" i="1" s="1"/>
  <c r="S177" i="1"/>
  <c r="T177" i="1"/>
  <c r="V177" i="1" s="1"/>
  <c r="W177" i="1" s="1"/>
  <c r="U177" i="1"/>
  <c r="X177" i="1" a="1"/>
  <c r="X177" i="1" s="1"/>
  <c r="Y177" i="1"/>
  <c r="Z177" i="1"/>
  <c r="AA177" i="1"/>
  <c r="AE177" i="1"/>
  <c r="AG177" i="1"/>
  <c r="AI177" i="1"/>
  <c r="AJ177" i="1" s="1"/>
  <c r="AK177" i="1"/>
  <c r="AL177" i="1"/>
  <c r="AM177" i="1" s="1"/>
  <c r="D178" i="1"/>
  <c r="AE178" i="1" s="1"/>
  <c r="E178" i="1"/>
  <c r="Q178" i="1"/>
  <c r="S178" i="1"/>
  <c r="T178" i="1"/>
  <c r="U178" i="1"/>
  <c r="V178" i="1" s="1"/>
  <c r="W178" i="1" s="1"/>
  <c r="X178" i="1" a="1"/>
  <c r="X178" i="1" s="1"/>
  <c r="Y178" i="1"/>
  <c r="Z178" i="1"/>
  <c r="AA178" i="1"/>
  <c r="AG178" i="1"/>
  <c r="AH178" i="1"/>
  <c r="AI178" i="1"/>
  <c r="AJ178" i="1" s="1"/>
  <c r="AK178" i="1"/>
  <c r="AL178" i="1"/>
  <c r="AM178" i="1" s="1"/>
  <c r="D179" i="1"/>
  <c r="E179" i="1"/>
  <c r="Q179" i="1"/>
  <c r="S179" i="1"/>
  <c r="T179" i="1"/>
  <c r="U179" i="1"/>
  <c r="V179" i="1" s="1"/>
  <c r="W179" i="1" s="1"/>
  <c r="X179" i="1" a="1"/>
  <c r="X179" i="1" s="1"/>
  <c r="Y179" i="1"/>
  <c r="Z179" i="1" s="1"/>
  <c r="AA179" i="1"/>
  <c r="AE179" i="1"/>
  <c r="AG179" i="1"/>
  <c r="AH179" i="1"/>
  <c r="AI179" i="1"/>
  <c r="AJ179" i="1" s="1"/>
  <c r="AK179" i="1"/>
  <c r="AL179" i="1"/>
  <c r="AM179" i="1"/>
  <c r="D180" i="1"/>
  <c r="E180" i="1"/>
  <c r="Q180" i="1"/>
  <c r="S180" i="1"/>
  <c r="X180" i="1" s="1" a="1"/>
  <c r="X180" i="1" s="1"/>
  <c r="T180" i="1"/>
  <c r="U180" i="1"/>
  <c r="V180" i="1"/>
  <c r="W180" i="1"/>
  <c r="Y180" i="1"/>
  <c r="Z180" i="1"/>
  <c r="AA180" i="1"/>
  <c r="AE180" i="1"/>
  <c r="AG180" i="1"/>
  <c r="AH180" i="1"/>
  <c r="AI180" i="1"/>
  <c r="AJ180" i="1"/>
  <c r="AK180" i="1"/>
  <c r="AL180" i="1"/>
  <c r="AM180" i="1"/>
  <c r="D181" i="1"/>
  <c r="E181" i="1"/>
  <c r="Q181" i="1"/>
  <c r="AH181" i="1" s="1"/>
  <c r="S181" i="1"/>
  <c r="T181" i="1"/>
  <c r="V181" i="1" s="1"/>
  <c r="W181" i="1" s="1"/>
  <c r="U181" i="1"/>
  <c r="X181" i="1" a="1"/>
  <c r="X181" i="1" s="1"/>
  <c r="Y181" i="1"/>
  <c r="Z181" i="1"/>
  <c r="AA181" i="1"/>
  <c r="AE181" i="1"/>
  <c r="AG181" i="1"/>
  <c r="AI181" i="1"/>
  <c r="AJ181" i="1"/>
  <c r="AK181" i="1"/>
  <c r="AL181" i="1"/>
  <c r="AM181" i="1"/>
  <c r="D182" i="1"/>
  <c r="AE182" i="1" s="1"/>
  <c r="E182" i="1"/>
  <c r="Q182" i="1"/>
  <c r="S182" i="1"/>
  <c r="T182" i="1"/>
  <c r="U182" i="1"/>
  <c r="V182" i="1"/>
  <c r="W182" i="1"/>
  <c r="X182" i="1" a="1"/>
  <c r="X182" i="1"/>
  <c r="Y182" i="1"/>
  <c r="Z182" i="1" s="1"/>
  <c r="AA182" i="1"/>
  <c r="AG182" i="1"/>
  <c r="AH182" i="1"/>
  <c r="AI182" i="1"/>
  <c r="AJ182" i="1"/>
  <c r="AK182" i="1"/>
  <c r="AL182" i="1"/>
  <c r="AM182" i="1"/>
  <c r="D183" i="1"/>
  <c r="E183" i="1"/>
  <c r="Q183" i="1"/>
  <c r="S183" i="1"/>
  <c r="T183" i="1"/>
  <c r="V183" i="1" s="1"/>
  <c r="W183" i="1" s="1"/>
  <c r="U183" i="1"/>
  <c r="X183" i="1" a="1"/>
  <c r="X183" i="1"/>
  <c r="Y183" i="1"/>
  <c r="Z183" i="1" s="1"/>
  <c r="AA183" i="1"/>
  <c r="AE183" i="1"/>
  <c r="AG183" i="1"/>
  <c r="AH183" i="1"/>
  <c r="AI183" i="1"/>
  <c r="AJ183" i="1"/>
  <c r="AK183" i="1"/>
  <c r="AL183" i="1"/>
  <c r="AM183" i="1"/>
  <c r="D184" i="1"/>
  <c r="AE184" i="1" s="1"/>
  <c r="E184" i="1"/>
  <c r="Q184" i="1"/>
  <c r="S184" i="1"/>
  <c r="X184" i="1" s="1" a="1"/>
  <c r="T184" i="1"/>
  <c r="V184" i="1" s="1"/>
  <c r="U184" i="1"/>
  <c r="W184" i="1"/>
  <c r="X184" i="1"/>
  <c r="Y184" i="1"/>
  <c r="Z184" i="1"/>
  <c r="AA184" i="1"/>
  <c r="AG184" i="1"/>
  <c r="AH184" i="1"/>
  <c r="AI184" i="1"/>
  <c r="AJ184" i="1"/>
  <c r="AK184" i="1"/>
  <c r="AL184" i="1"/>
  <c r="AM184" i="1"/>
  <c r="D185" i="1"/>
  <c r="E185" i="1"/>
  <c r="Q185" i="1"/>
  <c r="AH185" i="1" s="1"/>
  <c r="S185" i="1"/>
  <c r="T185" i="1"/>
  <c r="U185" i="1"/>
  <c r="V185" i="1"/>
  <c r="W185" i="1" s="1"/>
  <c r="X185" i="1" a="1"/>
  <c r="X185" i="1" s="1"/>
  <c r="Y185" i="1"/>
  <c r="Z185" i="1" s="1"/>
  <c r="AA185" i="1"/>
  <c r="AE185" i="1"/>
  <c r="AG185" i="1"/>
  <c r="AI185" i="1"/>
  <c r="AJ185" i="1"/>
  <c r="AK185" i="1"/>
  <c r="AL185" i="1"/>
  <c r="AM185" i="1"/>
  <c r="D186" i="1"/>
  <c r="AE186" i="1" s="1"/>
  <c r="E186" i="1"/>
  <c r="Q186" i="1"/>
  <c r="S186" i="1"/>
  <c r="X186" i="1" s="1" a="1"/>
  <c r="X186" i="1" s="1"/>
  <c r="T186" i="1"/>
  <c r="U186" i="1"/>
  <c r="V186" i="1" s="1"/>
  <c r="W186" i="1" s="1"/>
  <c r="Y186" i="1"/>
  <c r="Z186" i="1" s="1"/>
  <c r="AA186" i="1"/>
  <c r="AG186" i="1"/>
  <c r="AH186" i="1"/>
  <c r="AI186" i="1"/>
  <c r="AJ186" i="1"/>
  <c r="AK186" i="1"/>
  <c r="AL186" i="1"/>
  <c r="AM186" i="1" s="1"/>
  <c r="D187" i="1"/>
  <c r="E187" i="1"/>
  <c r="Q187" i="1"/>
  <c r="S187" i="1"/>
  <c r="T187" i="1"/>
  <c r="U187" i="1"/>
  <c r="V187" i="1" s="1"/>
  <c r="W187" i="1" s="1"/>
  <c r="X187" i="1" a="1"/>
  <c r="X187" i="1" s="1"/>
  <c r="Y187" i="1"/>
  <c r="Z187" i="1" s="1"/>
  <c r="AA187" i="1"/>
  <c r="AE187" i="1"/>
  <c r="AG187" i="1"/>
  <c r="AH187" i="1"/>
  <c r="AI187" i="1"/>
  <c r="AJ187" i="1"/>
  <c r="AK187" i="1"/>
  <c r="AL187" i="1"/>
  <c r="AM187" i="1"/>
  <c r="D188" i="1"/>
  <c r="E188" i="1"/>
  <c r="Q188" i="1"/>
  <c r="S188" i="1"/>
  <c r="X188" i="1" s="1" a="1"/>
  <c r="T188" i="1"/>
  <c r="U188" i="1"/>
  <c r="V188" i="1"/>
  <c r="W188" i="1" s="1"/>
  <c r="X188" i="1"/>
  <c r="Y188" i="1"/>
  <c r="Z188" i="1"/>
  <c r="AA188" i="1"/>
  <c r="AE188" i="1"/>
  <c r="AG188" i="1"/>
  <c r="AH188" i="1"/>
  <c r="AI188" i="1"/>
  <c r="AJ188" i="1"/>
  <c r="AK188" i="1"/>
  <c r="AL188" i="1"/>
  <c r="AM188" i="1" s="1"/>
  <c r="D189" i="1"/>
  <c r="E189" i="1"/>
  <c r="Q189" i="1"/>
  <c r="AH189" i="1" s="1"/>
  <c r="S189" i="1"/>
  <c r="X189" i="1" s="1" a="1"/>
  <c r="X189" i="1" s="1"/>
  <c r="T189" i="1"/>
  <c r="U189" i="1"/>
  <c r="V189" i="1"/>
  <c r="W189" i="1" s="1"/>
  <c r="Y189" i="1"/>
  <c r="Z189" i="1" s="1"/>
  <c r="AA189" i="1"/>
  <c r="AE189" i="1"/>
  <c r="AG189" i="1"/>
  <c r="AI189" i="1"/>
  <c r="AJ189" i="1" s="1"/>
  <c r="AK189" i="1"/>
  <c r="AL189" i="1"/>
  <c r="AM189" i="1" s="1"/>
  <c r="D190" i="1"/>
  <c r="AE190" i="1" s="1"/>
  <c r="E190" i="1"/>
  <c r="Q190" i="1"/>
  <c r="S190" i="1"/>
  <c r="X190" i="1" s="1" a="1"/>
  <c r="X190" i="1" s="1"/>
  <c r="T190" i="1"/>
  <c r="U190" i="1"/>
  <c r="V190" i="1"/>
  <c r="W190" i="1" s="1"/>
  <c r="Y190" i="1"/>
  <c r="Z190" i="1"/>
  <c r="AA190" i="1"/>
  <c r="AG190" i="1"/>
  <c r="AH190" i="1"/>
  <c r="AI190" i="1"/>
  <c r="AJ190" i="1" s="1"/>
  <c r="AK190" i="1"/>
  <c r="AL190" i="1"/>
  <c r="AM190" i="1" s="1"/>
  <c r="D191" i="1"/>
  <c r="AE191" i="1" s="1"/>
  <c r="E191" i="1"/>
  <c r="Q191" i="1"/>
  <c r="S191" i="1"/>
  <c r="T191" i="1"/>
  <c r="V191" i="1" s="1"/>
  <c r="U191" i="1"/>
  <c r="W191" i="1"/>
  <c r="X191" i="1" a="1"/>
  <c r="X191" i="1" s="1"/>
  <c r="Y191" i="1"/>
  <c r="Z191" i="1" s="1"/>
  <c r="AA191" i="1"/>
  <c r="AG191" i="1"/>
  <c r="AH191" i="1"/>
  <c r="AI191" i="1"/>
  <c r="AJ191" i="1"/>
  <c r="AK191" i="1"/>
  <c r="AL191" i="1"/>
  <c r="AM191" i="1"/>
  <c r="D192" i="1"/>
  <c r="E192" i="1"/>
  <c r="Q192" i="1"/>
  <c r="S192" i="1"/>
  <c r="X192" i="1" s="1" a="1"/>
  <c r="X192" i="1" s="1"/>
  <c r="T192" i="1"/>
  <c r="U192" i="1"/>
  <c r="V192" i="1" s="1"/>
  <c r="W192" i="1" s="1"/>
  <c r="Y192" i="1"/>
  <c r="Z192" i="1"/>
  <c r="AA192" i="1"/>
  <c r="AE192" i="1"/>
  <c r="AG192" i="1"/>
  <c r="AH192" i="1"/>
  <c r="AI192" i="1"/>
  <c r="AJ192" i="1"/>
  <c r="AK192" i="1"/>
  <c r="AL192" i="1"/>
  <c r="AM192" i="1"/>
  <c r="D193" i="1"/>
  <c r="E193" i="1"/>
  <c r="Q193" i="1"/>
  <c r="AH193" i="1" s="1"/>
  <c r="S193" i="1"/>
  <c r="X193" i="1" s="1" a="1"/>
  <c r="X193" i="1" s="1"/>
  <c r="T193" i="1"/>
  <c r="U193" i="1"/>
  <c r="V193" i="1"/>
  <c r="W193" i="1" s="1"/>
  <c r="Y193" i="1"/>
  <c r="Z193" i="1"/>
  <c r="AA193" i="1"/>
  <c r="AE193" i="1"/>
  <c r="AG193" i="1"/>
  <c r="AI193" i="1"/>
  <c r="AJ193" i="1" s="1"/>
  <c r="AK193" i="1"/>
  <c r="AL193" i="1"/>
  <c r="AM193" i="1"/>
  <c r="D194" i="1"/>
  <c r="AE194" i="1" s="1"/>
  <c r="E194" i="1"/>
  <c r="Q194" i="1"/>
  <c r="S194" i="1"/>
  <c r="X194" i="1" s="1" a="1"/>
  <c r="X194" i="1" s="1"/>
  <c r="T194" i="1"/>
  <c r="U194" i="1"/>
  <c r="V194" i="1" s="1"/>
  <c r="W194" i="1" s="1"/>
  <c r="Y194" i="1"/>
  <c r="Z194" i="1" s="1"/>
  <c r="AA194" i="1"/>
  <c r="AG194" i="1"/>
  <c r="AH194" i="1"/>
  <c r="AI194" i="1"/>
  <c r="AJ194" i="1" s="1"/>
  <c r="AK194" i="1"/>
  <c r="AL194" i="1"/>
  <c r="AM194" i="1"/>
  <c r="D195" i="1"/>
  <c r="E195" i="1"/>
  <c r="Q195" i="1"/>
  <c r="AH195" i="1" s="1"/>
  <c r="S195" i="1"/>
  <c r="X195" i="1" s="1" a="1"/>
  <c r="X195" i="1" s="1"/>
  <c r="T195" i="1"/>
  <c r="U195" i="1"/>
  <c r="V195" i="1"/>
  <c r="W195" i="1" s="1"/>
  <c r="Y195" i="1"/>
  <c r="Z195" i="1" s="1"/>
  <c r="AA195" i="1"/>
  <c r="AE195" i="1"/>
  <c r="AG195" i="1"/>
  <c r="AI195" i="1"/>
  <c r="AJ195" i="1" s="1"/>
  <c r="AK195" i="1"/>
  <c r="AL195" i="1"/>
  <c r="AM195" i="1"/>
  <c r="D196" i="1"/>
  <c r="E196" i="1"/>
  <c r="Q196" i="1"/>
  <c r="AH196" i="1" s="1"/>
  <c r="S196" i="1"/>
  <c r="X196" i="1" s="1" a="1"/>
  <c r="X196" i="1" s="1"/>
  <c r="T196" i="1"/>
  <c r="U196" i="1"/>
  <c r="V196" i="1"/>
  <c r="W196" i="1" s="1"/>
  <c r="Y196" i="1"/>
  <c r="Z196" i="1"/>
  <c r="AA196" i="1"/>
  <c r="AE196" i="1"/>
  <c r="AG196" i="1"/>
  <c r="AI196" i="1"/>
  <c r="AJ196" i="1"/>
  <c r="AK196" i="1"/>
  <c r="AL196" i="1"/>
  <c r="AM196" i="1" s="1"/>
  <c r="D197" i="1"/>
  <c r="E197" i="1"/>
  <c r="Q197" i="1"/>
  <c r="AH197" i="1" s="1"/>
  <c r="S197" i="1"/>
  <c r="X197" i="1" s="1" a="1"/>
  <c r="X197" i="1" s="1"/>
  <c r="T197" i="1"/>
  <c r="V197" i="1" s="1"/>
  <c r="W197" i="1" s="1"/>
  <c r="U197" i="1"/>
  <c r="Y197" i="1"/>
  <c r="Z197" i="1" s="1"/>
  <c r="AA197" i="1"/>
  <c r="AE197" i="1"/>
  <c r="AG197" i="1"/>
  <c r="AI197" i="1"/>
  <c r="AJ197" i="1" s="1"/>
  <c r="AK197" i="1"/>
  <c r="AL197" i="1"/>
  <c r="AM197" i="1" s="1"/>
  <c r="D198" i="1"/>
  <c r="AE198" i="1" s="1"/>
  <c r="E198" i="1"/>
  <c r="Q198" i="1"/>
  <c r="S198" i="1"/>
  <c r="T198" i="1"/>
  <c r="U198" i="1"/>
  <c r="V198" i="1" s="1"/>
  <c r="W198" i="1" s="1"/>
  <c r="X198" i="1" a="1"/>
  <c r="X198" i="1"/>
  <c r="Y198" i="1"/>
  <c r="Z198" i="1"/>
  <c r="AA198" i="1"/>
  <c r="AG198" i="1"/>
  <c r="AH198" i="1"/>
  <c r="AI198" i="1"/>
  <c r="AJ198" i="1"/>
  <c r="AK198" i="1"/>
  <c r="AL198" i="1"/>
  <c r="AM198" i="1" s="1"/>
  <c r="D199" i="1"/>
  <c r="E199" i="1"/>
  <c r="Q199" i="1"/>
  <c r="AH199" i="1" s="1"/>
  <c r="S199" i="1"/>
  <c r="X199" i="1" s="1" a="1"/>
  <c r="X199" i="1" s="1"/>
  <c r="T199" i="1"/>
  <c r="V199" i="1" s="1"/>
  <c r="W199" i="1" s="1"/>
  <c r="U199" i="1"/>
  <c r="Y199" i="1"/>
  <c r="Z199" i="1" s="1"/>
  <c r="AA199" i="1"/>
  <c r="AE199" i="1"/>
  <c r="AG199" i="1"/>
  <c r="AI199" i="1"/>
  <c r="AJ199" i="1"/>
  <c r="AK199" i="1"/>
  <c r="AL199" i="1"/>
  <c r="AM199" i="1"/>
  <c r="D200" i="1"/>
  <c r="AE200" i="1" s="1"/>
  <c r="E200" i="1"/>
  <c r="Q200" i="1"/>
  <c r="AH200" i="1" s="1"/>
  <c r="S200" i="1"/>
  <c r="X200" i="1" s="1" a="1"/>
  <c r="X200" i="1" s="1"/>
  <c r="T200" i="1"/>
  <c r="V200" i="1" s="1"/>
  <c r="W200" i="1" s="1"/>
  <c r="U200" i="1"/>
  <c r="Y200" i="1"/>
  <c r="Z200" i="1"/>
  <c r="AA200" i="1"/>
  <c r="AG200" i="1"/>
  <c r="AI200" i="1"/>
  <c r="AJ200" i="1"/>
  <c r="AK200" i="1"/>
  <c r="AL200" i="1"/>
  <c r="AM200" i="1"/>
  <c r="D201" i="1"/>
  <c r="AE201" i="1" s="1"/>
  <c r="E201" i="1"/>
  <c r="Q201" i="1"/>
  <c r="S201" i="1"/>
  <c r="X201" i="1" s="1" a="1"/>
  <c r="T201" i="1"/>
  <c r="U201" i="1"/>
  <c r="V201" i="1"/>
  <c r="W201" i="1" s="1"/>
  <c r="X201" i="1"/>
  <c r="Y201" i="1"/>
  <c r="Z201" i="1" s="1"/>
  <c r="AA201" i="1"/>
  <c r="AG201" i="1"/>
  <c r="AH201" i="1"/>
  <c r="AI201" i="1"/>
  <c r="AJ201" i="1" s="1"/>
  <c r="AK201" i="1"/>
  <c r="AL201" i="1"/>
  <c r="AM201" i="1" s="1"/>
  <c r="D202" i="1"/>
  <c r="AE202" i="1" s="1"/>
  <c r="E202" i="1"/>
  <c r="Q202" i="1"/>
  <c r="S202" i="1"/>
  <c r="T202" i="1"/>
  <c r="U202" i="1"/>
  <c r="X202" i="1" a="1"/>
  <c r="X202" i="1"/>
  <c r="Y202" i="1"/>
  <c r="Z202" i="1"/>
  <c r="AA202" i="1"/>
  <c r="AG202" i="1"/>
  <c r="AH202" i="1"/>
  <c r="AI202" i="1"/>
  <c r="AJ202" i="1" s="1"/>
  <c r="AK202" i="1"/>
  <c r="AL202" i="1"/>
  <c r="AM202" i="1" s="1"/>
  <c r="D203" i="1"/>
  <c r="E203" i="1"/>
  <c r="Q203" i="1"/>
  <c r="S203" i="1"/>
  <c r="T203" i="1"/>
  <c r="U203" i="1"/>
  <c r="V203" i="1"/>
  <c r="W203" i="1" s="1"/>
  <c r="X203" i="1" a="1"/>
  <c r="X203" i="1" s="1"/>
  <c r="Y203" i="1"/>
  <c r="Z203" i="1" s="1"/>
  <c r="AA203" i="1"/>
  <c r="AE203" i="1"/>
  <c r="AG203" i="1"/>
  <c r="AH203" i="1"/>
  <c r="AI203" i="1"/>
  <c r="AJ203" i="1"/>
  <c r="AK203" i="1"/>
  <c r="AL203" i="1"/>
  <c r="AM203" i="1"/>
  <c r="D204" i="1"/>
  <c r="E204" i="1"/>
  <c r="Q204" i="1"/>
  <c r="S204" i="1"/>
  <c r="X204" i="1" s="1" a="1"/>
  <c r="T204" i="1"/>
  <c r="U204" i="1"/>
  <c r="X204" i="1"/>
  <c r="Y204" i="1"/>
  <c r="Z204" i="1" s="1"/>
  <c r="AA204" i="1"/>
  <c r="AE204" i="1"/>
  <c r="AG204" i="1"/>
  <c r="AH204" i="1"/>
  <c r="AI204" i="1"/>
  <c r="AJ204" i="1"/>
  <c r="AK204" i="1"/>
  <c r="AL204" i="1"/>
  <c r="AM204" i="1" s="1"/>
  <c r="D205" i="1"/>
  <c r="E205" i="1"/>
  <c r="Q205" i="1"/>
  <c r="AH205" i="1" s="1"/>
  <c r="S205" i="1"/>
  <c r="X205" i="1" s="1" a="1"/>
  <c r="X205" i="1" s="1"/>
  <c r="T205" i="1"/>
  <c r="U205" i="1"/>
  <c r="V205" i="1"/>
  <c r="W205" i="1" s="1"/>
  <c r="Y205" i="1"/>
  <c r="Z205" i="1"/>
  <c r="AA205" i="1"/>
  <c r="AE205" i="1"/>
  <c r="AG205" i="1"/>
  <c r="AI205" i="1"/>
  <c r="AJ205" i="1" s="1"/>
  <c r="AK205" i="1"/>
  <c r="AL205" i="1"/>
  <c r="AM205" i="1"/>
  <c r="D206" i="1"/>
  <c r="AE206" i="1" s="1"/>
  <c r="E206" i="1"/>
  <c r="Q206" i="1"/>
  <c r="S206" i="1"/>
  <c r="X206" i="1" s="1" a="1"/>
  <c r="X206" i="1" s="1"/>
  <c r="T206" i="1"/>
  <c r="V206" i="1" s="1"/>
  <c r="W206" i="1" s="1"/>
  <c r="U206" i="1"/>
  <c r="Y206" i="1"/>
  <c r="Z206" i="1" s="1"/>
  <c r="AA206" i="1"/>
  <c r="AG206" i="1"/>
  <c r="AH206" i="1"/>
  <c r="AI206" i="1"/>
  <c r="AJ206" i="1"/>
  <c r="AK206" i="1"/>
  <c r="AL206" i="1"/>
  <c r="AM206" i="1" s="1"/>
  <c r="D207" i="1"/>
  <c r="E207" i="1"/>
  <c r="Q207" i="1"/>
  <c r="AH207" i="1" s="1"/>
  <c r="S207" i="1"/>
  <c r="T207" i="1"/>
  <c r="V207" i="1" s="1"/>
  <c r="W207" i="1" s="1"/>
  <c r="U207" i="1"/>
  <c r="X207" i="1" a="1"/>
  <c r="X207" i="1" s="1"/>
  <c r="Y207" i="1"/>
  <c r="Z207" i="1" s="1"/>
  <c r="AA207" i="1"/>
  <c r="AE207" i="1"/>
  <c r="AG207" i="1"/>
  <c r="AI207" i="1"/>
  <c r="AJ207" i="1"/>
  <c r="AK207" i="1"/>
  <c r="AL207" i="1"/>
  <c r="AM207" i="1"/>
  <c r="D208" i="1"/>
  <c r="AE208" i="1" s="1"/>
  <c r="E208" i="1"/>
  <c r="Q208" i="1"/>
  <c r="AH208" i="1" s="1"/>
  <c r="S208" i="1"/>
  <c r="X208" i="1" s="1" a="1"/>
  <c r="X208" i="1" s="1"/>
  <c r="T208" i="1"/>
  <c r="U208" i="1"/>
  <c r="V208" i="1"/>
  <c r="W208" i="1" s="1"/>
  <c r="Y208" i="1"/>
  <c r="Z208" i="1" s="1"/>
  <c r="AA208" i="1"/>
  <c r="AG208" i="1"/>
  <c r="AI208" i="1"/>
  <c r="AJ208" i="1"/>
  <c r="AK208" i="1"/>
  <c r="AL208" i="1"/>
  <c r="AM208" i="1"/>
  <c r="D209" i="1"/>
  <c r="E209" i="1"/>
  <c r="Q209" i="1"/>
  <c r="S209" i="1"/>
  <c r="T209" i="1"/>
  <c r="V209" i="1" s="1"/>
  <c r="U209" i="1"/>
  <c r="W209" i="1"/>
  <c r="X209" i="1" a="1"/>
  <c r="X209" i="1" s="1"/>
  <c r="Y209" i="1"/>
  <c r="Z209" i="1" s="1"/>
  <c r="AA209" i="1"/>
  <c r="AE209" i="1"/>
  <c r="AG209" i="1"/>
  <c r="AH209" i="1"/>
  <c r="AI209" i="1"/>
  <c r="AJ209" i="1" s="1"/>
  <c r="AK209" i="1"/>
  <c r="AL209" i="1"/>
  <c r="AM209" i="1"/>
  <c r="D210" i="1"/>
  <c r="E210" i="1"/>
  <c r="Q210" i="1"/>
  <c r="S210" i="1"/>
  <c r="X210" i="1" s="1" a="1"/>
  <c r="T210" i="1"/>
  <c r="U210" i="1"/>
  <c r="V210" i="1"/>
  <c r="W210" i="1" s="1"/>
  <c r="X210" i="1"/>
  <c r="Y210" i="1"/>
  <c r="Z210" i="1" s="1"/>
  <c r="AA210" i="1"/>
  <c r="AE210" i="1"/>
  <c r="AG210" i="1"/>
  <c r="AH210" i="1"/>
  <c r="AI210" i="1"/>
  <c r="AJ210" i="1" s="1"/>
  <c r="AK210" i="1"/>
  <c r="AL210" i="1"/>
  <c r="AM210" i="1" s="1"/>
  <c r="D211" i="1"/>
  <c r="E211" i="1"/>
  <c r="Q211" i="1"/>
  <c r="S211" i="1"/>
  <c r="T211" i="1"/>
  <c r="U211" i="1"/>
  <c r="V211" i="1" s="1"/>
  <c r="W211" i="1" s="1"/>
  <c r="X211" i="1" a="1"/>
  <c r="X211" i="1" s="1"/>
  <c r="Y211" i="1"/>
  <c r="Z211" i="1" s="1"/>
  <c r="AA211" i="1"/>
  <c r="AE211" i="1"/>
  <c r="AG211" i="1"/>
  <c r="AH211" i="1"/>
  <c r="AI211" i="1"/>
  <c r="AJ211" i="1" s="1"/>
  <c r="AK211" i="1"/>
  <c r="AL211" i="1"/>
  <c r="AM211" i="1"/>
  <c r="D212" i="1"/>
  <c r="E212" i="1"/>
  <c r="Q212" i="1"/>
  <c r="AH212" i="1" s="1"/>
  <c r="S212" i="1"/>
  <c r="X212" i="1" s="1" a="1"/>
  <c r="X212" i="1" s="1"/>
  <c r="T212" i="1"/>
  <c r="V212" i="1" s="1"/>
  <c r="W212" i="1" s="1"/>
  <c r="U212" i="1"/>
  <c r="Y212" i="1"/>
  <c r="Z212" i="1" s="1"/>
  <c r="AA212" i="1"/>
  <c r="AE212" i="1"/>
  <c r="AG212" i="1"/>
  <c r="AI212" i="1"/>
  <c r="AJ212" i="1"/>
  <c r="AK212" i="1"/>
  <c r="AL212" i="1"/>
  <c r="AM212" i="1" s="1"/>
  <c r="D213" i="1"/>
  <c r="AE213" i="1" s="1"/>
  <c r="E213" i="1"/>
  <c r="Q213" i="1"/>
  <c r="AH213" i="1" s="1"/>
  <c r="S213" i="1"/>
  <c r="X213" i="1" s="1" a="1"/>
  <c r="X213" i="1" s="1"/>
  <c r="T213" i="1"/>
  <c r="V213" i="1" s="1"/>
  <c r="U213" i="1"/>
  <c r="W213" i="1"/>
  <c r="Y213" i="1"/>
  <c r="Z213" i="1"/>
  <c r="AA213" i="1"/>
  <c r="AG213" i="1"/>
  <c r="AI213" i="1"/>
  <c r="AJ213" i="1" s="1"/>
  <c r="AK213" i="1"/>
  <c r="AL213" i="1"/>
  <c r="AM213" i="1" s="1"/>
  <c r="D214" i="1"/>
  <c r="E214" i="1"/>
  <c r="Q214" i="1"/>
  <c r="S214" i="1"/>
  <c r="T214" i="1"/>
  <c r="V214" i="1" s="1"/>
  <c r="U214" i="1"/>
  <c r="W214" i="1"/>
  <c r="X214" i="1" a="1"/>
  <c r="X214" i="1" s="1"/>
  <c r="Y214" i="1"/>
  <c r="Z214" i="1" s="1"/>
  <c r="AA214" i="1"/>
  <c r="AE214" i="1"/>
  <c r="AG214" i="1"/>
  <c r="AH214" i="1"/>
  <c r="AI214" i="1"/>
  <c r="AJ214" i="1" s="1"/>
  <c r="AK214" i="1"/>
  <c r="AL214" i="1"/>
  <c r="AM214" i="1"/>
  <c r="D215" i="1"/>
  <c r="E215" i="1"/>
  <c r="Q215" i="1"/>
  <c r="S215" i="1"/>
  <c r="T215" i="1"/>
  <c r="V215" i="1" s="1"/>
  <c r="U215" i="1"/>
  <c r="W215" i="1"/>
  <c r="X215" i="1" a="1"/>
  <c r="X215" i="1" s="1"/>
  <c r="Y215" i="1"/>
  <c r="Z215" i="1" s="1"/>
  <c r="AA215" i="1"/>
  <c r="AE215" i="1"/>
  <c r="AG215" i="1"/>
  <c r="AH215" i="1"/>
  <c r="AI215" i="1"/>
  <c r="AJ215" i="1"/>
  <c r="AK215" i="1"/>
  <c r="AL215" i="1"/>
  <c r="AM215" i="1"/>
  <c r="D216" i="1"/>
  <c r="E216" i="1"/>
  <c r="Q216" i="1"/>
  <c r="AH216" i="1" s="1"/>
  <c r="S216" i="1"/>
  <c r="X216" i="1" s="1" a="1"/>
  <c r="X216" i="1" s="1"/>
  <c r="T216" i="1"/>
  <c r="V216" i="1" s="1"/>
  <c r="W216" i="1" s="1"/>
  <c r="U216" i="1"/>
  <c r="Y216" i="1"/>
  <c r="Z216" i="1"/>
  <c r="AA216" i="1"/>
  <c r="AE216" i="1"/>
  <c r="AG216" i="1"/>
  <c r="AI216" i="1"/>
  <c r="AJ216" i="1"/>
  <c r="AK216" i="1"/>
  <c r="AL216" i="1"/>
  <c r="AM216" i="1" s="1"/>
  <c r="D217" i="1"/>
  <c r="AE217" i="1" s="1"/>
  <c r="E217" i="1"/>
  <c r="Q217" i="1"/>
  <c r="S217" i="1"/>
  <c r="X217" i="1" s="1" a="1"/>
  <c r="X217" i="1" s="1"/>
  <c r="T217" i="1"/>
  <c r="V217" i="1" s="1"/>
  <c r="U217" i="1"/>
  <c r="W217" i="1"/>
  <c r="Y217" i="1"/>
  <c r="Z217" i="1" s="1"/>
  <c r="AA217" i="1"/>
  <c r="AG217" i="1"/>
  <c r="AH217" i="1"/>
  <c r="AI217" i="1"/>
  <c r="AJ217" i="1" s="1"/>
  <c r="AK217" i="1"/>
  <c r="AL217" i="1"/>
  <c r="AM217" i="1" s="1"/>
  <c r="D218" i="1"/>
  <c r="E218" i="1"/>
  <c r="Q218" i="1"/>
  <c r="S218" i="1"/>
  <c r="T218" i="1"/>
  <c r="U218" i="1"/>
  <c r="X218" i="1" a="1"/>
  <c r="X218" i="1" s="1"/>
  <c r="Y218" i="1"/>
  <c r="Z218" i="1"/>
  <c r="AA218" i="1"/>
  <c r="AE218" i="1"/>
  <c r="AG218" i="1"/>
  <c r="AH218" i="1"/>
  <c r="AI218" i="1"/>
  <c r="AJ218" i="1"/>
  <c r="AK218" i="1"/>
  <c r="AL218" i="1"/>
  <c r="AM218" i="1" s="1"/>
  <c r="D219" i="1"/>
  <c r="E219" i="1"/>
  <c r="Q219" i="1"/>
  <c r="AH219" i="1" s="1"/>
  <c r="S219" i="1"/>
  <c r="T219" i="1"/>
  <c r="V219" i="1" s="1"/>
  <c r="W219" i="1" s="1"/>
  <c r="U219" i="1"/>
  <c r="X219" i="1" a="1"/>
  <c r="X219" i="1" s="1"/>
  <c r="Y219" i="1"/>
  <c r="Z219" i="1" s="1"/>
  <c r="AA219" i="1"/>
  <c r="AE219" i="1"/>
  <c r="AG219" i="1"/>
  <c r="AI219" i="1"/>
  <c r="AJ219" i="1" s="1"/>
  <c r="AK219" i="1"/>
  <c r="AL219" i="1"/>
  <c r="AM219" i="1"/>
  <c r="D220" i="1"/>
  <c r="E220" i="1"/>
  <c r="Q220" i="1"/>
  <c r="AH220" i="1" s="1"/>
  <c r="S220" i="1"/>
  <c r="X220" i="1" s="1" a="1"/>
  <c r="X220" i="1" s="1"/>
  <c r="T220" i="1"/>
  <c r="U220" i="1"/>
  <c r="Y220" i="1"/>
  <c r="Z220" i="1" s="1"/>
  <c r="AA220" i="1"/>
  <c r="AE220" i="1"/>
  <c r="AG220" i="1"/>
  <c r="AI220" i="1"/>
  <c r="AJ220" i="1"/>
  <c r="AK220" i="1"/>
  <c r="AL220" i="1"/>
  <c r="AM220" i="1" s="1"/>
  <c r="D221" i="1"/>
  <c r="AE221" i="1" s="1"/>
  <c r="E221" i="1"/>
  <c r="Q221" i="1"/>
  <c r="S221" i="1"/>
  <c r="X221" i="1" s="1" a="1"/>
  <c r="X221" i="1" s="1"/>
  <c r="T221" i="1"/>
  <c r="V221" i="1" s="1"/>
  <c r="U221" i="1"/>
  <c r="W221" i="1"/>
  <c r="Y221" i="1"/>
  <c r="Z221" i="1"/>
  <c r="AA221" i="1"/>
  <c r="AG221" i="1"/>
  <c r="AH221" i="1"/>
  <c r="AI221" i="1"/>
  <c r="AJ221" i="1" s="1"/>
  <c r="AK221" i="1"/>
  <c r="AL221" i="1"/>
  <c r="AM221" i="1"/>
  <c r="D222" i="1"/>
  <c r="E222" i="1"/>
  <c r="Q222" i="1"/>
  <c r="S222" i="1"/>
  <c r="T222" i="1"/>
  <c r="V222" i="1" s="1"/>
  <c r="W222" i="1" s="1"/>
  <c r="U222" i="1"/>
  <c r="X222" i="1" a="1"/>
  <c r="X222" i="1" s="1"/>
  <c r="Y222" i="1"/>
  <c r="Z222" i="1" s="1"/>
  <c r="AA222" i="1"/>
  <c r="AE222" i="1"/>
  <c r="AG222" i="1"/>
  <c r="AH222" i="1"/>
  <c r="AI222" i="1"/>
  <c r="AJ222" i="1" s="1"/>
  <c r="AK222" i="1"/>
  <c r="AL222" i="1"/>
  <c r="AM222" i="1"/>
  <c r="D223" i="1"/>
  <c r="E223" i="1"/>
  <c r="Q223" i="1"/>
  <c r="S223" i="1"/>
  <c r="T223" i="1"/>
  <c r="V223" i="1" s="1"/>
  <c r="W223" i="1" s="1"/>
  <c r="U223" i="1"/>
  <c r="X223" i="1" a="1"/>
  <c r="X223" i="1" s="1"/>
  <c r="Y223" i="1"/>
  <c r="Z223" i="1" s="1"/>
  <c r="AA223" i="1"/>
  <c r="AE223" i="1"/>
  <c r="AG223" i="1"/>
  <c r="AH223" i="1"/>
  <c r="AI223" i="1"/>
  <c r="AJ223" i="1"/>
  <c r="AK223" i="1"/>
  <c r="AL223" i="1"/>
  <c r="AM223" i="1"/>
  <c r="D224" i="1"/>
  <c r="E224" i="1"/>
  <c r="Q224" i="1"/>
  <c r="AH224" i="1" s="1"/>
  <c r="S224" i="1"/>
  <c r="X224" i="1" s="1" a="1"/>
  <c r="X224" i="1" s="1"/>
  <c r="T224" i="1"/>
  <c r="U224" i="1"/>
  <c r="V224" i="1"/>
  <c r="W224" i="1" s="1"/>
  <c r="Y224" i="1"/>
  <c r="Z224" i="1" s="1"/>
  <c r="AA224" i="1"/>
  <c r="AE224" i="1"/>
  <c r="AG224" i="1"/>
  <c r="AI224" i="1"/>
  <c r="AJ224" i="1"/>
  <c r="AK224" i="1"/>
  <c r="AL224" i="1"/>
  <c r="AM224" i="1" s="1"/>
  <c r="D225" i="1"/>
  <c r="AE225" i="1" s="1"/>
  <c r="E225" i="1"/>
  <c r="Q225" i="1"/>
  <c r="S225" i="1"/>
  <c r="X225" i="1" s="1" a="1"/>
  <c r="X225" i="1" s="1"/>
  <c r="T225" i="1"/>
  <c r="V225" i="1" s="1"/>
  <c r="U225" i="1"/>
  <c r="W225" i="1"/>
  <c r="Y225" i="1"/>
  <c r="Z225" i="1" s="1"/>
  <c r="AA225" i="1"/>
  <c r="AG225" i="1"/>
  <c r="AH225" i="1"/>
  <c r="AI225" i="1"/>
  <c r="AJ225" i="1" s="1"/>
  <c r="AK225" i="1"/>
  <c r="AL225" i="1"/>
  <c r="AM225" i="1" s="1"/>
  <c r="D226" i="1"/>
  <c r="E226" i="1"/>
  <c r="Q226" i="1"/>
  <c r="S226" i="1"/>
  <c r="T226" i="1"/>
  <c r="U226" i="1"/>
  <c r="X226" i="1" a="1"/>
  <c r="X226" i="1"/>
  <c r="Y226" i="1"/>
  <c r="Z226" i="1"/>
  <c r="AA226" i="1"/>
  <c r="AE226" i="1"/>
  <c r="AG226" i="1"/>
  <c r="AH226" i="1"/>
  <c r="AI226" i="1"/>
  <c r="AJ226" i="1"/>
  <c r="AK226" i="1"/>
  <c r="AL226" i="1"/>
  <c r="AM226" i="1"/>
  <c r="D227" i="1"/>
  <c r="E227" i="1"/>
  <c r="Q227" i="1"/>
  <c r="S227" i="1"/>
  <c r="T227" i="1"/>
  <c r="U227" i="1"/>
  <c r="V227" i="1"/>
  <c r="W227" i="1" s="1"/>
  <c r="X227" i="1" a="1"/>
  <c r="X227" i="1" s="1"/>
  <c r="Y227" i="1"/>
  <c r="Z227" i="1" s="1"/>
  <c r="AA227" i="1"/>
  <c r="AE227" i="1"/>
  <c r="AG227" i="1"/>
  <c r="AH227" i="1"/>
  <c r="AI227" i="1"/>
  <c r="AJ227" i="1" s="1"/>
  <c r="AK227" i="1"/>
  <c r="AL227" i="1"/>
  <c r="AM227" i="1"/>
  <c r="D228" i="1"/>
  <c r="E228" i="1"/>
  <c r="Q228" i="1"/>
  <c r="AH228" i="1" s="1"/>
  <c r="S228" i="1"/>
  <c r="X228" i="1" s="1" a="1"/>
  <c r="X228" i="1" s="1"/>
  <c r="T228" i="1"/>
  <c r="U228" i="1"/>
  <c r="Y228" i="1"/>
  <c r="Z228" i="1" s="1"/>
  <c r="AA228" i="1"/>
  <c r="AE228" i="1"/>
  <c r="AG228" i="1"/>
  <c r="AI228" i="1"/>
  <c r="AJ228" i="1"/>
  <c r="AK228" i="1"/>
  <c r="AL228" i="1"/>
  <c r="AM228" i="1" s="1"/>
  <c r="D229" i="1"/>
  <c r="AE229" i="1" s="1"/>
  <c r="E229" i="1"/>
  <c r="Q229" i="1"/>
  <c r="S229" i="1"/>
  <c r="X229" i="1" s="1" a="1"/>
  <c r="X229" i="1" s="1"/>
  <c r="T229" i="1"/>
  <c r="U229" i="1"/>
  <c r="V229" i="1"/>
  <c r="W229" i="1"/>
  <c r="Y229" i="1"/>
  <c r="Z229" i="1" s="1"/>
  <c r="AA229" i="1"/>
  <c r="AG229" i="1"/>
  <c r="AH229" i="1"/>
  <c r="AI229" i="1"/>
  <c r="AJ229" i="1" s="1"/>
  <c r="AK229" i="1"/>
  <c r="AL229" i="1"/>
  <c r="AM229" i="1"/>
  <c r="D230" i="1"/>
  <c r="E230" i="1"/>
  <c r="Q230" i="1"/>
  <c r="S230" i="1"/>
  <c r="T230" i="1"/>
  <c r="U230" i="1"/>
  <c r="X230" i="1" a="1"/>
  <c r="X230" i="1"/>
  <c r="Y230" i="1"/>
  <c r="Z230" i="1" s="1"/>
  <c r="AA230" i="1"/>
  <c r="AE230" i="1"/>
  <c r="AG230" i="1"/>
  <c r="AH230" i="1"/>
  <c r="AI230" i="1"/>
  <c r="AJ230" i="1" s="1"/>
  <c r="AK230" i="1"/>
  <c r="AL230" i="1"/>
  <c r="AM230" i="1"/>
  <c r="D231" i="1"/>
  <c r="E231" i="1"/>
  <c r="Q231" i="1"/>
  <c r="S231" i="1"/>
  <c r="X231" i="1" s="1" a="1"/>
  <c r="X231" i="1" s="1"/>
  <c r="T231" i="1"/>
  <c r="V231" i="1" s="1"/>
  <c r="W231" i="1" s="1"/>
  <c r="U231" i="1"/>
  <c r="Y231" i="1"/>
  <c r="Z231" i="1" s="1"/>
  <c r="AA231" i="1"/>
  <c r="AE231" i="1"/>
  <c r="AG231" i="1"/>
  <c r="AH231" i="1"/>
  <c r="AI231" i="1"/>
  <c r="AJ231" i="1" s="1"/>
  <c r="AK231" i="1"/>
  <c r="AL231" i="1"/>
  <c r="AM231" i="1"/>
  <c r="D232" i="1"/>
  <c r="E232" i="1"/>
  <c r="Q232" i="1"/>
  <c r="AH232" i="1" s="1"/>
  <c r="S232" i="1"/>
  <c r="X232" i="1" s="1" a="1"/>
  <c r="X232" i="1" s="1"/>
  <c r="T232" i="1"/>
  <c r="V232" i="1" s="1"/>
  <c r="W232" i="1" s="1"/>
  <c r="U232" i="1"/>
  <c r="Y232" i="1"/>
  <c r="Z232" i="1" s="1"/>
  <c r="AA232" i="1"/>
  <c r="AE232" i="1"/>
  <c r="AG232" i="1"/>
  <c r="AI232" i="1"/>
  <c r="AJ232" i="1"/>
  <c r="AK232" i="1"/>
  <c r="AL232" i="1"/>
  <c r="AM232" i="1" s="1"/>
  <c r="D233" i="1"/>
  <c r="AE233" i="1" s="1"/>
  <c r="E233" i="1"/>
  <c r="Q233" i="1"/>
  <c r="S233" i="1"/>
  <c r="X233" i="1" s="1" a="1"/>
  <c r="X233" i="1" s="1"/>
  <c r="T233" i="1"/>
  <c r="U233" i="1"/>
  <c r="V233" i="1"/>
  <c r="W233" i="1"/>
  <c r="Y233" i="1"/>
  <c r="Z233" i="1" s="1"/>
  <c r="AA233" i="1"/>
  <c r="AG233" i="1"/>
  <c r="AH233" i="1"/>
  <c r="AI233" i="1"/>
  <c r="AJ233" i="1" s="1"/>
  <c r="AK233" i="1"/>
  <c r="AL233" i="1"/>
  <c r="AM233" i="1"/>
  <c r="D234" i="1"/>
  <c r="AE234" i="1" s="1"/>
  <c r="E234" i="1"/>
  <c r="Q234" i="1"/>
  <c r="S234" i="1"/>
  <c r="T234" i="1"/>
  <c r="U234" i="1"/>
  <c r="X234" i="1" a="1"/>
  <c r="X234" i="1"/>
  <c r="Y234" i="1"/>
  <c r="Z234" i="1" s="1"/>
  <c r="AA234" i="1"/>
  <c r="AG234" i="1"/>
  <c r="AH234" i="1"/>
  <c r="AI234" i="1"/>
  <c r="AJ234" i="1" s="1"/>
  <c r="AK234" i="1"/>
  <c r="AL234" i="1"/>
  <c r="AM234" i="1"/>
  <c r="D235" i="1"/>
  <c r="E235" i="1"/>
  <c r="Q235" i="1"/>
  <c r="S235" i="1"/>
  <c r="X235" i="1" s="1" a="1"/>
  <c r="X235" i="1" s="1"/>
  <c r="T235" i="1"/>
  <c r="U235" i="1"/>
  <c r="V235" i="1" s="1"/>
  <c r="W235" i="1" s="1"/>
  <c r="Y235" i="1"/>
  <c r="Z235" i="1" s="1"/>
  <c r="AA235" i="1"/>
  <c r="AE235" i="1"/>
  <c r="AG235" i="1"/>
  <c r="AH235" i="1"/>
  <c r="AI235" i="1"/>
  <c r="AJ235" i="1" s="1"/>
  <c r="AK235" i="1"/>
  <c r="AL235" i="1"/>
  <c r="AM235" i="1"/>
  <c r="D236" i="1"/>
  <c r="AE236" i="1" s="1"/>
  <c r="E236" i="1"/>
  <c r="Q236" i="1"/>
  <c r="AH236" i="1" s="1"/>
  <c r="S236" i="1"/>
  <c r="X236" i="1" s="1" a="1"/>
  <c r="X236" i="1" s="1"/>
  <c r="T236" i="1"/>
  <c r="V236" i="1" s="1"/>
  <c r="W236" i="1" s="1"/>
  <c r="U236" i="1"/>
  <c r="Y236" i="1"/>
  <c r="Z236" i="1"/>
  <c r="AA236" i="1"/>
  <c r="AG236" i="1"/>
  <c r="AI236" i="1"/>
  <c r="AJ236" i="1"/>
  <c r="AK236" i="1"/>
  <c r="AL236" i="1"/>
  <c r="AM236" i="1"/>
  <c r="D237" i="1"/>
  <c r="AE237" i="1" s="1"/>
  <c r="E237" i="1"/>
  <c r="Q237" i="1"/>
  <c r="S237" i="1"/>
  <c r="X237" i="1" s="1" a="1"/>
  <c r="T237" i="1"/>
  <c r="U237" i="1"/>
  <c r="V237" i="1"/>
  <c r="W237" i="1"/>
  <c r="X237" i="1"/>
  <c r="Y237" i="1"/>
  <c r="Z237" i="1" s="1"/>
  <c r="AA237" i="1"/>
  <c r="AG237" i="1"/>
  <c r="AH237" i="1"/>
  <c r="AI237" i="1"/>
  <c r="AJ237" i="1"/>
  <c r="AK237" i="1"/>
  <c r="AL237" i="1"/>
  <c r="AM237" i="1" s="1"/>
  <c r="D238" i="1"/>
  <c r="E238" i="1"/>
  <c r="Q238" i="1"/>
  <c r="S238" i="1"/>
  <c r="T238" i="1"/>
  <c r="V238" i="1" s="1"/>
  <c r="W238" i="1" s="1"/>
  <c r="U238" i="1"/>
  <c r="X238" i="1" a="1"/>
  <c r="X238" i="1"/>
  <c r="Y238" i="1"/>
  <c r="Z238" i="1"/>
  <c r="AA238" i="1"/>
  <c r="AE238" i="1"/>
  <c r="AG238" i="1"/>
  <c r="AH238" i="1"/>
  <c r="AI238" i="1"/>
  <c r="AJ238" i="1" s="1"/>
  <c r="AK238" i="1"/>
  <c r="AL238" i="1"/>
  <c r="AM238" i="1" s="1"/>
  <c r="D239" i="1"/>
  <c r="E239" i="1"/>
  <c r="Q239" i="1"/>
  <c r="AH239" i="1" s="1"/>
  <c r="S239" i="1"/>
  <c r="X239" i="1" s="1" a="1"/>
  <c r="X239" i="1" s="1"/>
  <c r="T239" i="1"/>
  <c r="U239" i="1"/>
  <c r="Y239" i="1"/>
  <c r="Z239" i="1" s="1"/>
  <c r="AA239" i="1"/>
  <c r="AE239" i="1"/>
  <c r="AG239" i="1"/>
  <c r="AI239" i="1"/>
  <c r="AJ239" i="1" s="1"/>
  <c r="AK239" i="1"/>
  <c r="AL239" i="1"/>
  <c r="AM239" i="1"/>
  <c r="D240" i="1"/>
  <c r="E240" i="1"/>
  <c r="Q240" i="1"/>
  <c r="AH240" i="1" s="1"/>
  <c r="S240" i="1"/>
  <c r="X240" i="1" s="1" a="1"/>
  <c r="X240" i="1" s="1"/>
  <c r="T240" i="1"/>
  <c r="U240" i="1"/>
  <c r="V240" i="1" s="1"/>
  <c r="W240" i="1" s="1"/>
  <c r="Y240" i="1"/>
  <c r="Z240" i="1" s="1"/>
  <c r="AA240" i="1"/>
  <c r="AE240" i="1"/>
  <c r="AG240" i="1"/>
  <c r="AI240" i="1"/>
  <c r="AJ240" i="1"/>
  <c r="AK240" i="1"/>
  <c r="AL240" i="1"/>
  <c r="AM240" i="1" s="1"/>
  <c r="D241" i="1"/>
  <c r="AE241" i="1" s="1"/>
  <c r="E241" i="1"/>
  <c r="Q241" i="1"/>
  <c r="AH241" i="1" s="1"/>
  <c r="S241" i="1"/>
  <c r="T241" i="1"/>
  <c r="U241" i="1"/>
  <c r="V241" i="1"/>
  <c r="W241" i="1"/>
  <c r="X241" i="1" a="1"/>
  <c r="X241" i="1" s="1"/>
  <c r="Y241" i="1"/>
  <c r="Z241" i="1" s="1"/>
  <c r="AA241" i="1"/>
  <c r="AG241" i="1"/>
  <c r="AI241" i="1"/>
  <c r="AJ241" i="1"/>
  <c r="AK241" i="1"/>
  <c r="AL241" i="1"/>
  <c r="AM241" i="1"/>
  <c r="D242" i="1"/>
  <c r="E242" i="1"/>
  <c r="Q242" i="1"/>
  <c r="S242" i="1"/>
  <c r="X242" i="1" s="1" a="1"/>
  <c r="T242" i="1"/>
  <c r="U242" i="1"/>
  <c r="V242" i="1"/>
  <c r="W242" i="1" s="1"/>
  <c r="X242" i="1"/>
  <c r="Y242" i="1"/>
  <c r="Z242" i="1"/>
  <c r="AA242" i="1"/>
  <c r="AE242" i="1"/>
  <c r="AG242" i="1"/>
  <c r="AH242" i="1"/>
  <c r="AI242" i="1"/>
  <c r="AJ242" i="1"/>
  <c r="AK242" i="1"/>
  <c r="AL242" i="1"/>
  <c r="AM242" i="1" s="1"/>
  <c r="D243" i="1"/>
  <c r="E243" i="1"/>
  <c r="Q243" i="1"/>
  <c r="AH243" i="1" s="1"/>
  <c r="S243" i="1"/>
  <c r="X243" i="1" s="1" a="1"/>
  <c r="X243" i="1" s="1"/>
  <c r="T243" i="1"/>
  <c r="U243" i="1"/>
  <c r="V243" i="1" s="1"/>
  <c r="W243" i="1" s="1"/>
  <c r="Y243" i="1"/>
  <c r="Z243" i="1" s="1"/>
  <c r="AA243" i="1"/>
  <c r="AE243" i="1"/>
  <c r="AG243" i="1"/>
  <c r="AI243" i="1"/>
  <c r="AJ243" i="1"/>
  <c r="AK243" i="1"/>
  <c r="AL243" i="1"/>
  <c r="AM243" i="1"/>
  <c r="D244" i="1"/>
  <c r="AE244" i="1" s="1"/>
  <c r="E244" i="1"/>
  <c r="Q244" i="1"/>
  <c r="S244" i="1"/>
  <c r="X244" i="1" s="1" a="1"/>
  <c r="T244" i="1"/>
  <c r="U244" i="1"/>
  <c r="V244" i="1"/>
  <c r="W244" i="1" s="1"/>
  <c r="X244" i="1"/>
  <c r="Y244" i="1"/>
  <c r="Z244" i="1" s="1"/>
  <c r="AA244" i="1"/>
  <c r="AG244" i="1"/>
  <c r="AH244" i="1"/>
  <c r="AI244" i="1"/>
  <c r="AJ244" i="1"/>
  <c r="AK244" i="1"/>
  <c r="AL244" i="1"/>
  <c r="AM244" i="1"/>
  <c r="D245" i="1"/>
  <c r="E245" i="1"/>
  <c r="Q245" i="1"/>
  <c r="S245" i="1"/>
  <c r="X245" i="1" s="1" a="1"/>
  <c r="X245" i="1" s="1"/>
  <c r="T245" i="1"/>
  <c r="V245" i="1" s="1"/>
  <c r="W245" i="1" s="1"/>
  <c r="U245" i="1"/>
  <c r="Y245" i="1"/>
  <c r="Z245" i="1" s="1"/>
  <c r="AA245" i="1"/>
  <c r="AE245" i="1"/>
  <c r="AG245" i="1"/>
  <c r="AH245" i="1"/>
  <c r="AI245" i="1"/>
  <c r="AJ245" i="1" s="1"/>
  <c r="AK245" i="1"/>
  <c r="AL245" i="1"/>
  <c r="AM245" i="1"/>
  <c r="D246" i="1"/>
  <c r="AE246" i="1" s="1"/>
  <c r="E246" i="1"/>
  <c r="Q246" i="1"/>
  <c r="S246" i="1"/>
  <c r="T246" i="1"/>
  <c r="V246" i="1" s="1"/>
  <c r="W246" i="1" s="1"/>
  <c r="U246" i="1"/>
  <c r="X246" i="1" a="1"/>
  <c r="X246" i="1"/>
  <c r="Y246" i="1"/>
  <c r="Z246" i="1"/>
  <c r="AA246" i="1"/>
  <c r="AG246" i="1"/>
  <c r="AH246" i="1"/>
  <c r="AI246" i="1"/>
  <c r="AJ246" i="1" s="1"/>
  <c r="AK246" i="1"/>
  <c r="AL246" i="1"/>
  <c r="AM246" i="1"/>
  <c r="D247" i="1"/>
  <c r="AE247" i="1" s="1"/>
  <c r="E247" i="1"/>
  <c r="Q247" i="1"/>
  <c r="S247" i="1"/>
  <c r="X247" i="1" s="1" a="1"/>
  <c r="X247" i="1" s="1"/>
  <c r="T247" i="1"/>
  <c r="U247" i="1"/>
  <c r="V247" i="1" s="1"/>
  <c r="W247" i="1" s="1"/>
  <c r="Y247" i="1"/>
  <c r="Z247" i="1" s="1"/>
  <c r="AA247" i="1"/>
  <c r="AG247" i="1"/>
  <c r="AH247" i="1"/>
  <c r="AI247" i="1"/>
  <c r="AJ247" i="1"/>
  <c r="AK247" i="1"/>
  <c r="AL247" i="1"/>
  <c r="AM247" i="1"/>
  <c r="D248" i="1"/>
  <c r="E248" i="1"/>
  <c r="Q248" i="1"/>
  <c r="S248" i="1"/>
  <c r="X248" i="1" s="1" a="1"/>
  <c r="X248" i="1" s="1"/>
  <c r="T248" i="1"/>
  <c r="V248" i="1" s="1"/>
  <c r="W248" i="1" s="1"/>
  <c r="U248" i="1"/>
  <c r="Y248" i="1"/>
  <c r="Z248" i="1"/>
  <c r="AA248" i="1"/>
  <c r="AE248" i="1"/>
  <c r="AG248" i="1"/>
  <c r="AH248" i="1"/>
  <c r="AI248" i="1"/>
  <c r="AJ248" i="1"/>
  <c r="AK248" i="1"/>
  <c r="AL248" i="1"/>
  <c r="AM248" i="1"/>
  <c r="D249" i="1"/>
  <c r="E249" i="1"/>
  <c r="Q249" i="1"/>
  <c r="AH249" i="1" s="1"/>
  <c r="S249" i="1"/>
  <c r="T249" i="1"/>
  <c r="V249" i="1" s="1"/>
  <c r="W249" i="1" s="1"/>
  <c r="U249" i="1"/>
  <c r="X249" i="1" a="1"/>
  <c r="X249" i="1" s="1"/>
  <c r="Y249" i="1"/>
  <c r="Z249" i="1"/>
  <c r="AA249" i="1"/>
  <c r="AE249" i="1"/>
  <c r="AG249" i="1"/>
  <c r="AI249" i="1"/>
  <c r="AJ249" i="1"/>
  <c r="AK249" i="1"/>
  <c r="AL249" i="1"/>
  <c r="AM249" i="1"/>
  <c r="D250" i="1"/>
  <c r="AE250" i="1" s="1"/>
  <c r="E250" i="1"/>
  <c r="Q250" i="1"/>
  <c r="S250" i="1"/>
  <c r="X250" i="1" s="1" a="1"/>
  <c r="T250" i="1"/>
  <c r="U250" i="1"/>
  <c r="V250" i="1"/>
  <c r="W250" i="1"/>
  <c r="X250" i="1"/>
  <c r="Y250" i="1"/>
  <c r="Z250" i="1" s="1"/>
  <c r="AA250" i="1"/>
  <c r="AG250" i="1"/>
  <c r="AH250" i="1"/>
  <c r="AI250" i="1"/>
  <c r="AJ250" i="1" s="1"/>
  <c r="AK250" i="1"/>
  <c r="AL250" i="1"/>
  <c r="AM250" i="1"/>
  <c r="D251" i="1"/>
  <c r="AE251" i="1" s="1"/>
  <c r="E251" i="1"/>
  <c r="Q251" i="1"/>
  <c r="S251" i="1"/>
  <c r="T251" i="1"/>
  <c r="U251" i="1"/>
  <c r="V251" i="1"/>
  <c r="W251" i="1" s="1"/>
  <c r="X251" i="1" a="1"/>
  <c r="X251" i="1" s="1"/>
  <c r="Y251" i="1"/>
  <c r="Z251" i="1" s="1"/>
  <c r="AA251" i="1"/>
  <c r="AG251" i="1"/>
  <c r="AH251" i="1"/>
  <c r="AI251" i="1"/>
  <c r="AJ251" i="1"/>
  <c r="AK251" i="1"/>
  <c r="AL251" i="1"/>
  <c r="AM251" i="1"/>
  <c r="D252" i="1"/>
  <c r="E252" i="1"/>
  <c r="Q252" i="1"/>
  <c r="S252" i="1"/>
  <c r="X252" i="1" s="1" a="1"/>
  <c r="X252" i="1" s="1"/>
  <c r="T252" i="1"/>
  <c r="V252" i="1" s="1"/>
  <c r="W252" i="1" s="1"/>
  <c r="U252" i="1"/>
  <c r="Y252" i="1"/>
  <c r="Z252" i="1" s="1"/>
  <c r="AA252" i="1"/>
  <c r="AE252" i="1"/>
  <c r="AG252" i="1"/>
  <c r="AH252" i="1"/>
  <c r="AI252" i="1"/>
  <c r="AJ252" i="1"/>
  <c r="AK252" i="1"/>
  <c r="AL252" i="1"/>
  <c r="AM252" i="1"/>
  <c r="D253" i="1"/>
  <c r="E253" i="1"/>
  <c r="Q253" i="1"/>
  <c r="AH253" i="1" s="1"/>
  <c r="S253" i="1"/>
  <c r="T253" i="1"/>
  <c r="U253" i="1"/>
  <c r="V253" i="1"/>
  <c r="W253" i="1" s="1"/>
  <c r="X253" i="1" a="1"/>
  <c r="X253" i="1"/>
  <c r="Y253" i="1"/>
  <c r="Z253" i="1"/>
  <c r="AA253" i="1"/>
  <c r="AE253" i="1"/>
  <c r="AG253" i="1"/>
  <c r="AI253" i="1"/>
  <c r="AJ253" i="1"/>
  <c r="AK253" i="1"/>
  <c r="AL253" i="1"/>
  <c r="AM253" i="1"/>
  <c r="D254" i="1"/>
  <c r="E254" i="1"/>
  <c r="Q254" i="1"/>
  <c r="S254" i="1"/>
  <c r="X254" i="1" s="1" a="1"/>
  <c r="X254" i="1" s="1"/>
  <c r="T254" i="1"/>
  <c r="V254" i="1" s="1"/>
  <c r="W254" i="1" s="1"/>
  <c r="U254" i="1"/>
  <c r="Y254" i="1"/>
  <c r="Z254" i="1"/>
  <c r="AA254" i="1"/>
  <c r="AE254" i="1"/>
  <c r="AG254" i="1"/>
  <c r="AH254" i="1"/>
  <c r="AI254" i="1"/>
  <c r="AJ254" i="1" s="1"/>
  <c r="AK254" i="1"/>
  <c r="AL254" i="1"/>
  <c r="AM254" i="1"/>
  <c r="D255" i="1"/>
  <c r="E255" i="1"/>
  <c r="Q255" i="1"/>
  <c r="S255" i="1"/>
  <c r="X255" i="1" s="1" a="1"/>
  <c r="X255" i="1" s="1"/>
  <c r="T255" i="1"/>
  <c r="U255" i="1"/>
  <c r="V255" i="1"/>
  <c r="W255" i="1" s="1"/>
  <c r="Y255" i="1"/>
  <c r="Z255" i="1" s="1"/>
  <c r="AA255" i="1"/>
  <c r="AE255" i="1"/>
  <c r="AG255" i="1"/>
  <c r="AH255" i="1"/>
  <c r="AI255" i="1"/>
  <c r="AJ255" i="1"/>
  <c r="AK255" i="1"/>
  <c r="AL255" i="1"/>
  <c r="AM255" i="1"/>
  <c r="D256" i="1"/>
  <c r="AE256" i="1" s="1"/>
  <c r="E256" i="1"/>
  <c r="Q256" i="1"/>
  <c r="AH256" i="1" s="1"/>
  <c r="S256" i="1"/>
  <c r="X256" i="1" s="1" a="1"/>
  <c r="T256" i="1"/>
  <c r="V256" i="1" s="1"/>
  <c r="W256" i="1" s="1"/>
  <c r="U256" i="1"/>
  <c r="X256" i="1"/>
  <c r="Y256" i="1"/>
  <c r="Z256" i="1" s="1"/>
  <c r="AA256" i="1"/>
  <c r="AG256" i="1"/>
  <c r="AI256" i="1"/>
  <c r="AJ256" i="1"/>
  <c r="AK256" i="1"/>
  <c r="AL256" i="1"/>
  <c r="AM256" i="1"/>
  <c r="D257" i="1"/>
  <c r="AE257" i="1" s="1"/>
  <c r="E257" i="1"/>
  <c r="Q257" i="1"/>
  <c r="AH257" i="1" s="1"/>
  <c r="S257" i="1"/>
  <c r="X257" i="1" s="1" a="1"/>
  <c r="X257" i="1" s="1"/>
  <c r="T257" i="1"/>
  <c r="U257" i="1"/>
  <c r="V257" i="1"/>
  <c r="W257" i="1"/>
  <c r="Y257" i="1"/>
  <c r="Z257" i="1"/>
  <c r="AA257" i="1"/>
  <c r="AG257" i="1"/>
  <c r="AI257" i="1"/>
  <c r="AJ257" i="1" s="1"/>
  <c r="AK257" i="1"/>
  <c r="AL257" i="1"/>
  <c r="AM257" i="1"/>
  <c r="D258" i="1"/>
  <c r="AE258" i="1" s="1"/>
  <c r="E258" i="1"/>
  <c r="Q258" i="1"/>
  <c r="S258" i="1"/>
  <c r="T258" i="1"/>
  <c r="U258" i="1"/>
  <c r="X258" i="1" a="1"/>
  <c r="X258" i="1"/>
  <c r="Y258" i="1"/>
  <c r="Z258" i="1" s="1"/>
  <c r="AA258" i="1"/>
  <c r="AG258" i="1"/>
  <c r="AH258" i="1"/>
  <c r="AI258" i="1"/>
  <c r="AJ258" i="1" s="1"/>
  <c r="AK258" i="1"/>
  <c r="AL258" i="1"/>
  <c r="AM258" i="1"/>
  <c r="D259" i="1"/>
  <c r="E259" i="1"/>
  <c r="Q259" i="1"/>
  <c r="S259" i="1"/>
  <c r="X259" i="1" s="1" a="1"/>
  <c r="X259" i="1" s="1"/>
  <c r="T259" i="1"/>
  <c r="V259" i="1" s="1"/>
  <c r="W259" i="1" s="1"/>
  <c r="U259" i="1"/>
  <c r="Y259" i="1"/>
  <c r="Z259" i="1" s="1"/>
  <c r="AA259" i="1"/>
  <c r="AE259" i="1"/>
  <c r="AG259" i="1"/>
  <c r="AH259" i="1"/>
  <c r="AI259" i="1"/>
  <c r="AJ259" i="1" s="1"/>
  <c r="AK259" i="1"/>
  <c r="AL259" i="1"/>
  <c r="AM259" i="1"/>
  <c r="D260" i="1"/>
  <c r="AE260" i="1" s="1"/>
  <c r="E260" i="1"/>
  <c r="Q260" i="1"/>
  <c r="S260" i="1"/>
  <c r="X260" i="1" s="1" a="1"/>
  <c r="T260" i="1"/>
  <c r="U260" i="1"/>
  <c r="V260" i="1"/>
  <c r="W260" i="1"/>
  <c r="X260" i="1"/>
  <c r="Y260" i="1"/>
  <c r="Z260" i="1" s="1"/>
  <c r="AA260" i="1"/>
  <c r="AG260" i="1"/>
  <c r="AH260" i="1"/>
  <c r="AI260" i="1"/>
  <c r="AJ260" i="1"/>
  <c r="AK260" i="1"/>
  <c r="AL260" i="1"/>
  <c r="AM260" i="1"/>
  <c r="D261" i="1"/>
  <c r="AE261" i="1" s="1"/>
  <c r="E261" i="1"/>
  <c r="Q261" i="1"/>
  <c r="S261" i="1"/>
  <c r="X261" i="1" s="1" a="1"/>
  <c r="T261" i="1"/>
  <c r="U261" i="1"/>
  <c r="V261" i="1"/>
  <c r="W261" i="1" s="1"/>
  <c r="X261" i="1"/>
  <c r="Y261" i="1"/>
  <c r="Z261" i="1"/>
  <c r="AA261" i="1"/>
  <c r="AG261" i="1"/>
  <c r="AH261" i="1"/>
  <c r="AI261" i="1"/>
  <c r="AJ261" i="1" s="1"/>
  <c r="AK261" i="1"/>
  <c r="AL261" i="1"/>
  <c r="AM261" i="1"/>
  <c r="D262" i="1"/>
  <c r="AE262" i="1" s="1"/>
  <c r="E262" i="1"/>
  <c r="Q262" i="1"/>
  <c r="S262" i="1"/>
  <c r="X262" i="1" s="1" a="1"/>
  <c r="X262" i="1" s="1"/>
  <c r="T262" i="1"/>
  <c r="U262" i="1"/>
  <c r="Y262" i="1"/>
  <c r="Z262" i="1" s="1"/>
  <c r="AA262" i="1"/>
  <c r="AG262" i="1"/>
  <c r="AH262" i="1"/>
  <c r="AI262" i="1"/>
  <c r="AJ262" i="1" s="1"/>
  <c r="AK262" i="1"/>
  <c r="AL262" i="1"/>
  <c r="AM262" i="1" s="1"/>
  <c r="D263" i="1"/>
  <c r="E263" i="1"/>
  <c r="Q263" i="1"/>
  <c r="AH263" i="1" s="1"/>
  <c r="S263" i="1"/>
  <c r="T263" i="1"/>
  <c r="U263" i="1"/>
  <c r="V263" i="1"/>
  <c r="W263" i="1" s="1"/>
  <c r="X263" i="1" a="1"/>
  <c r="X263" i="1" s="1"/>
  <c r="Y263" i="1"/>
  <c r="Z263" i="1" s="1"/>
  <c r="AA263" i="1"/>
  <c r="AE263" i="1"/>
  <c r="AG263" i="1"/>
  <c r="AI263" i="1"/>
  <c r="AJ263" i="1"/>
  <c r="AK263" i="1"/>
  <c r="AL263" i="1"/>
  <c r="AM263" i="1"/>
  <c r="D264" i="1"/>
  <c r="AE264" i="1" s="1"/>
  <c r="E264" i="1"/>
  <c r="Q264" i="1"/>
  <c r="S264" i="1"/>
  <c r="X264" i="1" s="1" a="1"/>
  <c r="X264" i="1" s="1"/>
  <c r="T264" i="1"/>
  <c r="V264" i="1" s="1"/>
  <c r="W264" i="1" s="1"/>
  <c r="U264" i="1"/>
  <c r="Y264" i="1"/>
  <c r="Z264" i="1"/>
  <c r="AA264" i="1"/>
  <c r="AG264" i="1"/>
  <c r="AH264" i="1"/>
  <c r="AI264" i="1"/>
  <c r="AJ264" i="1"/>
  <c r="AK264" i="1"/>
  <c r="AL264" i="1"/>
  <c r="AM264" i="1"/>
  <c r="D265" i="1"/>
  <c r="E265" i="1"/>
  <c r="Q265" i="1"/>
  <c r="AH265" i="1" s="1"/>
  <c r="S265" i="1"/>
  <c r="T265" i="1"/>
  <c r="V265" i="1" s="1"/>
  <c r="U265" i="1"/>
  <c r="W265" i="1"/>
  <c r="X265" i="1" a="1"/>
  <c r="X265" i="1"/>
  <c r="Y265" i="1"/>
  <c r="Z265" i="1"/>
  <c r="AA265" i="1"/>
  <c r="AE265" i="1"/>
  <c r="AG265" i="1"/>
  <c r="AI265" i="1"/>
  <c r="AJ265" i="1"/>
  <c r="AK265" i="1"/>
  <c r="AL265" i="1"/>
  <c r="AM265" i="1" s="1"/>
  <c r="D266" i="1"/>
  <c r="E266" i="1"/>
  <c r="Q266" i="1"/>
  <c r="S266" i="1"/>
  <c r="T266" i="1"/>
  <c r="U266" i="1"/>
  <c r="V266" i="1"/>
  <c r="W266" i="1" s="1"/>
  <c r="X266" i="1" a="1"/>
  <c r="X266" i="1"/>
  <c r="Y266" i="1"/>
  <c r="Z266" i="1" s="1"/>
  <c r="AA266" i="1"/>
  <c r="AE266" i="1"/>
  <c r="AG266" i="1"/>
  <c r="AH266" i="1"/>
  <c r="AI266" i="1"/>
  <c r="AJ266" i="1"/>
  <c r="AK266" i="1"/>
  <c r="AL266" i="1"/>
  <c r="AM266" i="1" s="1"/>
  <c r="D267" i="1"/>
  <c r="AE267" i="1" s="1"/>
  <c r="E267" i="1"/>
  <c r="Q267" i="1"/>
  <c r="AH267" i="1" s="1"/>
  <c r="S267" i="1"/>
  <c r="T267" i="1"/>
  <c r="U267" i="1"/>
  <c r="V267" i="1"/>
  <c r="W267" i="1" s="1"/>
  <c r="X267" i="1" a="1"/>
  <c r="X267" i="1"/>
  <c r="Y267" i="1"/>
  <c r="Z267" i="1" s="1"/>
  <c r="AA267" i="1"/>
  <c r="AG267" i="1"/>
  <c r="AI267" i="1"/>
  <c r="AJ267" i="1"/>
  <c r="AK267" i="1"/>
  <c r="AL267" i="1"/>
  <c r="AM267" i="1"/>
  <c r="D268" i="1"/>
  <c r="E268" i="1"/>
  <c r="Q268" i="1"/>
  <c r="AH268" i="1" s="1"/>
  <c r="S268" i="1"/>
  <c r="X268" i="1" s="1" a="1"/>
  <c r="X268" i="1" s="1"/>
  <c r="T268" i="1"/>
  <c r="U268" i="1"/>
  <c r="V268" i="1"/>
  <c r="W268" i="1"/>
  <c r="Y268" i="1"/>
  <c r="Z268" i="1" s="1"/>
  <c r="AA268" i="1"/>
  <c r="AE268" i="1"/>
  <c r="AG268" i="1"/>
  <c r="AI268" i="1"/>
  <c r="AJ268" i="1"/>
  <c r="AK268" i="1"/>
  <c r="AL268" i="1"/>
  <c r="AM268" i="1" s="1"/>
  <c r="D269" i="1"/>
  <c r="E269" i="1"/>
  <c r="Q269" i="1"/>
  <c r="AH269" i="1" s="1"/>
  <c r="S269" i="1"/>
  <c r="T269" i="1"/>
  <c r="V269" i="1" s="1"/>
  <c r="U269" i="1"/>
  <c r="W269" i="1"/>
  <c r="X269" i="1" a="1"/>
  <c r="X269" i="1"/>
  <c r="Y269" i="1"/>
  <c r="Z269" i="1" s="1"/>
  <c r="AA269" i="1"/>
  <c r="AE269" i="1"/>
  <c r="AG269" i="1"/>
  <c r="AI269" i="1"/>
  <c r="AJ269" i="1" s="1"/>
  <c r="AK269" i="1"/>
  <c r="AL269" i="1"/>
  <c r="AM269" i="1" s="1"/>
  <c r="D270" i="1"/>
  <c r="AE270" i="1" s="1"/>
  <c r="E270" i="1"/>
  <c r="Q270" i="1"/>
  <c r="S270" i="1"/>
  <c r="T270" i="1"/>
  <c r="U270" i="1"/>
  <c r="V270" i="1" s="1"/>
  <c r="W270" i="1" s="1"/>
  <c r="X270" i="1" a="1"/>
  <c r="X270" i="1" s="1"/>
  <c r="Y270" i="1"/>
  <c r="Z270" i="1" s="1"/>
  <c r="AA270" i="1"/>
  <c r="AG270" i="1"/>
  <c r="AH270" i="1"/>
  <c r="AI270" i="1"/>
  <c r="AJ270" i="1" s="1"/>
  <c r="AK270" i="1"/>
  <c r="AL270" i="1"/>
  <c r="AM270" i="1"/>
  <c r="D271" i="1"/>
  <c r="AE271" i="1" s="1"/>
  <c r="E271" i="1"/>
  <c r="Q271" i="1"/>
  <c r="AH271" i="1" s="1"/>
  <c r="S271" i="1"/>
  <c r="X271" i="1" s="1" a="1"/>
  <c r="T271" i="1"/>
  <c r="U271" i="1"/>
  <c r="V271" i="1"/>
  <c r="W271" i="1" s="1"/>
  <c r="X271" i="1"/>
  <c r="Y271" i="1"/>
  <c r="Z271" i="1" s="1"/>
  <c r="AA271" i="1"/>
  <c r="AG271" i="1"/>
  <c r="AI271" i="1"/>
  <c r="AJ271" i="1" s="1"/>
  <c r="AK271" i="1"/>
  <c r="AL271" i="1"/>
  <c r="AM271" i="1"/>
  <c r="D272" i="1"/>
  <c r="AE272" i="1" s="1"/>
  <c r="E272" i="1"/>
  <c r="Q272" i="1"/>
  <c r="AH272" i="1" s="1"/>
  <c r="S272" i="1"/>
  <c r="X272" i="1" s="1" a="1"/>
  <c r="T272" i="1"/>
  <c r="U272" i="1"/>
  <c r="X272" i="1"/>
  <c r="Y272" i="1"/>
  <c r="Z272" i="1" s="1"/>
  <c r="AA272" i="1"/>
  <c r="AG272" i="1"/>
  <c r="AI272" i="1"/>
  <c r="AJ272" i="1"/>
  <c r="AK272" i="1"/>
  <c r="AL272" i="1"/>
  <c r="AM272" i="1" s="1"/>
  <c r="D273" i="1"/>
  <c r="AE273" i="1" s="1"/>
  <c r="E273" i="1"/>
  <c r="Q273" i="1"/>
  <c r="S273" i="1"/>
  <c r="X273" i="1" s="1" a="1"/>
  <c r="T273" i="1"/>
  <c r="U273" i="1"/>
  <c r="V273" i="1"/>
  <c r="W273" i="1"/>
  <c r="X273" i="1"/>
  <c r="Y273" i="1"/>
  <c r="Z273" i="1" s="1"/>
  <c r="AA273" i="1"/>
  <c r="AG273" i="1"/>
  <c r="AH273" i="1"/>
  <c r="AI273" i="1"/>
  <c r="AJ273" i="1" s="1"/>
  <c r="AK273" i="1"/>
  <c r="AL273" i="1"/>
  <c r="AM273" i="1" s="1"/>
  <c r="D274" i="1"/>
  <c r="E274" i="1"/>
  <c r="Q274" i="1"/>
  <c r="S274" i="1"/>
  <c r="X274" i="1" s="1" a="1"/>
  <c r="X274" i="1" s="1"/>
  <c r="T274" i="1"/>
  <c r="V274" i="1" s="1"/>
  <c r="W274" i="1" s="1"/>
  <c r="U274" i="1"/>
  <c r="Y274" i="1"/>
  <c r="Z274" i="1"/>
  <c r="AA274" i="1"/>
  <c r="AE274" i="1"/>
  <c r="AG274" i="1"/>
  <c r="AH274" i="1"/>
  <c r="AI274" i="1"/>
  <c r="AJ274" i="1"/>
  <c r="AK274" i="1"/>
  <c r="AL274" i="1"/>
  <c r="AM274" i="1"/>
  <c r="D275" i="1"/>
  <c r="AE275" i="1" s="1"/>
  <c r="E275" i="1"/>
  <c r="Q275" i="1"/>
  <c r="AH275" i="1" s="1"/>
  <c r="S275" i="1"/>
  <c r="X275" i="1" s="1" a="1"/>
  <c r="X275" i="1" s="1"/>
  <c r="T275" i="1"/>
  <c r="V275" i="1" s="1"/>
  <c r="W275" i="1" s="1"/>
  <c r="U275" i="1"/>
  <c r="Y275" i="1"/>
  <c r="Z275" i="1" s="1"/>
  <c r="AA275" i="1"/>
  <c r="AG275" i="1"/>
  <c r="AI275" i="1"/>
  <c r="AJ275" i="1" s="1"/>
  <c r="AK275" i="1"/>
  <c r="AL275" i="1"/>
  <c r="AM275" i="1"/>
  <c r="D276" i="1"/>
  <c r="E276" i="1"/>
  <c r="Q276" i="1"/>
  <c r="AH276" i="1" s="1"/>
  <c r="S276" i="1"/>
  <c r="X276" i="1" s="1" a="1"/>
  <c r="T276" i="1"/>
  <c r="U276" i="1"/>
  <c r="X276" i="1"/>
  <c r="Y276" i="1"/>
  <c r="Z276" i="1"/>
  <c r="AA276" i="1"/>
  <c r="AE276" i="1"/>
  <c r="AG276" i="1"/>
  <c r="AI276" i="1"/>
  <c r="AJ276" i="1"/>
  <c r="AK276" i="1"/>
  <c r="AL276" i="1"/>
  <c r="AM276" i="1" s="1"/>
  <c r="D277" i="1"/>
  <c r="AE277" i="1" s="1"/>
  <c r="E277" i="1"/>
  <c r="Q277" i="1"/>
  <c r="AH277" i="1" s="1"/>
  <c r="S277" i="1"/>
  <c r="T277" i="1"/>
  <c r="U277" i="1"/>
  <c r="V277" i="1"/>
  <c r="W277" i="1" s="1"/>
  <c r="X277" i="1" a="1"/>
  <c r="X277" i="1" s="1"/>
  <c r="Y277" i="1"/>
  <c r="Z277" i="1" s="1"/>
  <c r="AA277" i="1"/>
  <c r="AG277" i="1"/>
  <c r="AI277" i="1"/>
  <c r="AJ277" i="1" s="1"/>
  <c r="AK277" i="1"/>
  <c r="AL277" i="1"/>
  <c r="AM277" i="1"/>
  <c r="D278" i="1"/>
  <c r="E278" i="1"/>
  <c r="Q278" i="1"/>
  <c r="S278" i="1"/>
  <c r="X278" i="1" s="1" a="1"/>
  <c r="X278" i="1" s="1"/>
  <c r="T278" i="1"/>
  <c r="U278" i="1"/>
  <c r="V278" i="1"/>
  <c r="W278" i="1" s="1"/>
  <c r="Y278" i="1"/>
  <c r="Z278" i="1"/>
  <c r="AA278" i="1"/>
  <c r="AE278" i="1"/>
  <c r="AG278" i="1"/>
  <c r="AH278" i="1"/>
  <c r="AI278" i="1"/>
  <c r="AJ278" i="1"/>
  <c r="AK278" i="1"/>
  <c r="AL278" i="1"/>
  <c r="AM278" i="1" s="1"/>
  <c r="D279" i="1"/>
  <c r="E279" i="1"/>
  <c r="Q279" i="1"/>
  <c r="AH279" i="1" s="1"/>
  <c r="S279" i="1"/>
  <c r="T279" i="1"/>
  <c r="V279" i="1" s="1"/>
  <c r="U279" i="1"/>
  <c r="W279" i="1"/>
  <c r="X279" i="1" a="1"/>
  <c r="X279" i="1"/>
  <c r="Y279" i="1"/>
  <c r="Z279" i="1" s="1"/>
  <c r="AA279" i="1"/>
  <c r="AE279" i="1"/>
  <c r="AG279" i="1"/>
  <c r="AI279" i="1"/>
  <c r="AJ279" i="1" s="1"/>
  <c r="AK279" i="1"/>
  <c r="AL279" i="1"/>
  <c r="AM279" i="1"/>
  <c r="D280" i="1"/>
  <c r="E280" i="1"/>
  <c r="Q280" i="1"/>
  <c r="S280" i="1"/>
  <c r="T280" i="1"/>
  <c r="U280" i="1"/>
  <c r="V280" i="1"/>
  <c r="W280" i="1" s="1"/>
  <c r="X280" i="1" a="1"/>
  <c r="X280" i="1"/>
  <c r="Y280" i="1"/>
  <c r="Z280" i="1"/>
  <c r="AA280" i="1"/>
  <c r="AE280" i="1"/>
  <c r="AG280" i="1"/>
  <c r="AH280" i="1"/>
  <c r="AI280" i="1"/>
  <c r="AJ280" i="1"/>
  <c r="AK280" i="1"/>
  <c r="AL280" i="1"/>
  <c r="AM280" i="1" s="1"/>
  <c r="D281" i="1"/>
  <c r="E281" i="1"/>
  <c r="Q281" i="1"/>
  <c r="AH281" i="1" s="1"/>
  <c r="S281" i="1"/>
  <c r="T281" i="1"/>
  <c r="U281" i="1"/>
  <c r="V281" i="1" s="1"/>
  <c r="W281" i="1" s="1"/>
  <c r="X281" i="1" a="1"/>
  <c r="X281" i="1"/>
  <c r="Y281" i="1"/>
  <c r="Z281" i="1" s="1"/>
  <c r="AA281" i="1"/>
  <c r="AE281" i="1"/>
  <c r="AG281" i="1"/>
  <c r="AI281" i="1"/>
  <c r="AJ281" i="1"/>
  <c r="AK281" i="1"/>
  <c r="AL281" i="1"/>
  <c r="AM281" i="1" s="1"/>
  <c r="D282" i="1"/>
  <c r="AE282" i="1" s="1"/>
  <c r="E282" i="1"/>
  <c r="Q282" i="1"/>
  <c r="AH282" i="1" s="1"/>
  <c r="S282" i="1"/>
  <c r="T282" i="1"/>
  <c r="U282" i="1"/>
  <c r="V282" i="1" s="1"/>
  <c r="W282" i="1" s="1"/>
  <c r="X282" i="1" a="1"/>
  <c r="X282" i="1" s="1"/>
  <c r="Y282" i="1"/>
  <c r="Z282" i="1" s="1"/>
  <c r="AA282" i="1"/>
  <c r="AG282" i="1"/>
  <c r="AI282" i="1"/>
  <c r="AJ282" i="1" s="1"/>
  <c r="AK282" i="1"/>
  <c r="AL282" i="1"/>
  <c r="AM282" i="1" s="1"/>
  <c r="D283" i="1"/>
  <c r="E283" i="1"/>
  <c r="Q283" i="1"/>
  <c r="S283" i="1"/>
  <c r="T283" i="1"/>
  <c r="U283" i="1"/>
  <c r="X283" i="1" a="1"/>
  <c r="X283" i="1"/>
  <c r="Y283" i="1"/>
  <c r="Z283" i="1" s="1"/>
  <c r="AA283" i="1"/>
  <c r="AE283" i="1"/>
  <c r="AG283" i="1"/>
  <c r="AH283" i="1"/>
  <c r="AI283" i="1"/>
  <c r="AJ283" i="1" s="1"/>
  <c r="AK283" i="1"/>
  <c r="AL283" i="1"/>
  <c r="AM283" i="1" s="1"/>
  <c r="D284" i="1"/>
  <c r="AE284" i="1" s="1"/>
  <c r="E284" i="1"/>
  <c r="Q284" i="1"/>
  <c r="AH284" i="1" s="1"/>
  <c r="S284" i="1"/>
  <c r="T284" i="1"/>
  <c r="U284" i="1"/>
  <c r="V284" i="1"/>
  <c r="W284" i="1"/>
  <c r="X284" i="1" a="1"/>
  <c r="X284" i="1" s="1"/>
  <c r="Y284" i="1"/>
  <c r="Z284" i="1"/>
  <c r="AA284" i="1"/>
  <c r="AG284" i="1"/>
  <c r="AI284" i="1"/>
  <c r="AJ284" i="1"/>
  <c r="AK284" i="1"/>
  <c r="AL284" i="1"/>
  <c r="AM284" i="1"/>
  <c r="D285" i="1"/>
  <c r="E285" i="1"/>
  <c r="Q285" i="1"/>
  <c r="AH285" i="1" s="1"/>
  <c r="S285" i="1"/>
  <c r="X285" i="1" s="1" a="1"/>
  <c r="X285" i="1" s="1"/>
  <c r="T285" i="1"/>
  <c r="U285" i="1"/>
  <c r="V285" i="1"/>
  <c r="W285" i="1" s="1"/>
  <c r="Y285" i="1"/>
  <c r="Z285" i="1"/>
  <c r="AA285" i="1"/>
  <c r="AE285" i="1"/>
  <c r="AG285" i="1"/>
  <c r="AI285" i="1"/>
  <c r="AJ285" i="1" s="1"/>
  <c r="AK285" i="1"/>
  <c r="AL285" i="1"/>
  <c r="AM285" i="1" s="1"/>
  <c r="D286" i="1"/>
  <c r="AE286" i="1" s="1"/>
  <c r="E286" i="1"/>
  <c r="Q286" i="1"/>
  <c r="AH286" i="1" s="1"/>
  <c r="S286" i="1"/>
  <c r="X286" i="1" s="1" a="1"/>
  <c r="X286" i="1" s="1"/>
  <c r="T286" i="1"/>
  <c r="U286" i="1"/>
  <c r="V286" i="1"/>
  <c r="W286" i="1" s="1"/>
  <c r="Y286" i="1"/>
  <c r="Z286" i="1"/>
  <c r="AA286" i="1"/>
  <c r="AG286" i="1"/>
  <c r="AI286" i="1"/>
  <c r="AJ286" i="1" s="1"/>
  <c r="AK286" i="1"/>
  <c r="AL286" i="1"/>
  <c r="AM286" i="1"/>
  <c r="D287" i="1"/>
  <c r="E287" i="1"/>
  <c r="Q287" i="1"/>
  <c r="AH287" i="1" s="1"/>
  <c r="S287" i="1"/>
  <c r="T287" i="1"/>
  <c r="U287" i="1"/>
  <c r="X287" i="1" a="1"/>
  <c r="X287" i="1" s="1"/>
  <c r="Y287" i="1"/>
  <c r="Z287" i="1"/>
  <c r="AA287" i="1"/>
  <c r="AE287" i="1"/>
  <c r="AG287" i="1"/>
  <c r="AI287" i="1"/>
  <c r="AJ287" i="1"/>
  <c r="AK287" i="1"/>
  <c r="AL287" i="1"/>
  <c r="AM287" i="1"/>
  <c r="D288" i="1"/>
  <c r="AE288" i="1" s="1"/>
  <c r="E288" i="1"/>
  <c r="Q288" i="1"/>
  <c r="S288" i="1"/>
  <c r="T288" i="1"/>
  <c r="U288" i="1"/>
  <c r="V288" i="1"/>
  <c r="W288" i="1"/>
  <c r="X288" i="1" a="1"/>
  <c r="X288" i="1"/>
  <c r="Y288" i="1"/>
  <c r="Z288" i="1"/>
  <c r="AA288" i="1"/>
  <c r="AG288" i="1"/>
  <c r="AH288" i="1"/>
  <c r="AI288" i="1"/>
  <c r="AJ288" i="1" s="1"/>
  <c r="AK288" i="1"/>
  <c r="AL288" i="1"/>
  <c r="AM288" i="1"/>
  <c r="D289" i="1"/>
  <c r="E289" i="1"/>
  <c r="Q289" i="1"/>
  <c r="AH289" i="1" s="1"/>
  <c r="S289" i="1"/>
  <c r="X289" i="1" s="1" a="1"/>
  <c r="X289" i="1" s="1"/>
  <c r="T289" i="1"/>
  <c r="V289" i="1" s="1"/>
  <c r="W289" i="1" s="1"/>
  <c r="U289" i="1"/>
  <c r="Y289" i="1"/>
  <c r="Z289" i="1"/>
  <c r="AA289" i="1"/>
  <c r="AE289" i="1"/>
  <c r="AG289" i="1"/>
  <c r="AI289" i="1"/>
  <c r="AJ289" i="1"/>
  <c r="AK289" i="1"/>
  <c r="AL289" i="1"/>
  <c r="AM289" i="1" s="1"/>
  <c r="D290" i="1"/>
  <c r="AE290" i="1" s="1"/>
  <c r="E290" i="1"/>
  <c r="Q290" i="1"/>
  <c r="S290" i="1"/>
  <c r="X290" i="1" s="1" a="1"/>
  <c r="X290" i="1" s="1"/>
  <c r="T290" i="1"/>
  <c r="U290" i="1"/>
  <c r="V290" i="1" s="1"/>
  <c r="W290" i="1" s="1"/>
  <c r="Y290" i="1"/>
  <c r="Z290" i="1"/>
  <c r="AA290" i="1"/>
  <c r="AG290" i="1"/>
  <c r="AH290" i="1"/>
  <c r="AI290" i="1"/>
  <c r="AJ290" i="1" s="1"/>
  <c r="AK290" i="1"/>
  <c r="AL290" i="1"/>
  <c r="AM290" i="1"/>
  <c r="D291" i="1"/>
  <c r="AE291" i="1" s="1"/>
  <c r="E291" i="1"/>
  <c r="Q291" i="1"/>
  <c r="S291" i="1"/>
  <c r="X291" i="1" s="1" a="1"/>
  <c r="X291" i="1" s="1"/>
  <c r="T291" i="1"/>
  <c r="U291" i="1"/>
  <c r="Y291" i="1"/>
  <c r="Z291" i="1"/>
  <c r="AA291" i="1"/>
  <c r="AG291" i="1"/>
  <c r="AH291" i="1"/>
  <c r="AI291" i="1"/>
  <c r="AJ291" i="1"/>
  <c r="AK291" i="1"/>
  <c r="AL291" i="1"/>
  <c r="AM291" i="1"/>
  <c r="D292" i="1"/>
  <c r="AE292" i="1" s="1"/>
  <c r="E292" i="1"/>
  <c r="Q292" i="1"/>
  <c r="AH292" i="1" s="1"/>
  <c r="S292" i="1"/>
  <c r="T292" i="1"/>
  <c r="V292" i="1" s="1"/>
  <c r="W292" i="1" s="1"/>
  <c r="U292" i="1"/>
  <c r="X292" i="1" a="1"/>
  <c r="X292" i="1"/>
  <c r="Y292" i="1"/>
  <c r="Z292" i="1"/>
  <c r="AA292" i="1"/>
  <c r="AG292" i="1"/>
  <c r="AI292" i="1"/>
  <c r="AJ292" i="1"/>
  <c r="AK292" i="1"/>
  <c r="AL292" i="1"/>
  <c r="AM292" i="1" s="1"/>
  <c r="D293" i="1"/>
  <c r="E293" i="1"/>
  <c r="Q293" i="1"/>
  <c r="AH293" i="1" s="1"/>
  <c r="S293" i="1"/>
  <c r="T293" i="1"/>
  <c r="U293" i="1"/>
  <c r="V293" i="1"/>
  <c r="W293" i="1" s="1"/>
  <c r="X293" i="1" a="1"/>
  <c r="X293" i="1" s="1"/>
  <c r="Y293" i="1"/>
  <c r="Z293" i="1"/>
  <c r="AA293" i="1"/>
  <c r="AE293" i="1"/>
  <c r="AG293" i="1"/>
  <c r="AI293" i="1"/>
  <c r="AJ293" i="1"/>
  <c r="AK293" i="1"/>
  <c r="AL293" i="1"/>
  <c r="AM293" i="1"/>
  <c r="D294" i="1"/>
  <c r="AE294" i="1" s="1"/>
  <c r="E294" i="1"/>
  <c r="Q294" i="1"/>
  <c r="AH294" i="1" s="1"/>
  <c r="S294" i="1"/>
  <c r="T294" i="1"/>
  <c r="U294" i="1"/>
  <c r="V294" i="1"/>
  <c r="W294" i="1" s="1"/>
  <c r="X294" i="1" a="1"/>
  <c r="X294" i="1"/>
  <c r="Y294" i="1"/>
  <c r="Z294" i="1" s="1"/>
  <c r="AA294" i="1"/>
  <c r="AG294" i="1"/>
  <c r="AI294" i="1"/>
  <c r="AJ294" i="1" s="1"/>
  <c r="AK294" i="1"/>
  <c r="AL294" i="1"/>
  <c r="AM294" i="1" s="1"/>
  <c r="D295" i="1"/>
  <c r="AE295" i="1" s="1"/>
  <c r="E295" i="1"/>
  <c r="Q295" i="1"/>
  <c r="S295" i="1"/>
  <c r="T295" i="1"/>
  <c r="V295" i="1" s="1"/>
  <c r="W295" i="1" s="1"/>
  <c r="U295" i="1"/>
  <c r="X295" i="1" a="1"/>
  <c r="X295" i="1" s="1"/>
  <c r="Y295" i="1"/>
  <c r="Z295" i="1"/>
  <c r="AA295" i="1"/>
  <c r="AG295" i="1"/>
  <c r="AH295" i="1"/>
  <c r="AI295" i="1"/>
  <c r="AJ295" i="1" s="1"/>
  <c r="AK295" i="1"/>
  <c r="AL295" i="1"/>
  <c r="AM295" i="1"/>
  <c r="D296" i="1"/>
  <c r="E296" i="1"/>
  <c r="Q296" i="1"/>
  <c r="S296" i="1"/>
  <c r="X296" i="1" s="1" a="1"/>
  <c r="X296" i="1" s="1"/>
  <c r="T296" i="1"/>
  <c r="V296" i="1" s="1"/>
  <c r="W296" i="1" s="1"/>
  <c r="U296" i="1"/>
  <c r="Y296" i="1"/>
  <c r="Z296" i="1"/>
  <c r="AA296" i="1"/>
  <c r="AE296" i="1"/>
  <c r="AG296" i="1"/>
  <c r="AH296" i="1"/>
  <c r="AI296" i="1"/>
  <c r="AJ296" i="1"/>
  <c r="AK296" i="1"/>
  <c r="AL296" i="1"/>
  <c r="AM296" i="1" s="1"/>
  <c r="D297" i="1"/>
  <c r="E297" i="1"/>
  <c r="Q297" i="1"/>
  <c r="AH297" i="1" s="1"/>
  <c r="S297" i="1"/>
  <c r="T297" i="1"/>
  <c r="U297" i="1"/>
  <c r="V297" i="1"/>
  <c r="W297" i="1" s="1"/>
  <c r="X297" i="1" a="1"/>
  <c r="X297" i="1"/>
  <c r="Y297" i="1"/>
  <c r="Z297" i="1"/>
  <c r="AA297" i="1"/>
  <c r="AE297" i="1"/>
  <c r="AG297" i="1"/>
  <c r="AI297" i="1"/>
  <c r="AJ297" i="1" s="1"/>
  <c r="AK297" i="1"/>
  <c r="AL297" i="1"/>
  <c r="AM297" i="1"/>
  <c r="D298" i="1"/>
  <c r="AE298" i="1" s="1"/>
  <c r="E298" i="1"/>
  <c r="Q298" i="1"/>
  <c r="AH298" i="1" s="1"/>
  <c r="S298" i="1"/>
  <c r="X298" i="1" s="1" a="1"/>
  <c r="X298" i="1" s="1"/>
  <c r="T298" i="1"/>
  <c r="U298" i="1"/>
  <c r="V298" i="1" s="1"/>
  <c r="W298" i="1" s="1"/>
  <c r="Y298" i="1"/>
  <c r="Z298" i="1"/>
  <c r="AA298" i="1"/>
  <c r="AG298" i="1"/>
  <c r="AI298" i="1"/>
  <c r="AJ298" i="1" s="1"/>
  <c r="AK298" i="1"/>
  <c r="AL298" i="1"/>
  <c r="AM298" i="1"/>
  <c r="D299" i="1"/>
  <c r="AE299" i="1" s="1"/>
  <c r="E299" i="1"/>
  <c r="Q299" i="1"/>
  <c r="AH299" i="1" s="1"/>
  <c r="S299" i="1"/>
  <c r="X299" i="1" s="1" a="1"/>
  <c r="T299" i="1"/>
  <c r="U299" i="1"/>
  <c r="X299" i="1"/>
  <c r="Y299" i="1"/>
  <c r="Z299" i="1" s="1"/>
  <c r="AA299" i="1"/>
  <c r="AG299" i="1"/>
  <c r="AI299" i="1"/>
  <c r="AJ299" i="1"/>
  <c r="AK299" i="1"/>
  <c r="AL299" i="1"/>
  <c r="AM299" i="1" s="1"/>
  <c r="D300" i="1"/>
  <c r="E300" i="1"/>
  <c r="Q300" i="1"/>
  <c r="AH300" i="1" s="1"/>
  <c r="S300" i="1"/>
  <c r="T300" i="1"/>
  <c r="V300" i="1" s="1"/>
  <c r="W300" i="1" s="1"/>
  <c r="U300" i="1"/>
  <c r="X300" i="1" a="1"/>
  <c r="X300" i="1" s="1"/>
  <c r="Y300" i="1"/>
  <c r="Z300" i="1"/>
  <c r="AA300" i="1"/>
  <c r="AE300" i="1"/>
  <c r="AG300" i="1"/>
  <c r="AI300" i="1"/>
  <c r="AJ300" i="1"/>
  <c r="AK300" i="1"/>
  <c r="AL300" i="1"/>
  <c r="AM300" i="1" s="1"/>
  <c r="D301" i="1"/>
  <c r="AE301" i="1" s="1"/>
  <c r="E301" i="1"/>
  <c r="Q301" i="1"/>
  <c r="AH301" i="1" s="1"/>
  <c r="S301" i="1"/>
  <c r="T301" i="1"/>
  <c r="U301" i="1"/>
  <c r="V301" i="1"/>
  <c r="W301" i="1" s="1"/>
  <c r="X301" i="1" a="1"/>
  <c r="X301" i="1"/>
  <c r="Y301" i="1"/>
  <c r="Z301" i="1"/>
  <c r="AA301" i="1"/>
  <c r="AG301" i="1"/>
  <c r="AI301" i="1"/>
  <c r="AJ301" i="1" s="1"/>
  <c r="AK301" i="1"/>
  <c r="AL301" i="1"/>
  <c r="AM301" i="1" s="1"/>
  <c r="D302" i="1"/>
  <c r="AE302" i="1" s="1"/>
  <c r="E302" i="1"/>
  <c r="Q302" i="1"/>
  <c r="S302" i="1"/>
  <c r="T302" i="1"/>
  <c r="U302" i="1"/>
  <c r="V302" i="1" s="1"/>
  <c r="W302" i="1"/>
  <c r="X302" i="1" a="1"/>
  <c r="X302" i="1" s="1"/>
  <c r="Y302" i="1"/>
  <c r="Z302" i="1" s="1"/>
  <c r="AA302" i="1"/>
  <c r="AG302" i="1"/>
  <c r="AH302" i="1"/>
  <c r="AI302" i="1"/>
  <c r="AJ302" i="1" s="1"/>
  <c r="AK302" i="1"/>
  <c r="AL302" i="1"/>
  <c r="AM302" i="1" s="1"/>
  <c r="D303" i="1"/>
  <c r="E303" i="1"/>
  <c r="Q303" i="1"/>
  <c r="AH303" i="1" s="1"/>
  <c r="S303" i="1"/>
  <c r="T303" i="1"/>
  <c r="U303" i="1"/>
  <c r="V303" i="1" s="1"/>
  <c r="W303" i="1" s="1"/>
  <c r="X303" i="1" a="1"/>
  <c r="X303" i="1" s="1"/>
  <c r="Y303" i="1"/>
  <c r="Z303" i="1" s="1"/>
  <c r="AA303" i="1"/>
  <c r="AE303" i="1"/>
  <c r="AG303" i="1"/>
  <c r="AI303" i="1"/>
  <c r="AJ303" i="1"/>
  <c r="AK303" i="1"/>
  <c r="AL303" i="1"/>
  <c r="AM303" i="1" s="1"/>
  <c r="D304" i="1"/>
  <c r="E304" i="1"/>
  <c r="Q304" i="1"/>
  <c r="AH304" i="1" s="1"/>
  <c r="S304" i="1"/>
  <c r="T304" i="1"/>
  <c r="U304" i="1"/>
  <c r="X304" i="1" a="1"/>
  <c r="X304" i="1"/>
  <c r="Y304" i="1"/>
  <c r="Z304" i="1"/>
  <c r="AA304" i="1"/>
  <c r="AE304" i="1"/>
  <c r="AG304" i="1"/>
  <c r="AI304" i="1"/>
  <c r="AJ304" i="1"/>
  <c r="AK304" i="1"/>
  <c r="AL304" i="1"/>
  <c r="AM304" i="1"/>
  <c r="D305" i="1"/>
  <c r="E305" i="1"/>
  <c r="Q305" i="1"/>
  <c r="AH305" i="1" s="1"/>
  <c r="S305" i="1"/>
  <c r="X305" i="1" s="1" a="1"/>
  <c r="X305" i="1" s="1"/>
  <c r="T305" i="1"/>
  <c r="V305" i="1" s="1"/>
  <c r="W305" i="1" s="1"/>
  <c r="U305" i="1"/>
  <c r="Y305" i="1"/>
  <c r="Z305" i="1"/>
  <c r="AA305" i="1"/>
  <c r="AE305" i="1"/>
  <c r="AG305" i="1"/>
  <c r="AI305" i="1"/>
  <c r="AJ305" i="1" s="1"/>
  <c r="AK305" i="1"/>
  <c r="AL305" i="1"/>
  <c r="AM305" i="1"/>
  <c r="D306" i="1"/>
  <c r="AE306" i="1" s="1"/>
  <c r="E306" i="1"/>
  <c r="Q306" i="1"/>
  <c r="AH306" i="1" s="1"/>
  <c r="S306" i="1"/>
  <c r="X306" i="1" s="1" a="1"/>
  <c r="X306" i="1" s="1"/>
  <c r="T306" i="1"/>
  <c r="U306" i="1"/>
  <c r="V306" i="1" s="1"/>
  <c r="W306" i="1" s="1"/>
  <c r="Y306" i="1"/>
  <c r="Z306" i="1" s="1"/>
  <c r="AA306" i="1"/>
  <c r="AG306" i="1"/>
  <c r="AI306" i="1"/>
  <c r="AJ306" i="1"/>
  <c r="AK306" i="1"/>
  <c r="AL306" i="1"/>
  <c r="AM306" i="1" s="1"/>
  <c r="D307" i="1"/>
  <c r="AE307" i="1" s="1"/>
  <c r="E307" i="1"/>
  <c r="Q307" i="1"/>
  <c r="AH307" i="1" s="1"/>
  <c r="S307" i="1"/>
  <c r="T307" i="1"/>
  <c r="U307" i="1"/>
  <c r="V307" i="1"/>
  <c r="W307" i="1"/>
  <c r="X307" i="1" a="1"/>
  <c r="X307" i="1" s="1"/>
  <c r="Y307" i="1"/>
  <c r="Z307" i="1"/>
  <c r="AA307" i="1"/>
  <c r="AG307" i="1"/>
  <c r="AI307" i="1"/>
  <c r="AJ307" i="1" s="1"/>
  <c r="AK307" i="1"/>
  <c r="AL307" i="1"/>
  <c r="AM307" i="1" s="1"/>
  <c r="D308" i="1"/>
  <c r="AE308" i="1" s="1"/>
  <c r="E308" i="1"/>
  <c r="Q308" i="1"/>
  <c r="AH308" i="1" s="1"/>
  <c r="S308" i="1"/>
  <c r="T308" i="1"/>
  <c r="U308" i="1"/>
  <c r="V308" i="1"/>
  <c r="W308" i="1" s="1"/>
  <c r="X308" i="1" a="1"/>
  <c r="X308" i="1"/>
  <c r="Y308" i="1"/>
  <c r="Z308" i="1"/>
  <c r="AA308" i="1"/>
  <c r="AG308" i="1"/>
  <c r="AI308" i="1"/>
  <c r="AJ308" i="1"/>
  <c r="AK308" i="1"/>
  <c r="AL308" i="1"/>
  <c r="AM308" i="1" s="1"/>
  <c r="D309" i="1"/>
  <c r="E309" i="1"/>
  <c r="Q309" i="1"/>
  <c r="AH309" i="1" s="1"/>
  <c r="S309" i="1"/>
  <c r="T309" i="1"/>
  <c r="U309" i="1"/>
  <c r="V309" i="1"/>
  <c r="W309" i="1" s="1"/>
  <c r="X309" i="1" a="1"/>
  <c r="X309" i="1"/>
  <c r="Y309" i="1"/>
  <c r="Z309" i="1" s="1"/>
  <c r="AA309" i="1"/>
  <c r="AE309" i="1"/>
  <c r="AG309" i="1"/>
  <c r="AI309" i="1"/>
  <c r="AJ309" i="1"/>
  <c r="AK309" i="1"/>
  <c r="AL309" i="1"/>
  <c r="AM309" i="1" s="1"/>
  <c r="D310" i="1"/>
  <c r="AE310" i="1" s="1"/>
  <c r="E310" i="1"/>
  <c r="Q310" i="1"/>
  <c r="S310" i="1"/>
  <c r="T310" i="1"/>
  <c r="U310" i="1"/>
  <c r="V310" i="1" s="1"/>
  <c r="W310" i="1" s="1"/>
  <c r="X310" i="1" a="1"/>
  <c r="X310" i="1" s="1"/>
  <c r="Y310" i="1"/>
  <c r="Z310" i="1" s="1"/>
  <c r="AA310" i="1"/>
  <c r="AG310" i="1"/>
  <c r="AH310" i="1"/>
  <c r="AI310" i="1"/>
  <c r="AJ310" i="1" s="1"/>
  <c r="AK310" i="1"/>
  <c r="AL310" i="1"/>
  <c r="AM310" i="1" s="1"/>
  <c r="D311" i="1"/>
  <c r="AE311" i="1" s="1"/>
  <c r="E311" i="1"/>
  <c r="Q311" i="1"/>
  <c r="S311" i="1"/>
  <c r="T311" i="1"/>
  <c r="U311" i="1"/>
  <c r="V311" i="1"/>
  <c r="W311" i="1"/>
  <c r="X311" i="1" a="1"/>
  <c r="X311" i="1" s="1"/>
  <c r="Y311" i="1"/>
  <c r="Z311" i="1"/>
  <c r="AA311" i="1"/>
  <c r="AG311" i="1"/>
  <c r="AH311" i="1"/>
  <c r="AI311" i="1"/>
  <c r="AJ311" i="1"/>
  <c r="AK311" i="1"/>
  <c r="AL311" i="1"/>
  <c r="AM311" i="1"/>
  <c r="D312" i="1"/>
  <c r="E312" i="1"/>
  <c r="Q312" i="1"/>
  <c r="S312" i="1"/>
  <c r="X312" i="1" s="1" a="1"/>
  <c r="X312" i="1" s="1"/>
  <c r="T312" i="1"/>
  <c r="V312" i="1" s="1"/>
  <c r="W312" i="1" s="1"/>
  <c r="U312" i="1"/>
  <c r="Y312" i="1"/>
  <c r="Z312" i="1"/>
  <c r="AA312" i="1"/>
  <c r="AE312" i="1"/>
  <c r="AG312" i="1"/>
  <c r="AH312" i="1"/>
  <c r="AI312" i="1"/>
  <c r="AJ312" i="1"/>
  <c r="AK312" i="1"/>
  <c r="AL312" i="1"/>
  <c r="AM312" i="1" s="1"/>
  <c r="D313" i="1"/>
  <c r="E313" i="1"/>
  <c r="Q313" i="1"/>
  <c r="AH313" i="1" s="1"/>
  <c r="S313" i="1"/>
  <c r="X313" i="1" s="1" a="1"/>
  <c r="T313" i="1"/>
  <c r="V313" i="1" s="1"/>
  <c r="W313" i="1" s="1"/>
  <c r="U313" i="1"/>
  <c r="X313" i="1"/>
  <c r="Y313" i="1"/>
  <c r="Z313" i="1" s="1"/>
  <c r="AA313" i="1"/>
  <c r="AE313" i="1"/>
  <c r="AG313" i="1"/>
  <c r="AI313" i="1"/>
  <c r="AJ313" i="1"/>
  <c r="AK313" i="1"/>
  <c r="AL313" i="1"/>
  <c r="AM313" i="1" s="1"/>
  <c r="D314" i="1"/>
  <c r="AE314" i="1" s="1"/>
  <c r="E314" i="1"/>
  <c r="Q314" i="1"/>
  <c r="AH314" i="1" s="1"/>
  <c r="S314" i="1"/>
  <c r="T314" i="1"/>
  <c r="U314" i="1"/>
  <c r="V314" i="1"/>
  <c r="W314" i="1"/>
  <c r="X314" i="1" a="1"/>
  <c r="X314" i="1" s="1"/>
  <c r="Y314" i="1"/>
  <c r="Z314" i="1"/>
  <c r="AA314" i="1"/>
  <c r="AG314" i="1"/>
  <c r="AI314" i="1"/>
  <c r="AJ314" i="1"/>
  <c r="AK314" i="1"/>
  <c r="AL314" i="1"/>
  <c r="AM314" i="1"/>
  <c r="D315" i="1"/>
  <c r="AE315" i="1" s="1"/>
  <c r="E315" i="1"/>
  <c r="Q315" i="1"/>
  <c r="S315" i="1"/>
  <c r="T315" i="1"/>
  <c r="U315" i="1"/>
  <c r="V315" i="1"/>
  <c r="W315" i="1" s="1"/>
  <c r="X315" i="1" a="1"/>
  <c r="X315" i="1" s="1"/>
  <c r="Y315" i="1"/>
  <c r="Z315" i="1" s="1"/>
  <c r="AA315" i="1"/>
  <c r="AG315" i="1"/>
  <c r="AH315" i="1"/>
  <c r="AI315" i="1"/>
  <c r="AJ315" i="1"/>
  <c r="AK315" i="1"/>
  <c r="AL315" i="1"/>
  <c r="AM315" i="1" s="1"/>
  <c r="D316" i="1"/>
  <c r="E316" i="1"/>
  <c r="Q316" i="1"/>
  <c r="S316" i="1"/>
  <c r="X316" i="1" s="1" a="1"/>
  <c r="X316" i="1" s="1"/>
  <c r="T316" i="1"/>
  <c r="V316" i="1" s="1"/>
  <c r="W316" i="1" s="1"/>
  <c r="U316" i="1"/>
  <c r="Y316" i="1"/>
  <c r="Z316" i="1"/>
  <c r="AA316" i="1"/>
  <c r="AE316" i="1"/>
  <c r="AG316" i="1"/>
  <c r="AH316" i="1"/>
  <c r="AI316" i="1"/>
  <c r="AJ316" i="1" s="1"/>
  <c r="AK316" i="1"/>
  <c r="AL316" i="1"/>
  <c r="AM316" i="1" s="1"/>
  <c r="D317" i="1"/>
  <c r="AE317" i="1" s="1"/>
  <c r="E317" i="1"/>
  <c r="Q317" i="1"/>
  <c r="S317" i="1"/>
  <c r="X317" i="1" s="1" a="1"/>
  <c r="X317" i="1" s="1"/>
  <c r="T317" i="1"/>
  <c r="V317" i="1" s="1"/>
  <c r="U317" i="1"/>
  <c r="W317" i="1"/>
  <c r="Y317" i="1"/>
  <c r="Z317" i="1" s="1"/>
  <c r="AA317" i="1"/>
  <c r="AG317" i="1"/>
  <c r="AH317" i="1"/>
  <c r="AI317" i="1"/>
  <c r="AJ317" i="1" s="1"/>
  <c r="AK317" i="1"/>
  <c r="AL317" i="1"/>
  <c r="AM317" i="1"/>
  <c r="D318" i="1"/>
  <c r="E318" i="1"/>
  <c r="Q318" i="1"/>
  <c r="AH318" i="1" s="1"/>
  <c r="S318" i="1"/>
  <c r="X318" i="1" s="1" a="1"/>
  <c r="T318" i="1"/>
  <c r="U318" i="1"/>
  <c r="X318" i="1"/>
  <c r="Y318" i="1"/>
  <c r="Z318" i="1" s="1"/>
  <c r="AA318" i="1"/>
  <c r="AE318" i="1"/>
  <c r="AG318" i="1"/>
  <c r="AI318" i="1"/>
  <c r="AJ318" i="1"/>
  <c r="AK318" i="1"/>
  <c r="AL318" i="1"/>
  <c r="AM318" i="1"/>
  <c r="D319" i="1"/>
  <c r="AE319" i="1" s="1"/>
  <c r="E319" i="1"/>
  <c r="Q319" i="1"/>
  <c r="S319" i="1"/>
  <c r="T319" i="1"/>
  <c r="U319" i="1"/>
  <c r="V319" i="1"/>
  <c r="W319" i="1"/>
  <c r="X319" i="1" a="1"/>
  <c r="X319" i="1"/>
  <c r="Y319" i="1"/>
  <c r="Z319" i="1" s="1"/>
  <c r="AA319" i="1"/>
  <c r="AG319" i="1"/>
  <c r="AH319" i="1"/>
  <c r="AI319" i="1"/>
  <c r="AJ319" i="1"/>
  <c r="AK319" i="1"/>
  <c r="AL319" i="1"/>
  <c r="AM319" i="1" s="1"/>
  <c r="D320" i="1"/>
  <c r="E320" i="1"/>
  <c r="Q320" i="1"/>
  <c r="S320" i="1"/>
  <c r="T320" i="1"/>
  <c r="U320" i="1"/>
  <c r="V320" i="1"/>
  <c r="W320" i="1"/>
  <c r="X320" i="1" a="1"/>
  <c r="X320" i="1" s="1"/>
  <c r="Y320" i="1"/>
  <c r="Z320" i="1"/>
  <c r="AA320" i="1"/>
  <c r="AE320" i="1"/>
  <c r="AG320" i="1"/>
  <c r="AH320" i="1"/>
  <c r="AI320" i="1"/>
  <c r="AJ320" i="1"/>
  <c r="AK320" i="1"/>
  <c r="AL320" i="1"/>
  <c r="AM320" i="1" s="1"/>
  <c r="D321" i="1"/>
  <c r="E321" i="1"/>
  <c r="Q321" i="1"/>
  <c r="S321" i="1"/>
  <c r="T321" i="1"/>
  <c r="U321" i="1"/>
  <c r="V321" i="1"/>
  <c r="W321" i="1" s="1"/>
  <c r="X321" i="1" a="1"/>
  <c r="X321" i="1" s="1"/>
  <c r="Y321" i="1"/>
  <c r="Z321" i="1" s="1"/>
  <c r="AA321" i="1"/>
  <c r="AE321" i="1"/>
  <c r="AG321" i="1"/>
  <c r="AH321" i="1"/>
  <c r="AI321" i="1"/>
  <c r="AJ321" i="1" s="1"/>
  <c r="AK321" i="1"/>
  <c r="AL321" i="1"/>
  <c r="AM321" i="1"/>
  <c r="D322" i="1"/>
  <c r="AE322" i="1" s="1"/>
  <c r="E322" i="1"/>
  <c r="Q322" i="1"/>
  <c r="AH322" i="1" s="1"/>
  <c r="S322" i="1"/>
  <c r="X322" i="1" s="1" a="1"/>
  <c r="X322" i="1" s="1"/>
  <c r="T322" i="1"/>
  <c r="V322" i="1" s="1"/>
  <c r="W322" i="1" s="1"/>
  <c r="U322" i="1"/>
  <c r="Y322" i="1"/>
  <c r="Z322" i="1" s="1"/>
  <c r="AA322" i="1"/>
  <c r="AG322" i="1"/>
  <c r="AI322" i="1"/>
  <c r="AJ322" i="1"/>
  <c r="AK322" i="1"/>
  <c r="AL322" i="1"/>
  <c r="AM322" i="1"/>
  <c r="D323" i="1"/>
  <c r="AE323" i="1" s="1"/>
  <c r="E323" i="1"/>
  <c r="Q323" i="1"/>
  <c r="S323" i="1"/>
  <c r="T323" i="1"/>
  <c r="U323" i="1"/>
  <c r="V323" i="1"/>
  <c r="W323" i="1" s="1"/>
  <c r="X323" i="1" a="1"/>
  <c r="X323" i="1"/>
  <c r="Y323" i="1"/>
  <c r="Z323" i="1" s="1"/>
  <c r="AA323" i="1"/>
  <c r="AG323" i="1"/>
  <c r="AH323" i="1"/>
  <c r="AI323" i="1"/>
  <c r="AJ323" i="1"/>
  <c r="AK323" i="1"/>
  <c r="AL323" i="1"/>
  <c r="AM323" i="1"/>
  <c r="D324" i="1"/>
  <c r="E324" i="1"/>
  <c r="Q324" i="1"/>
  <c r="S324" i="1"/>
  <c r="X324" i="1" s="1" a="1"/>
  <c r="X324" i="1" s="1"/>
  <c r="T324" i="1"/>
  <c r="V324" i="1" s="1"/>
  <c r="W324" i="1" s="1"/>
  <c r="U324" i="1"/>
  <c r="Y324" i="1"/>
  <c r="Z324" i="1" s="1"/>
  <c r="AA324" i="1"/>
  <c r="AE324" i="1"/>
  <c r="AG324" i="1"/>
  <c r="AH324" i="1"/>
  <c r="AI324" i="1"/>
  <c r="AJ324" i="1"/>
  <c r="AK324" i="1"/>
  <c r="AL324" i="1"/>
  <c r="AM324" i="1" s="1"/>
  <c r="D325" i="1"/>
  <c r="E325" i="1"/>
  <c r="Q325" i="1"/>
  <c r="S325" i="1"/>
  <c r="T325" i="1"/>
  <c r="U325" i="1"/>
  <c r="V325" i="1"/>
  <c r="W325" i="1"/>
  <c r="X325" i="1" a="1"/>
  <c r="X325" i="1" s="1"/>
  <c r="Y325" i="1"/>
  <c r="Z325" i="1" s="1"/>
  <c r="AA325" i="1"/>
  <c r="AE325" i="1"/>
  <c r="AG325" i="1"/>
  <c r="AH325" i="1"/>
  <c r="AI325" i="1"/>
  <c r="AJ325" i="1" s="1"/>
  <c r="AK325" i="1"/>
  <c r="AL325" i="1"/>
  <c r="AM325" i="1"/>
  <c r="D326" i="1"/>
  <c r="E326" i="1"/>
  <c r="Q326" i="1"/>
  <c r="AH326" i="1" s="1"/>
  <c r="S326" i="1"/>
  <c r="X326" i="1" s="1" a="1"/>
  <c r="X326" i="1" s="1"/>
  <c r="T326" i="1"/>
  <c r="V326" i="1" s="1"/>
  <c r="W326" i="1" s="1"/>
  <c r="U326" i="1"/>
  <c r="Y326" i="1"/>
  <c r="Z326" i="1" s="1"/>
  <c r="AA326" i="1"/>
  <c r="AE326" i="1"/>
  <c r="AG326" i="1"/>
  <c r="AI326" i="1"/>
  <c r="AJ326" i="1"/>
  <c r="AK326" i="1"/>
  <c r="AL326" i="1"/>
  <c r="AM326" i="1"/>
  <c r="D327" i="1"/>
  <c r="AE327" i="1" s="1"/>
  <c r="E327" i="1"/>
  <c r="Q327" i="1"/>
  <c r="AH327" i="1" s="1"/>
  <c r="S327" i="1"/>
  <c r="X327" i="1" s="1" a="1"/>
  <c r="T327" i="1"/>
  <c r="U327" i="1"/>
  <c r="V327" i="1"/>
  <c r="W327" i="1" s="1"/>
  <c r="X327" i="1"/>
  <c r="Y327" i="1"/>
  <c r="Z327" i="1" s="1"/>
  <c r="AA327" i="1"/>
  <c r="AG327" i="1"/>
  <c r="AI327" i="1"/>
  <c r="AJ327" i="1"/>
  <c r="AK327" i="1"/>
  <c r="AL327" i="1"/>
  <c r="AM327" i="1"/>
  <c r="D328" i="1"/>
  <c r="E328" i="1"/>
  <c r="Q328" i="1"/>
  <c r="S328" i="1"/>
  <c r="T328" i="1"/>
  <c r="U328" i="1"/>
  <c r="V328" i="1"/>
  <c r="W328" i="1" s="1"/>
  <c r="X328" i="1" a="1"/>
  <c r="X328" i="1"/>
  <c r="Y328" i="1"/>
  <c r="Z328" i="1" s="1"/>
  <c r="AA328" i="1"/>
  <c r="AE328" i="1"/>
  <c r="AG328" i="1"/>
  <c r="AH328" i="1"/>
  <c r="AI328" i="1"/>
  <c r="AJ328" i="1"/>
  <c r="AK328" i="1"/>
  <c r="AL328" i="1"/>
  <c r="AM328" i="1" s="1"/>
  <c r="D329" i="1"/>
  <c r="E329" i="1"/>
  <c r="Q329" i="1"/>
  <c r="S329" i="1"/>
  <c r="X329" i="1" s="1" a="1"/>
  <c r="X329" i="1" s="1"/>
  <c r="T329" i="1"/>
  <c r="U329" i="1"/>
  <c r="Y329" i="1"/>
  <c r="Z329" i="1" s="1"/>
  <c r="AA329" i="1"/>
  <c r="AE329" i="1"/>
  <c r="AG329" i="1"/>
  <c r="AH329" i="1"/>
  <c r="AI329" i="1"/>
  <c r="AJ329" i="1" s="1"/>
  <c r="AK329" i="1"/>
  <c r="AL329" i="1"/>
  <c r="AM329" i="1"/>
  <c r="D330" i="1"/>
  <c r="AE330" i="1" s="1"/>
  <c r="E330" i="1"/>
  <c r="Q330" i="1"/>
  <c r="AH330" i="1" s="1"/>
  <c r="S330" i="1"/>
  <c r="X330" i="1" s="1" a="1"/>
  <c r="X330" i="1" s="1"/>
  <c r="T330" i="1"/>
  <c r="U330" i="1"/>
  <c r="Y330" i="1"/>
  <c r="Z330" i="1" s="1"/>
  <c r="AA330" i="1"/>
  <c r="AG330" i="1"/>
  <c r="AI330" i="1"/>
  <c r="AJ330" i="1"/>
  <c r="AK330" i="1"/>
  <c r="AL330" i="1"/>
  <c r="AM330" i="1"/>
  <c r="D331" i="1"/>
  <c r="AE331" i="1" s="1"/>
  <c r="E331" i="1"/>
  <c r="Q331" i="1"/>
  <c r="AH331" i="1" s="1"/>
  <c r="S331" i="1"/>
  <c r="X331" i="1" s="1" a="1"/>
  <c r="T331" i="1"/>
  <c r="U331" i="1"/>
  <c r="V331" i="1"/>
  <c r="W331" i="1"/>
  <c r="X331" i="1"/>
  <c r="Y331" i="1"/>
  <c r="Z331" i="1" s="1"/>
  <c r="AA331" i="1"/>
  <c r="AG331" i="1"/>
  <c r="AI331" i="1"/>
  <c r="AJ331" i="1"/>
  <c r="AK331" i="1"/>
  <c r="AL331" i="1"/>
  <c r="AM331" i="1" s="1"/>
  <c r="D332" i="1"/>
  <c r="E332" i="1"/>
  <c r="Q332" i="1"/>
  <c r="S332" i="1"/>
  <c r="T332" i="1"/>
  <c r="U332" i="1"/>
  <c r="V332" i="1"/>
  <c r="W332" i="1" s="1"/>
  <c r="X332" i="1" a="1"/>
  <c r="X332" i="1" s="1"/>
  <c r="Y332" i="1"/>
  <c r="Z332" i="1" s="1"/>
  <c r="AA332" i="1"/>
  <c r="AE332" i="1"/>
  <c r="AG332" i="1"/>
  <c r="AH332" i="1"/>
  <c r="AI332" i="1"/>
  <c r="AJ332" i="1" s="1"/>
  <c r="AK332" i="1"/>
  <c r="AL332" i="1"/>
  <c r="AM332" i="1" s="1"/>
  <c r="D333" i="1"/>
  <c r="AE333" i="1" s="1"/>
  <c r="E333" i="1"/>
  <c r="Q333" i="1"/>
  <c r="S333" i="1"/>
  <c r="T333" i="1"/>
  <c r="U333" i="1"/>
  <c r="V333" i="1"/>
  <c r="W333" i="1" s="1"/>
  <c r="X333" i="1" a="1"/>
  <c r="X333" i="1" s="1"/>
  <c r="Y333" i="1"/>
  <c r="Z333" i="1" s="1"/>
  <c r="AA333" i="1"/>
  <c r="AG333" i="1"/>
  <c r="AH333" i="1"/>
  <c r="AI333" i="1"/>
  <c r="AJ333" i="1" s="1"/>
  <c r="AK333" i="1"/>
  <c r="AL333" i="1"/>
  <c r="AM333" i="1"/>
  <c r="D334" i="1"/>
  <c r="AE334" i="1" s="1"/>
  <c r="E334" i="1"/>
  <c r="Q334" i="1"/>
  <c r="AH334" i="1" s="1"/>
  <c r="S334" i="1"/>
  <c r="X334" i="1" s="1" a="1"/>
  <c r="X334" i="1" s="1"/>
  <c r="T334" i="1"/>
  <c r="V334" i="1" s="1"/>
  <c r="W334" i="1" s="1"/>
  <c r="U334" i="1"/>
  <c r="Y334" i="1"/>
  <c r="Z334" i="1" s="1"/>
  <c r="AA334" i="1"/>
  <c r="AG334" i="1"/>
  <c r="AI334" i="1"/>
  <c r="AJ334" i="1"/>
  <c r="AK334" i="1"/>
  <c r="AL334" i="1"/>
  <c r="AM334" i="1"/>
  <c r="D335" i="1"/>
  <c r="AE335" i="1" s="1"/>
  <c r="E335" i="1"/>
  <c r="Q335" i="1"/>
  <c r="AH335" i="1" s="1"/>
  <c r="S335" i="1"/>
  <c r="X335" i="1" s="1" a="1"/>
  <c r="X335" i="1" s="1"/>
  <c r="T335" i="1"/>
  <c r="U335" i="1"/>
  <c r="V335" i="1"/>
  <c r="W335" i="1" s="1"/>
  <c r="Y335" i="1"/>
  <c r="Z335" i="1" s="1"/>
  <c r="AA335" i="1"/>
  <c r="AG335" i="1"/>
  <c r="AI335" i="1"/>
  <c r="AJ335" i="1"/>
  <c r="AK335" i="1"/>
  <c r="AL335" i="1"/>
  <c r="AM335" i="1"/>
  <c r="D336" i="1"/>
  <c r="E336" i="1"/>
  <c r="Q336" i="1"/>
  <c r="S336" i="1"/>
  <c r="X336" i="1" s="1" a="1"/>
  <c r="X336" i="1" s="1"/>
  <c r="T336" i="1"/>
  <c r="U336" i="1"/>
  <c r="V336" i="1"/>
  <c r="W336" i="1" s="1"/>
  <c r="Y336" i="1"/>
  <c r="Z336" i="1"/>
  <c r="AA336" i="1"/>
  <c r="AE336" i="1"/>
  <c r="AG336" i="1"/>
  <c r="AH336" i="1"/>
  <c r="AI336" i="1"/>
  <c r="AJ336" i="1"/>
  <c r="AK336" i="1"/>
  <c r="AL336" i="1"/>
  <c r="AM336" i="1" s="1"/>
  <c r="D337" i="1"/>
  <c r="E337" i="1"/>
  <c r="Q337" i="1"/>
  <c r="S337" i="1"/>
  <c r="T337" i="1"/>
  <c r="U337" i="1"/>
  <c r="V337" i="1"/>
  <c r="W337" i="1" s="1"/>
  <c r="X337" i="1" a="1"/>
  <c r="X337" i="1" s="1"/>
  <c r="Y337" i="1"/>
  <c r="Z337" i="1" s="1"/>
  <c r="AA337" i="1"/>
  <c r="AE337" i="1"/>
  <c r="AG337" i="1"/>
  <c r="AH337" i="1"/>
  <c r="AI337" i="1"/>
  <c r="AJ337" i="1" s="1"/>
  <c r="AK337" i="1"/>
  <c r="AL337" i="1"/>
  <c r="AM337" i="1"/>
  <c r="D338" i="1"/>
  <c r="E338" i="1"/>
  <c r="Q338" i="1"/>
  <c r="AH338" i="1" s="1"/>
  <c r="S338" i="1"/>
  <c r="X338" i="1" s="1" a="1"/>
  <c r="T338" i="1"/>
  <c r="V338" i="1" s="1"/>
  <c r="W338" i="1" s="1"/>
  <c r="U338" i="1"/>
  <c r="X338" i="1"/>
  <c r="Y338" i="1"/>
  <c r="Z338" i="1" s="1"/>
  <c r="AA338" i="1"/>
  <c r="AE338" i="1"/>
  <c r="AG338" i="1"/>
  <c r="AI338" i="1"/>
  <c r="AJ338" i="1"/>
  <c r="AK338" i="1"/>
  <c r="AL338" i="1"/>
  <c r="AM338" i="1"/>
  <c r="D339" i="1"/>
  <c r="AE339" i="1" s="1"/>
  <c r="E339" i="1"/>
  <c r="Q339" i="1"/>
  <c r="AH339" i="1" s="1"/>
  <c r="S339" i="1"/>
  <c r="X339" i="1" s="1" a="1"/>
  <c r="T339" i="1"/>
  <c r="U339" i="1"/>
  <c r="V339" i="1"/>
  <c r="W339" i="1" s="1"/>
  <c r="X339" i="1"/>
  <c r="Y339" i="1"/>
  <c r="Z339" i="1"/>
  <c r="AA339" i="1"/>
  <c r="AG339" i="1"/>
  <c r="AI339" i="1"/>
  <c r="AJ339" i="1"/>
  <c r="AK339" i="1"/>
  <c r="AL339" i="1"/>
  <c r="AM339" i="1"/>
  <c r="D340" i="1"/>
  <c r="E340" i="1"/>
  <c r="Q340" i="1"/>
  <c r="S340" i="1"/>
  <c r="T340" i="1"/>
  <c r="U340" i="1"/>
  <c r="V340" i="1"/>
  <c r="W340" i="1"/>
  <c r="X340" i="1" a="1"/>
  <c r="X340" i="1"/>
  <c r="Y340" i="1"/>
  <c r="Z340" i="1" s="1"/>
  <c r="AA340" i="1"/>
  <c r="AE340" i="1"/>
  <c r="AG340" i="1"/>
  <c r="AH340" i="1"/>
  <c r="AI340" i="1"/>
  <c r="AJ340" i="1"/>
  <c r="AK340" i="1"/>
  <c r="AL340" i="1"/>
  <c r="AM340" i="1" s="1"/>
  <c r="D341" i="1"/>
  <c r="AE341" i="1" s="1"/>
  <c r="E341" i="1"/>
  <c r="Q341" i="1"/>
  <c r="S341" i="1"/>
  <c r="X341" i="1" s="1" a="1"/>
  <c r="X341" i="1" s="1"/>
  <c r="T341" i="1"/>
  <c r="V341" i="1" s="1"/>
  <c r="W341" i="1" s="1"/>
  <c r="U341" i="1"/>
  <c r="Y341" i="1"/>
  <c r="Z341" i="1" s="1"/>
  <c r="AA341" i="1"/>
  <c r="AG341" i="1"/>
  <c r="AH341" i="1"/>
  <c r="AI341" i="1"/>
  <c r="AJ341" i="1" s="1"/>
  <c r="AK341" i="1"/>
  <c r="AL341" i="1"/>
  <c r="AM341" i="1"/>
  <c r="D342" i="1"/>
  <c r="AE342" i="1" s="1"/>
  <c r="E342" i="1"/>
  <c r="Q342" i="1"/>
  <c r="AH342" i="1" s="1"/>
  <c r="S342" i="1"/>
  <c r="X342" i="1" s="1" a="1"/>
  <c r="T342" i="1"/>
  <c r="U342" i="1"/>
  <c r="X342" i="1"/>
  <c r="Y342" i="1"/>
  <c r="Z342" i="1" s="1"/>
  <c r="AA342" i="1"/>
  <c r="AG342" i="1"/>
  <c r="AI342" i="1"/>
  <c r="AJ342" i="1"/>
  <c r="AK342" i="1"/>
  <c r="AL342" i="1"/>
  <c r="AM342" i="1"/>
  <c r="D343" i="1"/>
  <c r="AE343" i="1" s="1"/>
  <c r="E343" i="1"/>
  <c r="Q343" i="1"/>
  <c r="AH343" i="1" s="1"/>
  <c r="S343" i="1"/>
  <c r="X343" i="1" s="1" a="1"/>
  <c r="T343" i="1"/>
  <c r="U343" i="1"/>
  <c r="V343" i="1"/>
  <c r="W343" i="1" s="1"/>
  <c r="X343" i="1"/>
  <c r="Y343" i="1"/>
  <c r="Z343" i="1" s="1"/>
  <c r="AA343" i="1"/>
  <c r="AG343" i="1"/>
  <c r="AI343" i="1"/>
  <c r="AJ343" i="1"/>
  <c r="AK343" i="1"/>
  <c r="AL343" i="1"/>
  <c r="AM343" i="1" s="1"/>
  <c r="D344" i="1"/>
  <c r="E344" i="1"/>
  <c r="Q344" i="1"/>
  <c r="S344" i="1"/>
  <c r="T344" i="1"/>
  <c r="U344" i="1"/>
  <c r="V344" i="1"/>
  <c r="W344" i="1"/>
  <c r="X344" i="1" a="1"/>
  <c r="X344" i="1"/>
  <c r="Y344" i="1"/>
  <c r="Z344" i="1" s="1"/>
  <c r="AA344" i="1"/>
  <c r="AE344" i="1"/>
  <c r="AG344" i="1"/>
  <c r="AH344" i="1"/>
  <c r="AI344" i="1"/>
  <c r="AJ344" i="1"/>
  <c r="AK344" i="1"/>
  <c r="AL344" i="1"/>
  <c r="AM344" i="1"/>
  <c r="D345" i="1"/>
  <c r="AE345" i="1" s="1"/>
  <c r="E345" i="1"/>
  <c r="Q345" i="1"/>
  <c r="S345" i="1"/>
  <c r="T345" i="1"/>
  <c r="V345" i="1" s="1"/>
  <c r="W345" i="1" s="1"/>
  <c r="U345" i="1"/>
  <c r="X345" i="1" a="1"/>
  <c r="X345" i="1"/>
  <c r="Y345" i="1"/>
  <c r="Z345" i="1" s="1"/>
  <c r="AA345" i="1"/>
  <c r="AG345" i="1"/>
  <c r="AH345" i="1"/>
  <c r="AI345" i="1"/>
  <c r="AJ345" i="1"/>
  <c r="AK345" i="1"/>
  <c r="AL345" i="1"/>
  <c r="AM345" i="1"/>
  <c r="D346" i="1"/>
  <c r="AE346" i="1" s="1"/>
  <c r="E346" i="1"/>
  <c r="Q346" i="1"/>
  <c r="AH346" i="1" s="1"/>
  <c r="S346" i="1"/>
  <c r="X346" i="1" s="1" a="1"/>
  <c r="T346" i="1"/>
  <c r="U346" i="1"/>
  <c r="X346" i="1"/>
  <c r="Y346" i="1"/>
  <c r="Z346" i="1" s="1"/>
  <c r="AA346" i="1"/>
  <c r="AG346" i="1"/>
  <c r="AI346" i="1"/>
  <c r="AJ346" i="1"/>
  <c r="AK346" i="1"/>
  <c r="AL346" i="1"/>
  <c r="AM346" i="1"/>
  <c r="D347" i="1"/>
  <c r="AE347" i="1" s="1"/>
  <c r="E347" i="1"/>
  <c r="Q347" i="1"/>
  <c r="AH347" i="1" s="1"/>
  <c r="S347" i="1"/>
  <c r="X347" i="1" s="1" a="1"/>
  <c r="T347" i="1"/>
  <c r="U347" i="1"/>
  <c r="V347" i="1"/>
  <c r="W347" i="1" s="1"/>
  <c r="X347" i="1"/>
  <c r="Y347" i="1"/>
  <c r="Z347" i="1"/>
  <c r="AA347" i="1"/>
  <c r="AG347" i="1"/>
  <c r="AI347" i="1"/>
  <c r="AJ347" i="1"/>
  <c r="AK347" i="1"/>
  <c r="AL347" i="1"/>
  <c r="AM347" i="1"/>
  <c r="D348" i="1"/>
  <c r="AE348" i="1" s="1"/>
  <c r="E348" i="1"/>
  <c r="Q348" i="1"/>
  <c r="S348" i="1"/>
  <c r="T348" i="1"/>
  <c r="U348" i="1"/>
  <c r="V348" i="1"/>
  <c r="W348" i="1" s="1"/>
  <c r="X348" i="1" a="1"/>
  <c r="X348" i="1"/>
  <c r="Y348" i="1"/>
  <c r="Z348" i="1" s="1"/>
  <c r="AA348" i="1"/>
  <c r="AG348" i="1"/>
  <c r="AH348" i="1"/>
  <c r="AI348" i="1"/>
  <c r="AJ348" i="1"/>
  <c r="AK348" i="1"/>
  <c r="AL348" i="1"/>
  <c r="AM348" i="1"/>
  <c r="D349" i="1"/>
  <c r="E349" i="1"/>
  <c r="Q349" i="1"/>
  <c r="S349" i="1"/>
  <c r="T349" i="1"/>
  <c r="V349" i="1" s="1"/>
  <c r="U349" i="1"/>
  <c r="W349" i="1"/>
  <c r="X349" i="1" a="1"/>
  <c r="X349" i="1" s="1"/>
  <c r="Y349" i="1"/>
  <c r="Z349" i="1" s="1"/>
  <c r="AA349" i="1"/>
  <c r="AE349" i="1"/>
  <c r="AG349" i="1"/>
  <c r="AH349" i="1"/>
  <c r="AI349" i="1"/>
  <c r="AJ349" i="1"/>
  <c r="AK349" i="1"/>
  <c r="AL349" i="1"/>
  <c r="AM349" i="1"/>
  <c r="D350" i="1"/>
  <c r="E350" i="1"/>
  <c r="Q350" i="1"/>
  <c r="AH350" i="1" s="1"/>
  <c r="S350" i="1"/>
  <c r="X350" i="1" s="1" a="1"/>
  <c r="T350" i="1"/>
  <c r="V350" i="1" s="1"/>
  <c r="W350" i="1" s="1"/>
  <c r="U350" i="1"/>
  <c r="X350" i="1"/>
  <c r="Y350" i="1"/>
  <c r="Z350" i="1" s="1"/>
  <c r="AA350" i="1"/>
  <c r="AE350" i="1"/>
  <c r="AG350" i="1"/>
  <c r="AI350" i="1"/>
  <c r="AJ350" i="1"/>
  <c r="AK350" i="1"/>
  <c r="AL350" i="1"/>
  <c r="AM350" i="1"/>
  <c r="D351" i="1"/>
  <c r="AE351" i="1" s="1"/>
  <c r="E351" i="1"/>
  <c r="Q351" i="1"/>
  <c r="AH351" i="1" s="1"/>
  <c r="S351" i="1"/>
  <c r="X351" i="1" s="1" a="1"/>
  <c r="T351" i="1"/>
  <c r="U351" i="1"/>
  <c r="V351" i="1"/>
  <c r="W351" i="1"/>
  <c r="X351" i="1"/>
  <c r="Y351" i="1"/>
  <c r="Z351" i="1" s="1"/>
  <c r="AA351" i="1"/>
  <c r="AG351" i="1"/>
  <c r="AI351" i="1"/>
  <c r="AJ351" i="1"/>
  <c r="AK351" i="1"/>
  <c r="AL351" i="1"/>
  <c r="AM351" i="1" s="1"/>
  <c r="D352" i="1"/>
  <c r="E352" i="1"/>
  <c r="Q352" i="1"/>
  <c r="S352" i="1"/>
  <c r="X352" i="1" s="1" a="1"/>
  <c r="X352" i="1" s="1"/>
  <c r="T352" i="1"/>
  <c r="V352" i="1" s="1"/>
  <c r="W352" i="1" s="1"/>
  <c r="U352" i="1"/>
  <c r="Y352" i="1"/>
  <c r="Z352" i="1"/>
  <c r="AA352" i="1"/>
  <c r="AE352" i="1"/>
  <c r="AG352" i="1"/>
  <c r="AH352" i="1"/>
  <c r="AI352" i="1"/>
  <c r="AJ352" i="1" s="1"/>
  <c r="AK352" i="1"/>
  <c r="AL352" i="1"/>
  <c r="AM352" i="1"/>
  <c r="D353" i="1"/>
  <c r="E353" i="1"/>
  <c r="Q353" i="1"/>
  <c r="S353" i="1"/>
  <c r="X353" i="1" s="1" a="1"/>
  <c r="X353" i="1" s="1"/>
  <c r="T353" i="1"/>
  <c r="V353" i="1" s="1"/>
  <c r="W353" i="1" s="1"/>
  <c r="U353" i="1"/>
  <c r="Y353" i="1"/>
  <c r="Z353" i="1" s="1"/>
  <c r="AA353" i="1"/>
  <c r="AE353" i="1"/>
  <c r="AG353" i="1"/>
  <c r="AH353" i="1"/>
  <c r="AI353" i="1"/>
  <c r="AJ353" i="1" s="1"/>
  <c r="AK353" i="1"/>
  <c r="AL353" i="1"/>
  <c r="AM353" i="1"/>
  <c r="D354" i="1"/>
  <c r="E354" i="1"/>
  <c r="Q354" i="1"/>
  <c r="AH354" i="1" s="1"/>
  <c r="S354" i="1"/>
  <c r="X354" i="1" s="1" a="1"/>
  <c r="X354" i="1" s="1"/>
  <c r="T354" i="1"/>
  <c r="U354" i="1"/>
  <c r="V354" i="1"/>
  <c r="W354" i="1" s="1"/>
  <c r="Y354" i="1"/>
  <c r="Z354" i="1" s="1"/>
  <c r="AA354" i="1"/>
  <c r="AE354" i="1"/>
  <c r="AG354" i="1"/>
  <c r="AI354" i="1"/>
  <c r="AJ354" i="1"/>
  <c r="AK354" i="1"/>
  <c r="AL354" i="1"/>
  <c r="AM354" i="1"/>
  <c r="D355" i="1"/>
  <c r="AE355" i="1" s="1"/>
  <c r="E355" i="1"/>
  <c r="Q355" i="1"/>
  <c r="AH355" i="1" s="1"/>
  <c r="S355" i="1"/>
  <c r="X355" i="1" s="1" a="1"/>
  <c r="X355" i="1" s="1"/>
  <c r="T355" i="1"/>
  <c r="U355" i="1"/>
  <c r="V355" i="1"/>
  <c r="W355" i="1" s="1"/>
  <c r="Y355" i="1"/>
  <c r="Z355" i="1"/>
  <c r="AA355" i="1"/>
  <c r="AG355" i="1"/>
  <c r="AI355" i="1"/>
  <c r="AJ355" i="1"/>
  <c r="AK355" i="1"/>
  <c r="AL355" i="1"/>
  <c r="AM355" i="1" s="1"/>
  <c r="D356" i="1"/>
  <c r="AE356" i="1" s="1"/>
  <c r="E356" i="1"/>
  <c r="Q356" i="1"/>
  <c r="S356" i="1"/>
  <c r="X356" i="1" s="1" a="1"/>
  <c r="X356" i="1" s="1"/>
  <c r="T356" i="1"/>
  <c r="U356" i="1"/>
  <c r="V356" i="1"/>
  <c r="W356" i="1"/>
  <c r="Y356" i="1"/>
  <c r="Z356" i="1"/>
  <c r="AA356" i="1"/>
  <c r="AG356" i="1"/>
  <c r="AH356" i="1"/>
  <c r="AI356" i="1"/>
  <c r="AJ356" i="1" s="1"/>
  <c r="AK356" i="1"/>
  <c r="AL356" i="1"/>
  <c r="AM356" i="1" s="1"/>
  <c r="D357" i="1"/>
  <c r="E357" i="1"/>
  <c r="Q357" i="1"/>
  <c r="S357" i="1"/>
  <c r="T357" i="1"/>
  <c r="V357" i="1" s="1"/>
  <c r="W357" i="1" s="1"/>
  <c r="U357" i="1"/>
  <c r="X357" i="1" a="1"/>
  <c r="X357" i="1" s="1"/>
  <c r="Y357" i="1"/>
  <c r="Z357" i="1" s="1"/>
  <c r="AA357" i="1"/>
  <c r="AE357" i="1"/>
  <c r="AG357" i="1"/>
  <c r="AH357" i="1"/>
  <c r="AI357" i="1"/>
  <c r="AJ357" i="1" s="1"/>
  <c r="AK357" i="1"/>
  <c r="AL357" i="1"/>
  <c r="AM357" i="1"/>
  <c r="D358" i="1"/>
  <c r="E358" i="1"/>
  <c r="Q358" i="1"/>
  <c r="AH358" i="1" s="1"/>
  <c r="S358" i="1"/>
  <c r="X358" i="1" s="1" a="1"/>
  <c r="T358" i="1"/>
  <c r="V358" i="1" s="1"/>
  <c r="W358" i="1" s="1"/>
  <c r="U358" i="1"/>
  <c r="X358" i="1"/>
  <c r="Y358" i="1"/>
  <c r="Z358" i="1" s="1"/>
  <c r="AA358" i="1"/>
  <c r="AE358" i="1"/>
  <c r="AG358" i="1"/>
  <c r="AI358" i="1"/>
  <c r="AJ358" i="1"/>
  <c r="AK358" i="1"/>
  <c r="AL358" i="1"/>
  <c r="AM358" i="1"/>
  <c r="D359" i="1"/>
  <c r="AE359" i="1" s="1"/>
  <c r="E359" i="1"/>
  <c r="Q359" i="1"/>
  <c r="AH359" i="1" s="1"/>
  <c r="S359" i="1"/>
  <c r="X359" i="1" s="1" a="1"/>
  <c r="T359" i="1"/>
  <c r="U359" i="1"/>
  <c r="V359" i="1"/>
  <c r="W359" i="1"/>
  <c r="X359" i="1"/>
  <c r="Y359" i="1"/>
  <c r="Z359" i="1"/>
  <c r="AA359" i="1"/>
  <c r="AG359" i="1"/>
  <c r="AI359" i="1"/>
  <c r="AJ359" i="1"/>
  <c r="AK359" i="1"/>
  <c r="AL359" i="1"/>
  <c r="AM359" i="1" s="1"/>
  <c r="D360" i="1"/>
  <c r="E360" i="1"/>
  <c r="Q360" i="1"/>
  <c r="S360" i="1"/>
  <c r="X360" i="1" s="1" a="1"/>
  <c r="X360" i="1" s="1"/>
  <c r="T360" i="1"/>
  <c r="U360" i="1"/>
  <c r="V360" i="1"/>
  <c r="W360" i="1"/>
  <c r="Y360" i="1"/>
  <c r="Z360" i="1" s="1"/>
  <c r="AA360" i="1"/>
  <c r="AE360" i="1"/>
  <c r="AG360" i="1"/>
  <c r="AH360" i="1"/>
  <c r="AI360" i="1"/>
  <c r="AJ360" i="1"/>
  <c r="AK360" i="1"/>
  <c r="AL360" i="1"/>
  <c r="AM360" i="1"/>
  <c r="D361" i="1"/>
  <c r="AE361" i="1" s="1"/>
  <c r="E361" i="1"/>
  <c r="Q361" i="1"/>
  <c r="S361" i="1"/>
  <c r="T361" i="1"/>
  <c r="V361" i="1" s="1"/>
  <c r="W361" i="1" s="1"/>
  <c r="U361" i="1"/>
  <c r="X361" i="1" a="1"/>
  <c r="X361" i="1"/>
  <c r="Y361" i="1"/>
  <c r="Z361" i="1" s="1"/>
  <c r="AA361" i="1"/>
  <c r="AG361" i="1"/>
  <c r="AH361" i="1"/>
  <c r="AI361" i="1"/>
  <c r="AJ361" i="1"/>
  <c r="AK361" i="1"/>
  <c r="AL361" i="1"/>
  <c r="AM361" i="1"/>
  <c r="D362" i="1"/>
  <c r="AE362" i="1" s="1"/>
  <c r="E362" i="1"/>
  <c r="Q362" i="1"/>
  <c r="AH362" i="1" s="1"/>
  <c r="S362" i="1"/>
  <c r="X362" i="1" s="1" a="1"/>
  <c r="T362" i="1"/>
  <c r="V362" i="1" s="1"/>
  <c r="W362" i="1" s="1"/>
  <c r="U362" i="1"/>
  <c r="X362" i="1"/>
  <c r="Y362" i="1"/>
  <c r="Z362" i="1" s="1"/>
  <c r="AA362" i="1"/>
  <c r="AG362" i="1"/>
  <c r="AI362" i="1"/>
  <c r="AJ362" i="1"/>
  <c r="AK362" i="1"/>
  <c r="AL362" i="1"/>
  <c r="AM362" i="1"/>
  <c r="D363" i="1"/>
  <c r="AE363" i="1" s="1"/>
  <c r="E363" i="1"/>
  <c r="Q363" i="1"/>
  <c r="AH363" i="1" s="1"/>
  <c r="S363" i="1"/>
  <c r="X363" i="1" s="1" a="1"/>
  <c r="T363" i="1"/>
  <c r="U363" i="1"/>
  <c r="V363" i="1"/>
  <c r="W363" i="1" s="1"/>
  <c r="X363" i="1"/>
  <c r="Y363" i="1"/>
  <c r="Z363" i="1" s="1"/>
  <c r="AA363" i="1"/>
  <c r="AG363" i="1"/>
  <c r="AI363" i="1"/>
  <c r="AJ363" i="1"/>
  <c r="AK363" i="1"/>
  <c r="AL363" i="1"/>
  <c r="AM363" i="1"/>
  <c r="D364" i="1"/>
  <c r="AE364" i="1" s="1"/>
  <c r="E364" i="1"/>
  <c r="Q364" i="1"/>
  <c r="S364" i="1"/>
  <c r="T364" i="1"/>
  <c r="U364" i="1"/>
  <c r="V364" i="1"/>
  <c r="W364" i="1" s="1"/>
  <c r="X364" i="1" a="1"/>
  <c r="X364" i="1" s="1"/>
  <c r="Y364" i="1"/>
  <c r="Z364" i="1" s="1"/>
  <c r="AA364" i="1"/>
  <c r="AG364" i="1"/>
  <c r="AH364" i="1"/>
  <c r="AI364" i="1"/>
  <c r="AJ364" i="1" s="1"/>
  <c r="AK364" i="1"/>
  <c r="AL364" i="1"/>
  <c r="AM364" i="1" s="1"/>
  <c r="D365" i="1"/>
  <c r="AE365" i="1" s="1"/>
  <c r="E365" i="1"/>
  <c r="Q365" i="1"/>
  <c r="S365" i="1"/>
  <c r="T365" i="1"/>
  <c r="U365" i="1"/>
  <c r="V365" i="1"/>
  <c r="W365" i="1" s="1"/>
  <c r="X365" i="1" a="1"/>
  <c r="X365" i="1"/>
  <c r="Y365" i="1"/>
  <c r="Z365" i="1" s="1"/>
  <c r="AA365" i="1"/>
  <c r="AG365" i="1"/>
  <c r="AH365" i="1"/>
  <c r="AI365" i="1"/>
  <c r="AJ365" i="1" s="1"/>
  <c r="AK365" i="1"/>
  <c r="AL365" i="1"/>
  <c r="AM365" i="1"/>
  <c r="D366" i="1"/>
  <c r="AE366" i="1" s="1"/>
  <c r="E366" i="1"/>
  <c r="Q366" i="1"/>
  <c r="S366" i="1"/>
  <c r="X366" i="1" s="1" a="1"/>
  <c r="T366" i="1"/>
  <c r="U366" i="1"/>
  <c r="V366" i="1" s="1"/>
  <c r="W366" i="1" s="1"/>
  <c r="X366" i="1"/>
  <c r="Y366" i="1"/>
  <c r="Z366" i="1" s="1"/>
  <c r="AA366" i="1"/>
  <c r="AG366" i="1"/>
  <c r="AH366" i="1"/>
  <c r="AI366" i="1"/>
  <c r="AJ366" i="1"/>
  <c r="AK366" i="1"/>
  <c r="AL366" i="1"/>
  <c r="AM366" i="1"/>
  <c r="D367" i="1"/>
  <c r="AE367" i="1" s="1"/>
  <c r="E367" i="1"/>
  <c r="Q367" i="1"/>
  <c r="S367" i="1"/>
  <c r="X367" i="1" s="1" a="1"/>
  <c r="T367" i="1"/>
  <c r="V367" i="1" s="1"/>
  <c r="W367" i="1" s="1"/>
  <c r="U367" i="1"/>
  <c r="X367" i="1"/>
  <c r="Y367" i="1"/>
  <c r="Z367" i="1"/>
  <c r="AA367" i="1"/>
  <c r="AG367" i="1"/>
  <c r="AH367" i="1"/>
  <c r="AI367" i="1"/>
  <c r="AJ367" i="1"/>
  <c r="AK367" i="1"/>
  <c r="AL367" i="1"/>
  <c r="AM367" i="1" s="1"/>
  <c r="D368" i="1"/>
  <c r="E368" i="1"/>
  <c r="Q368" i="1"/>
  <c r="S368" i="1"/>
  <c r="T368" i="1"/>
  <c r="U368" i="1"/>
  <c r="V368" i="1"/>
  <c r="W368" i="1" s="1"/>
  <c r="X368" i="1" a="1"/>
  <c r="X368" i="1" s="1"/>
  <c r="Y368" i="1"/>
  <c r="Z368" i="1" s="1"/>
  <c r="AA368" i="1"/>
  <c r="AE368" i="1"/>
  <c r="AG368" i="1"/>
  <c r="AH368" i="1"/>
  <c r="AI368" i="1"/>
  <c r="AJ368" i="1" s="1"/>
  <c r="AK368" i="1"/>
  <c r="AL368" i="1"/>
  <c r="AM368" i="1" s="1"/>
  <c r="D369" i="1"/>
  <c r="AE369" i="1" s="1"/>
  <c r="E369" i="1"/>
  <c r="Q369" i="1"/>
  <c r="S369" i="1"/>
  <c r="T369" i="1"/>
  <c r="U369" i="1"/>
  <c r="V369" i="1"/>
  <c r="W369" i="1"/>
  <c r="X369" i="1" a="1"/>
  <c r="X369" i="1" s="1"/>
  <c r="Y369" i="1"/>
  <c r="Z369" i="1" s="1"/>
  <c r="AA369" i="1"/>
  <c r="AG369" i="1"/>
  <c r="AH369" i="1"/>
  <c r="AI369" i="1"/>
  <c r="AJ369" i="1" s="1"/>
  <c r="AK369" i="1"/>
  <c r="AL369" i="1"/>
  <c r="AM369" i="1"/>
  <c r="D370" i="1"/>
  <c r="AE370" i="1" s="1"/>
  <c r="E370" i="1"/>
  <c r="Q370" i="1"/>
  <c r="S370" i="1"/>
  <c r="X370" i="1" s="1" a="1"/>
  <c r="T370" i="1"/>
  <c r="U370" i="1"/>
  <c r="V370" i="1"/>
  <c r="W370" i="1" s="1"/>
  <c r="X370" i="1"/>
  <c r="Y370" i="1"/>
  <c r="Z370" i="1" s="1"/>
  <c r="AA370" i="1"/>
  <c r="AG370" i="1"/>
  <c r="AH370" i="1"/>
  <c r="AI370" i="1"/>
  <c r="AJ370" i="1"/>
  <c r="AK370" i="1"/>
  <c r="AL370" i="1"/>
  <c r="AM370" i="1"/>
  <c r="D371" i="1"/>
  <c r="E371" i="1"/>
  <c r="Q371" i="1"/>
  <c r="S371" i="1"/>
  <c r="X371" i="1" s="1" a="1"/>
  <c r="X371" i="1" s="1"/>
  <c r="T371" i="1"/>
  <c r="U371" i="1"/>
  <c r="V371" i="1"/>
  <c r="W371" i="1" s="1"/>
  <c r="Y371" i="1"/>
  <c r="Z371" i="1" s="1"/>
  <c r="AA371" i="1"/>
  <c r="AE371" i="1"/>
  <c r="AG371" i="1"/>
  <c r="AH371" i="1"/>
  <c r="AI371" i="1"/>
  <c r="AJ371" i="1"/>
  <c r="AK371" i="1"/>
  <c r="AL371" i="1"/>
  <c r="AM371" i="1"/>
  <c r="D372" i="1"/>
  <c r="E372" i="1"/>
  <c r="Q372" i="1"/>
  <c r="S372" i="1"/>
  <c r="T372" i="1"/>
  <c r="V372" i="1" s="1"/>
  <c r="W372" i="1" s="1"/>
  <c r="U372" i="1"/>
  <c r="X372" i="1" a="1"/>
  <c r="X372" i="1" s="1"/>
  <c r="Y372" i="1"/>
  <c r="Z372" i="1" s="1"/>
  <c r="AA372" i="1"/>
  <c r="AE372" i="1"/>
  <c r="AG372" i="1"/>
  <c r="AH372" i="1"/>
  <c r="AI372" i="1"/>
  <c r="AJ372" i="1" s="1"/>
  <c r="AK372" i="1"/>
  <c r="AL372" i="1"/>
  <c r="AM372" i="1" s="1"/>
  <c r="D373" i="1"/>
  <c r="E373" i="1"/>
  <c r="Q373" i="1"/>
  <c r="S373" i="1"/>
  <c r="T373" i="1"/>
  <c r="V373" i="1" s="1"/>
  <c r="W373" i="1" s="1"/>
  <c r="U373" i="1"/>
  <c r="X373" i="1" a="1"/>
  <c r="X373" i="1" s="1"/>
  <c r="Y373" i="1"/>
  <c r="Z373" i="1" s="1"/>
  <c r="AA373" i="1"/>
  <c r="AE373" i="1"/>
  <c r="AG373" i="1"/>
  <c r="AH373" i="1"/>
  <c r="AI373" i="1"/>
  <c r="AJ373" i="1" s="1"/>
  <c r="AK373" i="1"/>
  <c r="AL373" i="1"/>
  <c r="AM373" i="1"/>
  <c r="D374" i="1"/>
  <c r="AE374" i="1" s="1"/>
  <c r="E374" i="1"/>
  <c r="Q374" i="1"/>
  <c r="S374" i="1"/>
  <c r="X374" i="1" s="1" a="1"/>
  <c r="X374" i="1" s="1"/>
  <c r="T374" i="1"/>
  <c r="U374" i="1"/>
  <c r="V374" i="1"/>
  <c r="W374" i="1" s="1"/>
  <c r="Y374" i="1"/>
  <c r="Z374" i="1"/>
  <c r="AA374" i="1"/>
  <c r="AG374" i="1"/>
  <c r="AH374" i="1"/>
  <c r="AI374" i="1"/>
  <c r="AJ374" i="1"/>
  <c r="AK374" i="1"/>
  <c r="AL374" i="1"/>
  <c r="AM374" i="1"/>
  <c r="D375" i="1"/>
  <c r="AE375" i="1" s="1"/>
  <c r="E375" i="1"/>
  <c r="Q375" i="1"/>
  <c r="S375" i="1"/>
  <c r="X375" i="1" s="1" a="1"/>
  <c r="T375" i="1"/>
  <c r="U375" i="1"/>
  <c r="V375" i="1"/>
  <c r="W375" i="1" s="1"/>
  <c r="X375" i="1"/>
  <c r="Y375" i="1"/>
  <c r="Z375" i="1" s="1"/>
  <c r="AA375" i="1"/>
  <c r="AG375" i="1"/>
  <c r="AH375" i="1"/>
  <c r="AI375" i="1"/>
  <c r="AJ375" i="1"/>
  <c r="AK375" i="1"/>
  <c r="AL375" i="1"/>
  <c r="AM375" i="1" s="1"/>
  <c r="D376" i="1"/>
  <c r="E376" i="1"/>
  <c r="Q376" i="1"/>
  <c r="S376" i="1"/>
  <c r="T376" i="1"/>
  <c r="V376" i="1" s="1"/>
  <c r="U376" i="1"/>
  <c r="W376" i="1"/>
  <c r="X376" i="1" a="1"/>
  <c r="X376" i="1" s="1"/>
  <c r="Y376" i="1"/>
  <c r="Z376" i="1" s="1"/>
  <c r="AA376" i="1"/>
  <c r="AE376" i="1"/>
  <c r="AG376" i="1"/>
  <c r="AH376" i="1"/>
  <c r="AI376" i="1"/>
  <c r="AJ376" i="1"/>
  <c r="AK376" i="1"/>
  <c r="AL376" i="1"/>
  <c r="AM376" i="1"/>
  <c r="D377" i="1"/>
  <c r="AE377" i="1" s="1"/>
  <c r="E377" i="1"/>
  <c r="Q377" i="1"/>
  <c r="S377" i="1"/>
  <c r="X377" i="1" s="1" a="1"/>
  <c r="T377" i="1"/>
  <c r="U377" i="1"/>
  <c r="V377" i="1"/>
  <c r="W377" i="1"/>
  <c r="X377" i="1"/>
  <c r="Y377" i="1"/>
  <c r="Z377" i="1"/>
  <c r="AA377" i="1"/>
  <c r="AG377" i="1"/>
  <c r="AH377" i="1"/>
  <c r="AI377" i="1"/>
  <c r="AJ377" i="1"/>
  <c r="AK377" i="1"/>
  <c r="AL377" i="1"/>
  <c r="AM377" i="1" s="1"/>
  <c r="D378" i="1"/>
  <c r="E378" i="1"/>
  <c r="Q378" i="1"/>
  <c r="S378" i="1"/>
  <c r="T378" i="1"/>
  <c r="U378" i="1"/>
  <c r="V378" i="1"/>
  <c r="W378" i="1" s="1"/>
  <c r="X378" i="1" a="1"/>
  <c r="X378" i="1"/>
  <c r="Y378" i="1"/>
  <c r="Z378" i="1"/>
  <c r="AA378" i="1"/>
  <c r="AE378" i="1"/>
  <c r="AG378" i="1"/>
  <c r="AH378" i="1"/>
  <c r="AI378" i="1"/>
  <c r="AJ378" i="1"/>
  <c r="AK378" i="1"/>
  <c r="AL378" i="1"/>
  <c r="AM378" i="1"/>
  <c r="D379" i="1"/>
  <c r="AE379" i="1" s="1"/>
  <c r="E379" i="1"/>
  <c r="Q379" i="1"/>
  <c r="S379" i="1"/>
  <c r="T379" i="1"/>
  <c r="U379" i="1"/>
  <c r="V379" i="1" s="1"/>
  <c r="W379" i="1" s="1"/>
  <c r="X379" i="1" a="1"/>
  <c r="X379" i="1" s="1"/>
  <c r="Y379" i="1"/>
  <c r="Z379" i="1"/>
  <c r="AA379" i="1"/>
  <c r="AG379" i="1"/>
  <c r="AH379" i="1"/>
  <c r="AI379" i="1"/>
  <c r="AJ379" i="1"/>
  <c r="AK379" i="1"/>
  <c r="AL379" i="1"/>
  <c r="AM379" i="1"/>
  <c r="D380" i="1"/>
  <c r="AE380" i="1" s="1"/>
  <c r="E380" i="1"/>
  <c r="Q380" i="1"/>
  <c r="AH380" i="1" s="1"/>
  <c r="S380" i="1"/>
  <c r="X380" i="1" s="1" a="1"/>
  <c r="T380" i="1"/>
  <c r="V380" i="1" s="1"/>
  <c r="W380" i="1" s="1"/>
  <c r="U380" i="1"/>
  <c r="X380" i="1"/>
  <c r="Y380" i="1"/>
  <c r="Z380" i="1" s="1"/>
  <c r="AA380" i="1"/>
  <c r="AG380" i="1"/>
  <c r="AI380" i="1"/>
  <c r="AJ380" i="1"/>
  <c r="AK380" i="1"/>
  <c r="AL380" i="1"/>
  <c r="AM380" i="1"/>
  <c r="D381" i="1"/>
  <c r="AE381" i="1" s="1"/>
  <c r="E381" i="1"/>
  <c r="Q381" i="1"/>
  <c r="S381" i="1"/>
  <c r="X381" i="1" s="1" a="1"/>
  <c r="T381" i="1"/>
  <c r="U381" i="1"/>
  <c r="V381" i="1"/>
  <c r="W381" i="1" s="1"/>
  <c r="X381" i="1"/>
  <c r="Y381" i="1"/>
  <c r="Z381" i="1" s="1"/>
  <c r="AA381" i="1"/>
  <c r="AG381" i="1"/>
  <c r="AH381" i="1"/>
  <c r="AI381" i="1"/>
  <c r="AJ381" i="1"/>
  <c r="AK381" i="1"/>
  <c r="AL381" i="1"/>
  <c r="AM381" i="1"/>
  <c r="D382" i="1"/>
  <c r="AE382" i="1" s="1"/>
  <c r="E382" i="1"/>
  <c r="Q382" i="1"/>
  <c r="S382" i="1"/>
  <c r="T382" i="1"/>
  <c r="U382" i="1"/>
  <c r="V382" i="1"/>
  <c r="W382" i="1" s="1"/>
  <c r="X382" i="1" a="1"/>
  <c r="X382" i="1" s="1"/>
  <c r="Y382" i="1"/>
  <c r="Z382" i="1"/>
  <c r="AA382" i="1"/>
  <c r="AG382" i="1"/>
  <c r="AH382" i="1"/>
  <c r="AI382" i="1"/>
  <c r="AJ382" i="1" s="1"/>
  <c r="AK382" i="1"/>
  <c r="AL382" i="1"/>
  <c r="AM382" i="1"/>
  <c r="D383" i="1"/>
  <c r="AE383" i="1" s="1"/>
  <c r="E383" i="1"/>
  <c r="Q383" i="1"/>
  <c r="AH383" i="1" s="1"/>
  <c r="S383" i="1"/>
  <c r="T383" i="1"/>
  <c r="U383" i="1"/>
  <c r="V383" i="1"/>
  <c r="W383" i="1" s="1"/>
  <c r="X383" i="1" a="1"/>
  <c r="X383" i="1"/>
  <c r="Y383" i="1"/>
  <c r="Z383" i="1"/>
  <c r="AA383" i="1"/>
  <c r="AG383" i="1"/>
  <c r="AI383" i="1"/>
  <c r="AJ383" i="1"/>
  <c r="AK383" i="1"/>
  <c r="AL383" i="1"/>
  <c r="AM383" i="1"/>
  <c r="D384" i="1"/>
  <c r="E384" i="1"/>
  <c r="Q384" i="1"/>
  <c r="AH384" i="1" s="1"/>
  <c r="S384" i="1"/>
  <c r="X384" i="1" s="1" a="1"/>
  <c r="T384" i="1"/>
  <c r="U384" i="1"/>
  <c r="V384" i="1"/>
  <c r="W384" i="1" s="1"/>
  <c r="X384" i="1"/>
  <c r="Y384" i="1"/>
  <c r="Z384" i="1" s="1"/>
  <c r="AA384" i="1"/>
  <c r="AE384" i="1"/>
  <c r="AG384" i="1"/>
  <c r="AI384" i="1"/>
  <c r="AJ384" i="1"/>
  <c r="AK384" i="1"/>
  <c r="AL384" i="1"/>
  <c r="AM384" i="1"/>
  <c r="D385" i="1"/>
  <c r="AE385" i="1" s="1"/>
  <c r="E385" i="1"/>
  <c r="Q385" i="1"/>
  <c r="S385" i="1"/>
  <c r="T385" i="1"/>
  <c r="U385" i="1"/>
  <c r="V385" i="1"/>
  <c r="W385" i="1"/>
  <c r="X385" i="1" a="1"/>
  <c r="X385" i="1"/>
  <c r="Y385" i="1"/>
  <c r="Z385" i="1" s="1"/>
  <c r="AA385" i="1"/>
  <c r="AG385" i="1"/>
  <c r="AH385" i="1"/>
  <c r="AI385" i="1"/>
  <c r="AJ385" i="1"/>
  <c r="AK385" i="1"/>
  <c r="AL385" i="1"/>
  <c r="AM385" i="1"/>
  <c r="D386" i="1"/>
  <c r="E386" i="1"/>
  <c r="Q386" i="1"/>
  <c r="S386" i="1"/>
  <c r="T386" i="1"/>
  <c r="U386" i="1"/>
  <c r="V386" i="1" s="1"/>
  <c r="W386" i="1" s="1"/>
  <c r="X386" i="1" a="1"/>
  <c r="X386" i="1" s="1"/>
  <c r="Y386" i="1"/>
  <c r="Z386" i="1" s="1"/>
  <c r="AA386" i="1"/>
  <c r="AE386" i="1"/>
  <c r="AG386" i="1"/>
  <c r="AH386" i="1"/>
  <c r="AI386" i="1"/>
  <c r="AJ386" i="1"/>
  <c r="AK386" i="1"/>
  <c r="AL386" i="1"/>
  <c r="AM386" i="1"/>
  <c r="D387" i="1"/>
  <c r="E387" i="1"/>
  <c r="Q387" i="1"/>
  <c r="S387" i="1"/>
  <c r="T387" i="1"/>
  <c r="U387" i="1"/>
  <c r="V387" i="1"/>
  <c r="W387" i="1"/>
  <c r="X387" i="1" a="1"/>
  <c r="X387" i="1" s="1"/>
  <c r="Y387" i="1"/>
  <c r="Z387" i="1"/>
  <c r="AA387" i="1"/>
  <c r="AE387" i="1"/>
  <c r="AG387" i="1"/>
  <c r="AH387" i="1"/>
  <c r="AI387" i="1"/>
  <c r="AJ387" i="1" s="1"/>
  <c r="AK387" i="1"/>
  <c r="AL387" i="1"/>
  <c r="AM387" i="1"/>
  <c r="D388" i="1"/>
  <c r="AE388" i="1" s="1"/>
  <c r="E388" i="1"/>
  <c r="Q388" i="1"/>
  <c r="AH388" i="1" s="1"/>
  <c r="S388" i="1"/>
  <c r="X388" i="1" s="1" a="1"/>
  <c r="T388" i="1"/>
  <c r="U388" i="1"/>
  <c r="V388" i="1"/>
  <c r="W388" i="1" s="1"/>
  <c r="X388" i="1"/>
  <c r="Y388" i="1"/>
  <c r="Z388" i="1" s="1"/>
  <c r="AA388" i="1"/>
  <c r="AG388" i="1"/>
  <c r="AI388" i="1"/>
  <c r="AJ388" i="1"/>
  <c r="AK388" i="1"/>
  <c r="AL388" i="1"/>
  <c r="AM388" i="1" s="1"/>
  <c r="D389" i="1"/>
  <c r="AE389" i="1" s="1"/>
  <c r="E389" i="1"/>
  <c r="Q389" i="1"/>
  <c r="S389" i="1"/>
  <c r="X389" i="1" s="1" a="1"/>
  <c r="X389" i="1" s="1"/>
  <c r="T389" i="1"/>
  <c r="U389" i="1"/>
  <c r="V389" i="1"/>
  <c r="W389" i="1"/>
  <c r="Y389" i="1"/>
  <c r="Z389" i="1" s="1"/>
  <c r="AA389" i="1"/>
  <c r="AG389" i="1"/>
  <c r="AH389" i="1"/>
  <c r="AI389" i="1"/>
  <c r="AJ389" i="1"/>
  <c r="AK389" i="1"/>
  <c r="AL389" i="1"/>
  <c r="AM389" i="1"/>
  <c r="D390" i="1"/>
  <c r="E390" i="1"/>
  <c r="Q390" i="1"/>
  <c r="S390" i="1"/>
  <c r="X390" i="1" s="1" a="1"/>
  <c r="X390" i="1" s="1"/>
  <c r="T390" i="1"/>
  <c r="U390" i="1"/>
  <c r="V390" i="1"/>
  <c r="W390" i="1" s="1"/>
  <c r="Y390" i="1"/>
  <c r="Z390" i="1"/>
  <c r="AA390" i="1"/>
  <c r="AE390" i="1"/>
  <c r="AG390" i="1"/>
  <c r="AH390" i="1"/>
  <c r="AI390" i="1"/>
  <c r="AJ390" i="1" s="1"/>
  <c r="AK390" i="1"/>
  <c r="AL390" i="1"/>
  <c r="AM390" i="1" s="1"/>
  <c r="D391" i="1"/>
  <c r="E391" i="1"/>
  <c r="Q391" i="1"/>
  <c r="S391" i="1"/>
  <c r="X391" i="1" s="1" a="1"/>
  <c r="X391" i="1" s="1"/>
  <c r="T391" i="1"/>
  <c r="U391" i="1"/>
  <c r="V391" i="1"/>
  <c r="W391" i="1" s="1"/>
  <c r="Y391" i="1"/>
  <c r="Z391" i="1"/>
  <c r="AA391" i="1"/>
  <c r="AE391" i="1"/>
  <c r="AG391" i="1"/>
  <c r="AH391" i="1"/>
  <c r="AI391" i="1"/>
  <c r="AJ391" i="1" s="1"/>
  <c r="AK391" i="1"/>
  <c r="AL391" i="1"/>
  <c r="AM391" i="1"/>
  <c r="D392" i="1"/>
  <c r="E392" i="1"/>
  <c r="Q392" i="1"/>
  <c r="AH392" i="1" s="1"/>
  <c r="S392" i="1"/>
  <c r="X392" i="1" s="1" a="1"/>
  <c r="X392" i="1" s="1"/>
  <c r="T392" i="1"/>
  <c r="V392" i="1" s="1"/>
  <c r="W392" i="1" s="1"/>
  <c r="U392" i="1"/>
  <c r="Y392" i="1"/>
  <c r="Z392" i="1"/>
  <c r="AA392" i="1"/>
  <c r="AE392" i="1"/>
  <c r="AG392" i="1"/>
  <c r="AI392" i="1"/>
  <c r="AJ392" i="1"/>
  <c r="AK392" i="1"/>
  <c r="AL392" i="1"/>
  <c r="AM392" i="1"/>
  <c r="D393" i="1"/>
  <c r="AE393" i="1" s="1"/>
  <c r="E393" i="1"/>
  <c r="Q393" i="1"/>
  <c r="S393" i="1"/>
  <c r="X393" i="1" s="1" a="1"/>
  <c r="X393" i="1" s="1"/>
  <c r="T393" i="1"/>
  <c r="U393" i="1"/>
  <c r="V393" i="1"/>
  <c r="W393" i="1"/>
  <c r="Y393" i="1"/>
  <c r="Z393" i="1" s="1"/>
  <c r="AA393" i="1"/>
  <c r="AG393" i="1"/>
  <c r="AH393" i="1"/>
  <c r="AI393" i="1"/>
  <c r="AJ393" i="1"/>
  <c r="AK393" i="1"/>
  <c r="AL393" i="1"/>
  <c r="AM393" i="1" s="1"/>
  <c r="D394" i="1"/>
  <c r="AE394" i="1" s="1"/>
  <c r="E394" i="1"/>
  <c r="Q394" i="1"/>
  <c r="S394" i="1"/>
  <c r="X394" i="1" s="1" a="1"/>
  <c r="X394" i="1" s="1"/>
  <c r="T394" i="1"/>
  <c r="V394" i="1" s="1"/>
  <c r="W394" i="1" s="1"/>
  <c r="U394" i="1"/>
  <c r="Y394" i="1"/>
  <c r="Z394" i="1"/>
  <c r="AA394" i="1"/>
  <c r="AG394" i="1"/>
  <c r="AH394" i="1"/>
  <c r="AI394" i="1"/>
  <c r="AJ394" i="1" s="1"/>
  <c r="AK394" i="1"/>
  <c r="AL394" i="1"/>
  <c r="AM394" i="1" s="1"/>
  <c r="D395" i="1"/>
  <c r="AE395" i="1" s="1"/>
  <c r="E395" i="1"/>
  <c r="Q395" i="1"/>
  <c r="AH395" i="1" s="1"/>
  <c r="S395" i="1"/>
  <c r="X395" i="1" s="1" a="1"/>
  <c r="X395" i="1" s="1"/>
  <c r="T395" i="1"/>
  <c r="V395" i="1" s="1"/>
  <c r="W395" i="1" s="1"/>
  <c r="U395" i="1"/>
  <c r="Y395" i="1"/>
  <c r="Z395" i="1"/>
  <c r="AA395" i="1"/>
  <c r="AG395" i="1"/>
  <c r="AI395" i="1"/>
  <c r="AJ395" i="1"/>
  <c r="AK395" i="1"/>
  <c r="AL395" i="1"/>
  <c r="AM395" i="1"/>
  <c r="D396" i="1"/>
  <c r="E396" i="1"/>
  <c r="Q396" i="1"/>
  <c r="AH396" i="1" s="1"/>
  <c r="S396" i="1"/>
  <c r="X396" i="1" s="1" a="1"/>
  <c r="T396" i="1"/>
  <c r="U396" i="1"/>
  <c r="V396" i="1"/>
  <c r="W396" i="1" s="1"/>
  <c r="X396" i="1"/>
  <c r="Y396" i="1"/>
  <c r="Z396" i="1"/>
  <c r="AA396" i="1"/>
  <c r="AE396" i="1"/>
  <c r="AG396" i="1"/>
  <c r="AI396" i="1"/>
  <c r="AJ396" i="1"/>
  <c r="AK396" i="1"/>
  <c r="AL396" i="1"/>
  <c r="AM396" i="1"/>
  <c r="D397" i="1"/>
  <c r="AE397" i="1" s="1"/>
  <c r="E397" i="1"/>
  <c r="Q397" i="1"/>
  <c r="AH397" i="1" s="1"/>
  <c r="S397" i="1"/>
  <c r="T397" i="1"/>
  <c r="U397" i="1"/>
  <c r="V397" i="1"/>
  <c r="W397" i="1" s="1"/>
  <c r="X397" i="1" a="1"/>
  <c r="X397" i="1"/>
  <c r="Y397" i="1"/>
  <c r="Z397" i="1"/>
  <c r="AA397" i="1"/>
  <c r="AG397" i="1"/>
  <c r="AI397" i="1"/>
  <c r="AJ397" i="1" s="1"/>
  <c r="AK397" i="1"/>
  <c r="AL397" i="1"/>
  <c r="AM397" i="1"/>
  <c r="D398" i="1"/>
  <c r="AE398" i="1" s="1"/>
  <c r="E398" i="1"/>
  <c r="Q398" i="1"/>
  <c r="S398" i="1"/>
  <c r="T398" i="1"/>
  <c r="U398" i="1"/>
  <c r="V398" i="1" s="1"/>
  <c r="W398" i="1" s="1"/>
  <c r="X398" i="1" a="1"/>
  <c r="X398" i="1" s="1"/>
  <c r="Y398" i="1"/>
  <c r="Z398" i="1"/>
  <c r="AA398" i="1"/>
  <c r="AG398" i="1"/>
  <c r="AH398" i="1"/>
  <c r="AI398" i="1"/>
  <c r="AJ398" i="1" s="1"/>
  <c r="AK398" i="1"/>
  <c r="AL398" i="1"/>
  <c r="AM398" i="1"/>
  <c r="D399" i="1"/>
  <c r="AE399" i="1" s="1"/>
  <c r="E399" i="1"/>
  <c r="Q399" i="1"/>
  <c r="AH399" i="1" s="1"/>
  <c r="S399" i="1"/>
  <c r="T399" i="1"/>
  <c r="U399" i="1"/>
  <c r="V399" i="1"/>
  <c r="W399" i="1" s="1"/>
  <c r="X399" i="1" a="1"/>
  <c r="X399" i="1"/>
  <c r="Y399" i="1"/>
  <c r="Z399" i="1" s="1"/>
  <c r="AA399" i="1"/>
  <c r="AG399" i="1"/>
  <c r="AI399" i="1"/>
  <c r="AJ399" i="1" s="1"/>
  <c r="AK399" i="1"/>
  <c r="AL399" i="1"/>
  <c r="AM399" i="1"/>
  <c r="D400" i="1"/>
  <c r="AE400" i="1" s="1"/>
  <c r="E400" i="1"/>
  <c r="Q400" i="1"/>
  <c r="AH400" i="1" s="1"/>
  <c r="S400" i="1"/>
  <c r="X400" i="1" s="1" a="1"/>
  <c r="T400" i="1"/>
  <c r="V400" i="1" s="1"/>
  <c r="W400" i="1" s="1"/>
  <c r="U400" i="1"/>
  <c r="X400" i="1"/>
  <c r="Y400" i="1"/>
  <c r="Z400" i="1" s="1"/>
  <c r="AA400" i="1"/>
  <c r="AG400" i="1"/>
  <c r="AI400" i="1"/>
  <c r="AJ400" i="1"/>
  <c r="AK400" i="1"/>
  <c r="AL400" i="1"/>
  <c r="AM400" i="1" s="1"/>
  <c r="D401" i="1"/>
  <c r="AE401" i="1" s="1"/>
  <c r="E401" i="1"/>
  <c r="Q401" i="1"/>
  <c r="S401" i="1"/>
  <c r="T401" i="1"/>
  <c r="U401" i="1"/>
  <c r="V401" i="1"/>
  <c r="W401" i="1"/>
  <c r="X401" i="1" a="1"/>
  <c r="X401" i="1" s="1"/>
  <c r="Y401" i="1"/>
  <c r="Z401" i="1" s="1"/>
  <c r="AA401" i="1"/>
  <c r="AG401" i="1"/>
  <c r="AH401" i="1"/>
  <c r="AI401" i="1"/>
  <c r="AJ401" i="1"/>
  <c r="AK401" i="1"/>
  <c r="AL401" i="1"/>
  <c r="AM401" i="1"/>
  <c r="D402" i="1"/>
  <c r="AE402" i="1" s="1"/>
  <c r="E402" i="1"/>
  <c r="Q402" i="1"/>
  <c r="S402" i="1"/>
  <c r="T402" i="1"/>
  <c r="U402" i="1"/>
  <c r="V402" i="1"/>
  <c r="W402" i="1"/>
  <c r="X402" i="1" a="1"/>
  <c r="X402" i="1" s="1"/>
  <c r="Y402" i="1"/>
  <c r="Z402" i="1" s="1"/>
  <c r="AA402" i="1"/>
  <c r="AG402" i="1"/>
  <c r="AH402" i="1"/>
  <c r="AI402" i="1"/>
  <c r="AJ402" i="1"/>
  <c r="AK402" i="1"/>
  <c r="AL402" i="1"/>
  <c r="AM402" i="1"/>
  <c r="D403" i="1"/>
  <c r="AE403" i="1" s="1"/>
  <c r="E403" i="1"/>
  <c r="Q403" i="1"/>
  <c r="S403" i="1"/>
  <c r="T403" i="1"/>
  <c r="V403" i="1" s="1"/>
  <c r="W403" i="1" s="1"/>
  <c r="U403" i="1"/>
  <c r="X403" i="1" a="1"/>
  <c r="X403" i="1"/>
  <c r="Y403" i="1"/>
  <c r="Z403" i="1" s="1"/>
  <c r="AA403" i="1"/>
  <c r="AG403" i="1"/>
  <c r="AH403" i="1"/>
  <c r="AI403" i="1"/>
  <c r="AJ403" i="1" s="1"/>
  <c r="AK403" i="1"/>
  <c r="AL403" i="1"/>
  <c r="AM403" i="1"/>
  <c r="D404" i="1"/>
  <c r="E404" i="1"/>
  <c r="Q404" i="1"/>
  <c r="AH404" i="1" s="1"/>
  <c r="S404" i="1"/>
  <c r="X404" i="1" s="1" a="1"/>
  <c r="T404" i="1"/>
  <c r="U404" i="1"/>
  <c r="V404" i="1"/>
  <c r="W404" i="1" s="1"/>
  <c r="X404" i="1"/>
  <c r="Y404" i="1"/>
  <c r="Z404" i="1" s="1"/>
  <c r="AA404" i="1"/>
  <c r="AE404" i="1"/>
  <c r="AG404" i="1"/>
  <c r="AI404" i="1"/>
  <c r="AJ404" i="1"/>
  <c r="AK404" i="1"/>
  <c r="AL404" i="1"/>
  <c r="AM404" i="1"/>
  <c r="D405" i="1"/>
  <c r="AE405" i="1" s="1"/>
  <c r="E405" i="1"/>
  <c r="Q405" i="1"/>
  <c r="S405" i="1"/>
  <c r="T405" i="1"/>
  <c r="U405" i="1"/>
  <c r="V405" i="1"/>
  <c r="W405" i="1"/>
  <c r="X405" i="1" a="1"/>
  <c r="X405" i="1"/>
  <c r="Y405" i="1"/>
  <c r="Z405" i="1" s="1"/>
  <c r="AA405" i="1"/>
  <c r="AG405" i="1"/>
  <c r="AH405" i="1"/>
  <c r="AI405" i="1"/>
  <c r="AJ405" i="1"/>
  <c r="AK405" i="1"/>
  <c r="AL405" i="1"/>
  <c r="AM405" i="1" s="1"/>
  <c r="D406" i="1"/>
  <c r="E406" i="1"/>
  <c r="Q406" i="1"/>
  <c r="S406" i="1"/>
  <c r="T406" i="1"/>
  <c r="V406" i="1" s="1"/>
  <c r="W406" i="1" s="1"/>
  <c r="U406" i="1"/>
  <c r="X406" i="1" a="1"/>
  <c r="X406" i="1"/>
  <c r="Y406" i="1"/>
  <c r="Z406" i="1"/>
  <c r="AA406" i="1"/>
  <c r="AE406" i="1"/>
  <c r="AG406" i="1"/>
  <c r="AH406" i="1"/>
  <c r="AI406" i="1"/>
  <c r="AJ406" i="1" s="1"/>
  <c r="AK406" i="1"/>
  <c r="AL406" i="1"/>
  <c r="AM406" i="1" s="1"/>
  <c r="D407" i="1"/>
  <c r="E407" i="1"/>
  <c r="Q407" i="1"/>
  <c r="S407" i="1"/>
  <c r="T407" i="1"/>
  <c r="U407" i="1"/>
  <c r="V407" i="1" s="1"/>
  <c r="W407" i="1" s="1"/>
  <c r="X407" i="1" a="1"/>
  <c r="X407" i="1" s="1"/>
  <c r="Y407" i="1"/>
  <c r="Z407" i="1" s="1"/>
  <c r="AA407" i="1"/>
  <c r="AE407" i="1"/>
  <c r="AG407" i="1"/>
  <c r="AH407" i="1"/>
  <c r="AI407" i="1"/>
  <c r="AJ407" i="1"/>
  <c r="AK407" i="1"/>
  <c r="AL407" i="1"/>
  <c r="AM407" i="1"/>
  <c r="D408" i="1"/>
  <c r="AE408" i="1" s="1"/>
  <c r="E408" i="1"/>
  <c r="Q408" i="1"/>
  <c r="AH408" i="1" s="1"/>
  <c r="S408" i="1"/>
  <c r="X408" i="1" s="1" a="1"/>
  <c r="T408" i="1"/>
  <c r="U408" i="1"/>
  <c r="V408" i="1" s="1"/>
  <c r="W408" i="1" s="1"/>
  <c r="X408" i="1"/>
  <c r="Y408" i="1"/>
  <c r="Z408" i="1" s="1"/>
  <c r="AA408" i="1"/>
  <c r="AG408" i="1"/>
  <c r="AI408" i="1"/>
  <c r="AJ408" i="1"/>
  <c r="AK408" i="1"/>
  <c r="AL408" i="1"/>
  <c r="AM408" i="1" s="1"/>
  <c r="D409" i="1"/>
  <c r="AE409" i="1" s="1"/>
  <c r="E409" i="1"/>
  <c r="Q409" i="1"/>
  <c r="S409" i="1"/>
  <c r="T409" i="1"/>
  <c r="U409" i="1"/>
  <c r="V409" i="1"/>
  <c r="W409" i="1" s="1"/>
  <c r="X409" i="1" a="1"/>
  <c r="X409" i="1" s="1"/>
  <c r="Y409" i="1"/>
  <c r="Z409" i="1" s="1"/>
  <c r="AA409" i="1"/>
  <c r="AG409" i="1"/>
  <c r="AH409" i="1"/>
  <c r="AI409" i="1"/>
  <c r="AJ409" i="1" s="1"/>
  <c r="AK409" i="1"/>
  <c r="AL409" i="1"/>
  <c r="AM409" i="1"/>
  <c r="D410" i="1"/>
  <c r="E410" i="1"/>
  <c r="Q410" i="1"/>
  <c r="S410" i="1"/>
  <c r="X410" i="1" s="1" a="1"/>
  <c r="X410" i="1" s="1"/>
  <c r="T410" i="1"/>
  <c r="U410" i="1"/>
  <c r="V410" i="1"/>
  <c r="W410" i="1" s="1"/>
  <c r="Y410" i="1"/>
  <c r="Z410" i="1"/>
  <c r="AA410" i="1"/>
  <c r="AE410" i="1"/>
  <c r="AG410" i="1"/>
  <c r="AH410" i="1"/>
  <c r="AI410" i="1"/>
  <c r="AJ410" i="1"/>
  <c r="AK410" i="1"/>
  <c r="AL410" i="1"/>
  <c r="AM410" i="1" s="1"/>
  <c r="D411" i="1"/>
  <c r="E411" i="1"/>
  <c r="Q411" i="1"/>
  <c r="S411" i="1"/>
  <c r="X411" i="1" s="1" a="1"/>
  <c r="X411" i="1" s="1"/>
  <c r="T411" i="1"/>
  <c r="V411" i="1" s="1"/>
  <c r="W411" i="1" s="1"/>
  <c r="U411" i="1"/>
  <c r="Y411" i="1"/>
  <c r="Z411" i="1" s="1"/>
  <c r="AA411" i="1"/>
  <c r="AE411" i="1"/>
  <c r="AG411" i="1"/>
  <c r="AH411" i="1"/>
  <c r="AI411" i="1"/>
  <c r="AJ411" i="1"/>
  <c r="AK411" i="1"/>
  <c r="AL411" i="1"/>
  <c r="AM411" i="1"/>
  <c r="D412" i="1"/>
  <c r="E412" i="1"/>
  <c r="Q412" i="1"/>
  <c r="AH412" i="1" s="1"/>
  <c r="S412" i="1"/>
  <c r="X412" i="1" s="1" a="1"/>
  <c r="X412" i="1" s="1"/>
  <c r="T412" i="1"/>
  <c r="U412" i="1"/>
  <c r="Y412" i="1"/>
  <c r="Z412" i="1" s="1"/>
  <c r="AA412" i="1"/>
  <c r="AE412" i="1"/>
  <c r="AG412" i="1"/>
  <c r="AI412" i="1"/>
  <c r="AJ412" i="1"/>
  <c r="AK412" i="1"/>
  <c r="AL412" i="1"/>
  <c r="AM412" i="1" s="1"/>
  <c r="D413" i="1"/>
  <c r="AE413" i="1" s="1"/>
  <c r="E413" i="1"/>
  <c r="Q413" i="1"/>
  <c r="S413" i="1"/>
  <c r="X413" i="1" s="1" a="1"/>
  <c r="X413" i="1" s="1"/>
  <c r="T413" i="1"/>
  <c r="U413" i="1"/>
  <c r="V413" i="1"/>
  <c r="W413" i="1" s="1"/>
  <c r="Y413" i="1"/>
  <c r="Z413" i="1" s="1"/>
  <c r="AA413" i="1"/>
  <c r="AG413" i="1"/>
  <c r="AH413" i="1"/>
  <c r="AI413" i="1"/>
  <c r="AJ413" i="1" s="1"/>
  <c r="AK413" i="1"/>
  <c r="AL413" i="1"/>
  <c r="AM413" i="1"/>
  <c r="D414" i="1"/>
  <c r="AE414" i="1" s="1"/>
  <c r="E414" i="1"/>
  <c r="Q414" i="1"/>
  <c r="S414" i="1"/>
  <c r="X414" i="1" s="1" a="1"/>
  <c r="X414" i="1" s="1"/>
  <c r="T414" i="1"/>
  <c r="U414" i="1"/>
  <c r="Y414" i="1"/>
  <c r="Z414" i="1" s="1"/>
  <c r="AA414" i="1"/>
  <c r="AG414" i="1"/>
  <c r="AH414" i="1"/>
  <c r="AI414" i="1"/>
  <c r="AJ414" i="1"/>
  <c r="AK414" i="1"/>
  <c r="AL414" i="1"/>
  <c r="AM414" i="1" s="1"/>
  <c r="D415" i="1"/>
  <c r="E415" i="1"/>
  <c r="Q415" i="1"/>
  <c r="S415" i="1"/>
  <c r="X415" i="1" s="1" a="1"/>
  <c r="X415" i="1" s="1"/>
  <c r="T415" i="1"/>
  <c r="U415" i="1"/>
  <c r="V415" i="1"/>
  <c r="W415" i="1" s="1"/>
  <c r="Y415" i="1"/>
  <c r="Z415" i="1" s="1"/>
  <c r="AA415" i="1"/>
  <c r="AE415" i="1"/>
  <c r="AG415" i="1"/>
  <c r="AH415" i="1"/>
  <c r="AI415" i="1"/>
  <c r="AJ415" i="1"/>
  <c r="AK415" i="1"/>
  <c r="AL415" i="1"/>
  <c r="AM415" i="1"/>
  <c r="D416" i="1"/>
  <c r="AE416" i="1" s="1"/>
  <c r="E416" i="1"/>
  <c r="Q416" i="1"/>
  <c r="AH416" i="1" s="1"/>
  <c r="S416" i="1"/>
  <c r="X416" i="1" s="1" a="1"/>
  <c r="X416" i="1" s="1"/>
  <c r="T416" i="1"/>
  <c r="V416" i="1" s="1"/>
  <c r="W416" i="1" s="1"/>
  <c r="U416" i="1"/>
  <c r="Y416" i="1"/>
  <c r="Z416" i="1" s="1"/>
  <c r="AA416" i="1"/>
  <c r="AG416" i="1"/>
  <c r="AI416" i="1"/>
  <c r="AJ416" i="1"/>
  <c r="AK416" i="1"/>
  <c r="AL416" i="1"/>
  <c r="AM416" i="1" s="1"/>
  <c r="D417" i="1"/>
  <c r="AE417" i="1" s="1"/>
  <c r="E417" i="1"/>
  <c r="Q417" i="1"/>
  <c r="AH417" i="1" s="1"/>
  <c r="S417" i="1"/>
  <c r="T417" i="1"/>
  <c r="U417" i="1"/>
  <c r="V417" i="1"/>
  <c r="W417" i="1" s="1"/>
  <c r="X417" i="1" a="1"/>
  <c r="X417" i="1" s="1"/>
  <c r="Y417" i="1"/>
  <c r="Z417" i="1"/>
  <c r="AA417" i="1"/>
  <c r="AG417" i="1"/>
  <c r="AI417" i="1"/>
  <c r="AJ417" i="1" s="1"/>
  <c r="AK417" i="1"/>
  <c r="AL417" i="1"/>
  <c r="AM417" i="1" s="1"/>
  <c r="D418" i="1"/>
  <c r="E418" i="1"/>
  <c r="Q418" i="1"/>
  <c r="S418" i="1"/>
  <c r="X418" i="1" s="1" a="1"/>
  <c r="X418" i="1" s="1"/>
  <c r="T418" i="1"/>
  <c r="V418" i="1" s="1"/>
  <c r="U418" i="1"/>
  <c r="W418" i="1"/>
  <c r="Y418" i="1"/>
  <c r="Z418" i="1"/>
  <c r="AA418" i="1"/>
  <c r="AE418" i="1"/>
  <c r="AG418" i="1"/>
  <c r="AH418" i="1"/>
  <c r="AI418" i="1"/>
  <c r="AJ418" i="1"/>
  <c r="AK418" i="1"/>
  <c r="AL418" i="1"/>
  <c r="AM418" i="1"/>
  <c r="D419" i="1"/>
  <c r="AE419" i="1" s="1"/>
  <c r="E419" i="1"/>
  <c r="Q419" i="1"/>
  <c r="AH419" i="1" s="1"/>
  <c r="S419" i="1"/>
  <c r="T419" i="1"/>
  <c r="V419" i="1" s="1"/>
  <c r="W419" i="1" s="1"/>
  <c r="U419" i="1"/>
  <c r="X419" i="1" a="1"/>
  <c r="X419" i="1"/>
  <c r="Y419" i="1"/>
  <c r="Z419" i="1" s="1"/>
  <c r="AA419" i="1"/>
  <c r="AG419" i="1"/>
  <c r="AI419" i="1"/>
  <c r="AJ419" i="1"/>
  <c r="AK419" i="1"/>
  <c r="AL419" i="1"/>
  <c r="AM419" i="1"/>
  <c r="D420" i="1"/>
  <c r="AE420" i="1" s="1"/>
  <c r="E420" i="1"/>
  <c r="Q420" i="1"/>
  <c r="AH420" i="1" s="1"/>
  <c r="S420" i="1"/>
  <c r="X420" i="1" s="1" a="1"/>
  <c r="T420" i="1"/>
  <c r="U420" i="1"/>
  <c r="V420" i="1"/>
  <c r="W420" i="1" s="1"/>
  <c r="X420" i="1"/>
  <c r="Y420" i="1"/>
  <c r="Z420" i="1"/>
  <c r="AA420" i="1"/>
  <c r="AG420" i="1"/>
  <c r="AI420" i="1"/>
  <c r="AJ420" i="1"/>
  <c r="AK420" i="1"/>
  <c r="AL420" i="1"/>
  <c r="AM420" i="1"/>
  <c r="D421" i="1"/>
  <c r="AE421" i="1" s="1"/>
  <c r="E421" i="1"/>
  <c r="Q421" i="1"/>
  <c r="AH421" i="1" s="1"/>
  <c r="S421" i="1"/>
  <c r="T421" i="1"/>
  <c r="U421" i="1"/>
  <c r="V421" i="1"/>
  <c r="W421" i="1"/>
  <c r="X421" i="1" a="1"/>
  <c r="X421" i="1"/>
  <c r="Y421" i="1"/>
  <c r="Z421" i="1"/>
  <c r="AA421" i="1"/>
  <c r="AG421" i="1"/>
  <c r="AI421" i="1"/>
  <c r="AJ421" i="1"/>
  <c r="AK421" i="1"/>
  <c r="AL421" i="1"/>
  <c r="AM421" i="1"/>
  <c r="D422" i="1"/>
  <c r="AE422" i="1" s="1"/>
  <c r="E422" i="1"/>
  <c r="Q422" i="1"/>
  <c r="S422" i="1"/>
  <c r="T422" i="1"/>
  <c r="U422" i="1"/>
  <c r="V422" i="1"/>
  <c r="W422" i="1" s="1"/>
  <c r="X422" i="1" a="1"/>
  <c r="X422" i="1"/>
  <c r="Y422" i="1"/>
  <c r="Z422" i="1"/>
  <c r="AA422" i="1"/>
  <c r="AG422" i="1"/>
  <c r="AH422" i="1"/>
  <c r="AI422" i="1"/>
  <c r="AJ422" i="1" s="1"/>
  <c r="AK422" i="1"/>
  <c r="AL422" i="1"/>
  <c r="AM422" i="1"/>
  <c r="D423" i="1"/>
  <c r="AE423" i="1" s="1"/>
  <c r="E423" i="1"/>
  <c r="Q423" i="1"/>
  <c r="S423" i="1"/>
  <c r="T423" i="1"/>
  <c r="U423" i="1"/>
  <c r="V423" i="1"/>
  <c r="W423" i="1"/>
  <c r="X423" i="1" a="1"/>
  <c r="X423" i="1"/>
  <c r="Y423" i="1"/>
  <c r="Z423" i="1" s="1"/>
  <c r="AA423" i="1"/>
  <c r="AG423" i="1"/>
  <c r="AH423" i="1"/>
  <c r="AI423" i="1"/>
  <c r="AJ423" i="1" s="1"/>
  <c r="AK423" i="1"/>
  <c r="AL423" i="1"/>
  <c r="AM423" i="1"/>
  <c r="D424" i="1"/>
  <c r="AE424" i="1" s="1"/>
  <c r="E424" i="1"/>
  <c r="Q424" i="1"/>
  <c r="AH424" i="1" s="1"/>
  <c r="S424" i="1"/>
  <c r="X424" i="1" s="1" a="1"/>
  <c r="T424" i="1"/>
  <c r="U424" i="1"/>
  <c r="X424" i="1"/>
  <c r="Y424" i="1"/>
  <c r="Z424" i="1"/>
  <c r="AA424" i="1"/>
  <c r="AG424" i="1"/>
  <c r="AI424" i="1"/>
  <c r="AJ424" i="1"/>
  <c r="AK424" i="1"/>
  <c r="AL424" i="1"/>
  <c r="AM424" i="1"/>
  <c r="D425" i="1"/>
  <c r="AE425" i="1" s="1"/>
  <c r="E425" i="1"/>
  <c r="Q425" i="1"/>
  <c r="S425" i="1"/>
  <c r="T425" i="1"/>
  <c r="U425" i="1"/>
  <c r="V425" i="1"/>
  <c r="W425" i="1"/>
  <c r="X425" i="1" a="1"/>
  <c r="X425" i="1"/>
  <c r="Y425" i="1"/>
  <c r="Z425" i="1" s="1"/>
  <c r="AA425" i="1"/>
  <c r="AG425" i="1"/>
  <c r="AH425" i="1"/>
  <c r="AI425" i="1"/>
  <c r="AJ425" i="1"/>
  <c r="AK425" i="1"/>
  <c r="AL425" i="1"/>
  <c r="AM425" i="1"/>
  <c r="D426" i="1"/>
  <c r="AE426" i="1" s="1"/>
  <c r="E426" i="1"/>
  <c r="Q426" i="1"/>
  <c r="S426" i="1"/>
  <c r="X426" i="1" s="1" a="1"/>
  <c r="T426" i="1"/>
  <c r="V426" i="1" s="1"/>
  <c r="W426" i="1" s="1"/>
  <c r="U426" i="1"/>
  <c r="X426" i="1"/>
  <c r="Y426" i="1"/>
  <c r="Z426" i="1" s="1"/>
  <c r="AA426" i="1"/>
  <c r="AG426" i="1"/>
  <c r="AH426" i="1"/>
  <c r="AI426" i="1"/>
  <c r="AJ426" i="1" s="1"/>
  <c r="AK426" i="1"/>
  <c r="AL426" i="1"/>
  <c r="AM426" i="1"/>
  <c r="D427" i="1"/>
  <c r="AE427" i="1" s="1"/>
  <c r="E427" i="1"/>
  <c r="Q427" i="1"/>
  <c r="S427" i="1"/>
  <c r="T427" i="1"/>
  <c r="U427" i="1"/>
  <c r="X427" i="1" a="1"/>
  <c r="X427" i="1" s="1"/>
  <c r="Y427" i="1"/>
  <c r="Z427" i="1" s="1"/>
  <c r="AA427" i="1"/>
  <c r="AG427" i="1"/>
  <c r="AH427" i="1"/>
  <c r="AI427" i="1"/>
  <c r="AJ427" i="1"/>
  <c r="AK427" i="1"/>
  <c r="AL427" i="1"/>
  <c r="AM427" i="1"/>
  <c r="D428" i="1"/>
  <c r="E428" i="1"/>
  <c r="Q428" i="1"/>
  <c r="AH428" i="1" s="1"/>
  <c r="S428" i="1"/>
  <c r="X428" i="1" s="1" a="1"/>
  <c r="X428" i="1" s="1"/>
  <c r="T428" i="1"/>
  <c r="U428" i="1"/>
  <c r="V428" i="1"/>
  <c r="W428" i="1" s="1"/>
  <c r="Y428" i="1"/>
  <c r="Z428" i="1" s="1"/>
  <c r="AA428" i="1"/>
  <c r="AE428" i="1"/>
  <c r="AG428" i="1"/>
  <c r="AI428" i="1"/>
  <c r="AJ428" i="1"/>
  <c r="AK428" i="1"/>
  <c r="AL428" i="1"/>
  <c r="AM428" i="1"/>
  <c r="D429" i="1"/>
  <c r="AE429" i="1" s="1"/>
  <c r="E429" i="1"/>
  <c r="Q429" i="1"/>
  <c r="AH429" i="1" s="1"/>
  <c r="S429" i="1"/>
  <c r="T429" i="1"/>
  <c r="U429" i="1"/>
  <c r="V429" i="1"/>
  <c r="W429" i="1"/>
  <c r="X429" i="1" a="1"/>
  <c r="X429" i="1"/>
  <c r="Y429" i="1"/>
  <c r="Z429" i="1" s="1"/>
  <c r="AA429" i="1"/>
  <c r="AG429" i="1"/>
  <c r="AI429" i="1"/>
  <c r="AJ429" i="1" s="1"/>
  <c r="AK429" i="1"/>
  <c r="AL429" i="1"/>
  <c r="AM429" i="1"/>
  <c r="D430" i="1"/>
  <c r="E430" i="1"/>
  <c r="Q430" i="1"/>
  <c r="S430" i="1"/>
  <c r="T430" i="1"/>
  <c r="U430" i="1"/>
  <c r="X430" i="1" a="1"/>
  <c r="X430" i="1"/>
  <c r="Y430" i="1"/>
  <c r="Z430" i="1" s="1"/>
  <c r="AA430" i="1"/>
  <c r="AE430" i="1"/>
  <c r="AG430" i="1"/>
  <c r="AH430" i="1"/>
  <c r="AI430" i="1"/>
  <c r="AJ430" i="1"/>
  <c r="AK430" i="1"/>
  <c r="AL430" i="1"/>
  <c r="AM430" i="1" s="1"/>
  <c r="D431" i="1"/>
  <c r="E431" i="1"/>
  <c r="Q431" i="1"/>
  <c r="S431" i="1"/>
  <c r="T431" i="1"/>
  <c r="U431" i="1"/>
  <c r="V431" i="1" s="1"/>
  <c r="W431" i="1"/>
  <c r="X431" i="1" a="1"/>
  <c r="X431" i="1"/>
  <c r="Y431" i="1"/>
  <c r="Z431" i="1" s="1"/>
  <c r="AA431" i="1"/>
  <c r="AE431" i="1"/>
  <c r="AG431" i="1"/>
  <c r="AH431" i="1"/>
  <c r="AI431" i="1"/>
  <c r="AJ431" i="1"/>
  <c r="AK431" i="1"/>
  <c r="AL431" i="1"/>
  <c r="AM431" i="1"/>
  <c r="D432" i="1"/>
  <c r="AE432" i="1" s="1"/>
  <c r="E432" i="1"/>
  <c r="Q432" i="1"/>
  <c r="AH432" i="1" s="1"/>
  <c r="S432" i="1"/>
  <c r="X432" i="1" s="1" a="1"/>
  <c r="T432" i="1"/>
  <c r="U432" i="1"/>
  <c r="V432" i="1" s="1"/>
  <c r="W432" i="1" s="1"/>
  <c r="X432" i="1"/>
  <c r="Y432" i="1"/>
  <c r="Z432" i="1" s="1"/>
  <c r="AA432" i="1"/>
  <c r="AG432" i="1"/>
  <c r="AI432" i="1"/>
  <c r="AJ432" i="1"/>
  <c r="AK432" i="1"/>
  <c r="AL432" i="1"/>
  <c r="AM432" i="1" s="1"/>
  <c r="D433" i="1"/>
  <c r="AE433" i="1" s="1"/>
  <c r="E433" i="1"/>
  <c r="Q433" i="1"/>
  <c r="S433" i="1"/>
  <c r="X433" i="1" s="1" a="1"/>
  <c r="X433" i="1" s="1"/>
  <c r="T433" i="1"/>
  <c r="U433" i="1"/>
  <c r="V433" i="1"/>
  <c r="W433" i="1" s="1"/>
  <c r="Y433" i="1"/>
  <c r="Z433" i="1" s="1"/>
  <c r="AA433" i="1"/>
  <c r="AG433" i="1"/>
  <c r="AH433" i="1"/>
  <c r="AI433" i="1"/>
  <c r="AJ433" i="1"/>
  <c r="AK433" i="1"/>
  <c r="AL433" i="1"/>
  <c r="AM433" i="1"/>
  <c r="D434" i="1"/>
  <c r="E434" i="1"/>
  <c r="Q434" i="1"/>
  <c r="S434" i="1"/>
  <c r="X434" i="1" s="1" a="1"/>
  <c r="X434" i="1" s="1"/>
  <c r="T434" i="1"/>
  <c r="V434" i="1" s="1"/>
  <c r="W434" i="1" s="1"/>
  <c r="U434" i="1"/>
  <c r="Y434" i="1"/>
  <c r="Z434" i="1"/>
  <c r="AA434" i="1"/>
  <c r="AE434" i="1"/>
  <c r="AG434" i="1"/>
  <c r="AH434" i="1"/>
  <c r="AI434" i="1"/>
  <c r="AJ434" i="1" s="1"/>
  <c r="AK434" i="1"/>
  <c r="AL434" i="1"/>
  <c r="AM434" i="1"/>
  <c r="D435" i="1"/>
  <c r="E435" i="1"/>
  <c r="Q435" i="1"/>
  <c r="S435" i="1"/>
  <c r="X435" i="1" s="1" a="1"/>
  <c r="X435" i="1" s="1"/>
  <c r="T435" i="1"/>
  <c r="U435" i="1"/>
  <c r="V435" i="1" s="1"/>
  <c r="W435" i="1" s="1"/>
  <c r="Y435" i="1"/>
  <c r="Z435" i="1" s="1"/>
  <c r="AA435" i="1"/>
  <c r="AE435" i="1"/>
  <c r="AG435" i="1"/>
  <c r="AH435" i="1"/>
  <c r="AI435" i="1"/>
  <c r="AJ435" i="1"/>
  <c r="AK435" i="1"/>
  <c r="AL435" i="1"/>
  <c r="AM435" i="1"/>
  <c r="D436" i="1"/>
  <c r="E436" i="1"/>
  <c r="Q436" i="1"/>
  <c r="AH436" i="1" s="1"/>
  <c r="S436" i="1"/>
  <c r="X436" i="1" s="1" a="1"/>
  <c r="X436" i="1" s="1"/>
  <c r="T436" i="1"/>
  <c r="V436" i="1" s="1"/>
  <c r="W436" i="1" s="1"/>
  <c r="U436" i="1"/>
  <c r="Y436" i="1"/>
  <c r="Z436" i="1" s="1"/>
  <c r="AA436" i="1"/>
  <c r="AE436" i="1"/>
  <c r="AG436" i="1"/>
  <c r="AI436" i="1"/>
  <c r="AJ436" i="1"/>
  <c r="AK436" i="1"/>
  <c r="AL436" i="1"/>
  <c r="AM436" i="1"/>
  <c r="D437" i="1"/>
  <c r="AE437" i="1" s="1"/>
  <c r="E437" i="1"/>
  <c r="Q437" i="1"/>
  <c r="S437" i="1"/>
  <c r="X437" i="1" s="1" a="1"/>
  <c r="X437" i="1" s="1"/>
  <c r="T437" i="1"/>
  <c r="U437" i="1"/>
  <c r="V437" i="1"/>
  <c r="W437" i="1"/>
  <c r="Y437" i="1"/>
  <c r="Z437" i="1"/>
  <c r="AA437" i="1"/>
  <c r="AG437" i="1"/>
  <c r="AH437" i="1"/>
  <c r="AI437" i="1"/>
  <c r="AJ437" i="1" s="1"/>
  <c r="AK437" i="1"/>
  <c r="AL437" i="1"/>
  <c r="AM437" i="1"/>
  <c r="D438" i="1"/>
  <c r="AE438" i="1" s="1"/>
  <c r="E438" i="1"/>
  <c r="Q438" i="1"/>
  <c r="S438" i="1"/>
  <c r="T438" i="1"/>
  <c r="V438" i="1" s="1"/>
  <c r="U438" i="1"/>
  <c r="W438" i="1"/>
  <c r="X438" i="1" a="1"/>
  <c r="X438" i="1" s="1"/>
  <c r="Y438" i="1"/>
  <c r="Z438" i="1" s="1"/>
  <c r="AA438" i="1"/>
  <c r="AG438" i="1"/>
  <c r="AH438" i="1"/>
  <c r="AI438" i="1"/>
  <c r="AJ438" i="1" s="1"/>
  <c r="AK438" i="1"/>
  <c r="AL438" i="1"/>
  <c r="AM438" i="1" s="1"/>
  <c r="D439" i="1"/>
  <c r="E439" i="1"/>
  <c r="Q439" i="1"/>
  <c r="S439" i="1"/>
  <c r="X439" i="1" s="1" a="1"/>
  <c r="T439" i="1"/>
  <c r="U439" i="1"/>
  <c r="V439" i="1"/>
  <c r="W439" i="1"/>
  <c r="X439" i="1"/>
  <c r="Y439" i="1"/>
  <c r="Z439" i="1" s="1"/>
  <c r="AA439" i="1"/>
  <c r="AE439" i="1"/>
  <c r="AG439" i="1"/>
  <c r="AH439" i="1"/>
  <c r="AI439" i="1"/>
  <c r="AJ439" i="1" s="1"/>
  <c r="AK439" i="1"/>
  <c r="AL439" i="1"/>
  <c r="AM439" i="1"/>
  <c r="D440" i="1"/>
  <c r="E440" i="1"/>
  <c r="Q440" i="1"/>
  <c r="AH440" i="1" s="1"/>
  <c r="S440" i="1"/>
  <c r="X440" i="1" s="1" a="1"/>
  <c r="T440" i="1"/>
  <c r="U440" i="1"/>
  <c r="V440" i="1"/>
  <c r="W440" i="1" s="1"/>
  <c r="X440" i="1"/>
  <c r="Y440" i="1"/>
  <c r="Z440" i="1" s="1"/>
  <c r="AA440" i="1"/>
  <c r="AE440" i="1"/>
  <c r="AG440" i="1"/>
  <c r="AI440" i="1"/>
  <c r="AJ440" i="1"/>
  <c r="AK440" i="1"/>
  <c r="AL440" i="1"/>
  <c r="AM440" i="1"/>
  <c r="D441" i="1"/>
  <c r="E441" i="1"/>
  <c r="Q441" i="1"/>
  <c r="AH441" i="1" s="1"/>
  <c r="S441" i="1"/>
  <c r="X441" i="1" s="1" a="1"/>
  <c r="X441" i="1" s="1"/>
  <c r="T441" i="1"/>
  <c r="V441" i="1" s="1"/>
  <c r="U441" i="1"/>
  <c r="W441" i="1"/>
  <c r="Y441" i="1"/>
  <c r="Z441" i="1"/>
  <c r="AA441" i="1"/>
  <c r="AE441" i="1"/>
  <c r="AG441" i="1"/>
  <c r="AI441" i="1"/>
  <c r="AJ441" i="1" s="1"/>
  <c r="AK441" i="1"/>
  <c r="AL441" i="1"/>
  <c r="AM441" i="1"/>
  <c r="D442" i="1"/>
  <c r="AE442" i="1" s="1"/>
  <c r="E442" i="1"/>
  <c r="Q442" i="1"/>
  <c r="S442" i="1"/>
  <c r="X442" i="1" s="1" a="1"/>
  <c r="X442" i="1" s="1"/>
  <c r="T442" i="1"/>
  <c r="V442" i="1" s="1"/>
  <c r="W442" i="1" s="1"/>
  <c r="U442" i="1"/>
  <c r="Y442" i="1"/>
  <c r="Z442" i="1" s="1"/>
  <c r="AA442" i="1"/>
  <c r="AG442" i="1"/>
  <c r="AH442" i="1"/>
  <c r="AI442" i="1"/>
  <c r="AJ442" i="1" s="1"/>
  <c r="AK442" i="1"/>
  <c r="AL442" i="1"/>
  <c r="AM442" i="1" s="1"/>
  <c r="D443" i="1"/>
  <c r="AE443" i="1" s="1"/>
  <c r="E443" i="1"/>
  <c r="Q443" i="1"/>
  <c r="AH443" i="1" s="1"/>
  <c r="S443" i="1"/>
  <c r="T443" i="1"/>
  <c r="V443" i="1" s="1"/>
  <c r="W443" i="1" s="1"/>
  <c r="U443" i="1"/>
  <c r="X443" i="1" a="1"/>
  <c r="X443" i="1"/>
  <c r="Y443" i="1"/>
  <c r="Z443" i="1" s="1"/>
  <c r="AA443" i="1"/>
  <c r="AG443" i="1"/>
  <c r="AI443" i="1"/>
  <c r="AJ443" i="1"/>
  <c r="AK443" i="1"/>
  <c r="AL443" i="1"/>
  <c r="AM443" i="1"/>
  <c r="D444" i="1"/>
  <c r="AE444" i="1" s="1"/>
  <c r="E444" i="1"/>
  <c r="Q444" i="1"/>
  <c r="S444" i="1"/>
  <c r="X444" i="1" s="1" a="1"/>
  <c r="X444" i="1" s="1"/>
  <c r="T444" i="1"/>
  <c r="U444" i="1"/>
  <c r="V444" i="1"/>
  <c r="W444" i="1"/>
  <c r="Y444" i="1"/>
  <c r="Z444" i="1" s="1"/>
  <c r="AA444" i="1"/>
  <c r="AG444" i="1"/>
  <c r="AH444" i="1"/>
  <c r="AI444" i="1"/>
  <c r="AJ444" i="1"/>
  <c r="AK444" i="1"/>
  <c r="AL444" i="1"/>
  <c r="AM444" i="1" s="1"/>
  <c r="D445" i="1"/>
  <c r="E445" i="1"/>
  <c r="Q445" i="1"/>
  <c r="AH445" i="1" s="1"/>
  <c r="S445" i="1"/>
  <c r="T445" i="1"/>
  <c r="V445" i="1" s="1"/>
  <c r="U445" i="1"/>
  <c r="W445" i="1"/>
  <c r="X445" i="1" a="1"/>
  <c r="X445" i="1" s="1"/>
  <c r="Y445" i="1"/>
  <c r="Z445" i="1"/>
  <c r="AA445" i="1"/>
  <c r="AE445" i="1"/>
  <c r="AG445" i="1"/>
  <c r="AI445" i="1"/>
  <c r="AJ445" i="1" s="1"/>
  <c r="AK445" i="1"/>
  <c r="AL445" i="1"/>
  <c r="AM445" i="1" s="1"/>
  <c r="D446" i="1"/>
  <c r="E446" i="1"/>
  <c r="Q446" i="1"/>
  <c r="S446" i="1"/>
  <c r="X446" i="1" s="1" a="1"/>
  <c r="T446" i="1"/>
  <c r="U446" i="1"/>
  <c r="V446" i="1"/>
  <c r="W446" i="1" s="1"/>
  <c r="X446" i="1"/>
  <c r="Y446" i="1"/>
  <c r="Z446" i="1" s="1"/>
  <c r="AA446" i="1"/>
  <c r="AE446" i="1"/>
  <c r="AG446" i="1"/>
  <c r="AH446" i="1"/>
  <c r="AI446" i="1"/>
  <c r="AJ446" i="1" s="1"/>
  <c r="AK446" i="1"/>
  <c r="AL446" i="1"/>
  <c r="AM446" i="1" s="1"/>
  <c r="D447" i="1"/>
  <c r="E447" i="1"/>
  <c r="Q447" i="1"/>
  <c r="S447" i="1"/>
  <c r="T447" i="1"/>
  <c r="V447" i="1" s="1"/>
  <c r="W447" i="1" s="1"/>
  <c r="U447" i="1"/>
  <c r="X447" i="1" a="1"/>
  <c r="X447" i="1" s="1"/>
  <c r="Y447" i="1"/>
  <c r="Z447" i="1"/>
  <c r="AA447" i="1"/>
  <c r="AE447" i="1"/>
  <c r="AG447" i="1"/>
  <c r="AH447" i="1"/>
  <c r="AI447" i="1"/>
  <c r="AJ447" i="1" s="1"/>
  <c r="AK447" i="1"/>
  <c r="AL447" i="1"/>
  <c r="AM447" i="1" s="1"/>
  <c r="D448" i="1"/>
  <c r="E448" i="1"/>
  <c r="Q448" i="1"/>
  <c r="AH448" i="1" s="1"/>
  <c r="S448" i="1"/>
  <c r="X448" i="1" s="1" a="1"/>
  <c r="X448" i="1" s="1"/>
  <c r="T448" i="1"/>
  <c r="U448" i="1"/>
  <c r="V448" i="1"/>
  <c r="W448" i="1" s="1"/>
  <c r="Y448" i="1"/>
  <c r="Z448" i="1" s="1"/>
  <c r="AA448" i="1"/>
  <c r="AE448" i="1"/>
  <c r="AG448" i="1"/>
  <c r="AI448" i="1"/>
  <c r="AJ448" i="1" s="1"/>
  <c r="AK448" i="1"/>
  <c r="AL448" i="1"/>
  <c r="AM448" i="1" s="1"/>
  <c r="D449" i="1"/>
  <c r="AE449" i="1" s="1"/>
  <c r="E449" i="1"/>
  <c r="Q449" i="1"/>
  <c r="S449" i="1"/>
  <c r="X449" i="1" s="1" a="1"/>
  <c r="X449" i="1" s="1"/>
  <c r="T449" i="1"/>
  <c r="V449" i="1" s="1"/>
  <c r="W449" i="1" s="1"/>
  <c r="U449" i="1"/>
  <c r="Y449" i="1"/>
  <c r="Z449" i="1" s="1"/>
  <c r="AA449" i="1"/>
  <c r="AG449" i="1"/>
  <c r="AH449" i="1"/>
  <c r="AI449" i="1"/>
  <c r="AJ449" i="1" s="1"/>
  <c r="AK449" i="1"/>
  <c r="AL449" i="1"/>
  <c r="AM449" i="1" s="1"/>
  <c r="D450" i="1"/>
  <c r="E450" i="1"/>
  <c r="Q450" i="1"/>
  <c r="S450" i="1"/>
  <c r="T450" i="1"/>
  <c r="U450" i="1"/>
  <c r="X450" i="1" a="1"/>
  <c r="X450" i="1" s="1"/>
  <c r="Y450" i="1"/>
  <c r="Z450" i="1" s="1"/>
  <c r="AA450" i="1"/>
  <c r="AE450" i="1"/>
  <c r="AG450" i="1"/>
  <c r="AH450" i="1"/>
  <c r="AI450" i="1"/>
  <c r="AJ450" i="1"/>
  <c r="AK450" i="1"/>
  <c r="AL450" i="1"/>
  <c r="AM450" i="1" s="1"/>
  <c r="D451" i="1"/>
  <c r="E451" i="1"/>
  <c r="Q451" i="1"/>
  <c r="AH451" i="1" s="1"/>
  <c r="S451" i="1"/>
  <c r="T451" i="1"/>
  <c r="U451" i="1"/>
  <c r="V451" i="1" s="1"/>
  <c r="W451" i="1" s="1"/>
  <c r="X451" i="1" a="1"/>
  <c r="X451" i="1"/>
  <c r="Y451" i="1"/>
  <c r="Z451" i="1"/>
  <c r="AA451" i="1"/>
  <c r="AE451" i="1"/>
  <c r="AG451" i="1"/>
  <c r="AI451" i="1"/>
  <c r="AJ451" i="1"/>
  <c r="AK451" i="1"/>
  <c r="AL451" i="1"/>
  <c r="AM451" i="1" s="1"/>
  <c r="D452" i="1"/>
  <c r="E452" i="1"/>
  <c r="Q452" i="1"/>
  <c r="AH452" i="1" s="1"/>
  <c r="S452" i="1"/>
  <c r="X452" i="1" s="1" a="1"/>
  <c r="X452" i="1" s="1"/>
  <c r="T452" i="1"/>
  <c r="V452" i="1" s="1"/>
  <c r="W452" i="1" s="1"/>
  <c r="U452" i="1"/>
  <c r="Y452" i="1"/>
  <c r="Z452" i="1"/>
  <c r="AA452" i="1"/>
  <c r="AE452" i="1"/>
  <c r="AG452" i="1"/>
  <c r="AI452" i="1"/>
  <c r="AJ452" i="1" s="1"/>
  <c r="AK452" i="1"/>
  <c r="AL452" i="1"/>
  <c r="AM452" i="1" s="1"/>
  <c r="D453" i="1"/>
  <c r="AE453" i="1" s="1"/>
  <c r="E453" i="1"/>
  <c r="Q453" i="1"/>
  <c r="AH453" i="1" s="1"/>
  <c r="S453" i="1"/>
  <c r="X453" i="1" s="1" a="1"/>
  <c r="X453" i="1" s="1"/>
  <c r="T453" i="1"/>
  <c r="V453" i="1" s="1"/>
  <c r="W453" i="1" s="1"/>
  <c r="U453" i="1"/>
  <c r="Y453" i="1"/>
  <c r="Z453" i="1"/>
  <c r="AA453" i="1"/>
  <c r="AG453" i="1"/>
  <c r="AI453" i="1"/>
  <c r="AJ453" i="1" s="1"/>
  <c r="AK453" i="1"/>
  <c r="AL453" i="1"/>
  <c r="AM453" i="1"/>
  <c r="D454" i="1"/>
  <c r="AE454" i="1" s="1"/>
  <c r="E454" i="1"/>
  <c r="Q454" i="1"/>
  <c r="S454" i="1"/>
  <c r="T454" i="1"/>
  <c r="U454" i="1"/>
  <c r="X454" i="1" a="1"/>
  <c r="X454" i="1" s="1"/>
  <c r="Y454" i="1"/>
  <c r="Z454" i="1" s="1"/>
  <c r="AA454" i="1"/>
  <c r="AG454" i="1"/>
  <c r="AH454" i="1"/>
  <c r="AI454" i="1"/>
  <c r="AJ454" i="1" s="1"/>
  <c r="AK454" i="1"/>
  <c r="AL454" i="1"/>
  <c r="AM454" i="1" s="1"/>
  <c r="D455" i="1"/>
  <c r="E455" i="1"/>
  <c r="Q455" i="1"/>
  <c r="S455" i="1"/>
  <c r="T455" i="1"/>
  <c r="U455" i="1"/>
  <c r="V455" i="1"/>
  <c r="W455" i="1" s="1"/>
  <c r="X455" i="1" a="1"/>
  <c r="X455" i="1" s="1"/>
  <c r="Y455" i="1"/>
  <c r="Z455" i="1"/>
  <c r="AA455" i="1"/>
  <c r="AE455" i="1"/>
  <c r="AG455" i="1"/>
  <c r="AH455" i="1"/>
  <c r="AI455" i="1"/>
  <c r="AJ455" i="1" s="1"/>
  <c r="AK455" i="1"/>
  <c r="AL455" i="1"/>
  <c r="AM455" i="1" s="1"/>
  <c r="D456" i="1"/>
  <c r="E456" i="1"/>
  <c r="Q456" i="1"/>
  <c r="AH456" i="1" s="1"/>
  <c r="S456" i="1"/>
  <c r="X456" i="1" s="1" a="1"/>
  <c r="X456" i="1" s="1"/>
  <c r="T456" i="1"/>
  <c r="U456" i="1"/>
  <c r="V456" i="1"/>
  <c r="W456" i="1" s="1"/>
  <c r="Y456" i="1"/>
  <c r="Z456" i="1" s="1"/>
  <c r="AA456" i="1"/>
  <c r="AE456" i="1"/>
  <c r="AG456" i="1"/>
  <c r="AI456" i="1"/>
  <c r="AJ456" i="1" s="1"/>
  <c r="AK456" i="1"/>
  <c r="AL456" i="1"/>
  <c r="AM456" i="1" s="1"/>
  <c r="D457" i="1"/>
  <c r="AE457" i="1" s="1"/>
  <c r="E457" i="1"/>
  <c r="Q457" i="1"/>
  <c r="AH457" i="1" s="1"/>
  <c r="S457" i="1"/>
  <c r="T457" i="1"/>
  <c r="V457" i="1" s="1"/>
  <c r="U457" i="1"/>
  <c r="W457" i="1"/>
  <c r="X457" i="1" a="1"/>
  <c r="X457" i="1" s="1"/>
  <c r="Y457" i="1"/>
  <c r="Z457" i="1"/>
  <c r="AA457" i="1"/>
  <c r="AG457" i="1"/>
  <c r="AI457" i="1"/>
  <c r="AJ457" i="1" s="1"/>
  <c r="AK457" i="1"/>
  <c r="AL457" i="1"/>
  <c r="AM457" i="1" s="1"/>
  <c r="D458" i="1"/>
  <c r="AE458" i="1" s="1"/>
  <c r="E458" i="1"/>
  <c r="Q458" i="1"/>
  <c r="S458" i="1"/>
  <c r="T458" i="1"/>
  <c r="V458" i="1" s="1"/>
  <c r="W458" i="1" s="1"/>
  <c r="U458" i="1"/>
  <c r="X458" i="1" a="1"/>
  <c r="X458" i="1"/>
  <c r="Y458" i="1"/>
  <c r="Z458" i="1" s="1"/>
  <c r="AA458" i="1"/>
  <c r="AG458" i="1"/>
  <c r="AH458" i="1"/>
  <c r="AI458" i="1"/>
  <c r="AJ458" i="1" s="1"/>
  <c r="AK458" i="1"/>
  <c r="AL458" i="1"/>
  <c r="AM458" i="1" s="1"/>
  <c r="D459" i="1"/>
  <c r="E459" i="1"/>
  <c r="Q459" i="1"/>
  <c r="AH459" i="1" s="1"/>
  <c r="S459" i="1"/>
  <c r="T459" i="1"/>
  <c r="U459" i="1"/>
  <c r="X459" i="1" a="1"/>
  <c r="X459" i="1"/>
  <c r="Y459" i="1"/>
  <c r="Z459" i="1"/>
  <c r="AA459" i="1"/>
  <c r="AE459" i="1"/>
  <c r="AG459" i="1"/>
  <c r="AI459" i="1"/>
  <c r="AJ459" i="1" s="1"/>
  <c r="AK459" i="1"/>
  <c r="AL459" i="1"/>
  <c r="AM459" i="1" s="1"/>
  <c r="D460" i="1"/>
  <c r="E460" i="1"/>
  <c r="Q460" i="1"/>
  <c r="AH460" i="1" s="1"/>
  <c r="S460" i="1"/>
  <c r="X460" i="1" s="1" a="1"/>
  <c r="X460" i="1" s="1"/>
  <c r="T460" i="1"/>
  <c r="V460" i="1" s="1"/>
  <c r="W460" i="1" s="1"/>
  <c r="U460" i="1"/>
  <c r="Y460" i="1"/>
  <c r="Z460" i="1"/>
  <c r="AA460" i="1"/>
  <c r="AE460" i="1"/>
  <c r="AG460" i="1"/>
  <c r="AI460" i="1"/>
  <c r="AJ460" i="1" s="1"/>
  <c r="AK460" i="1"/>
  <c r="AL460" i="1"/>
  <c r="AM460" i="1" s="1"/>
  <c r="D461" i="1"/>
  <c r="AE461" i="1" s="1"/>
  <c r="E461" i="1"/>
  <c r="Q461" i="1"/>
  <c r="S461" i="1"/>
  <c r="T461" i="1"/>
  <c r="U461" i="1"/>
  <c r="V461" i="1" s="1"/>
  <c r="W461" i="1"/>
  <c r="X461" i="1" a="1"/>
  <c r="X461" i="1" s="1"/>
  <c r="Y461" i="1"/>
  <c r="Z461" i="1"/>
  <c r="AA461" i="1"/>
  <c r="AG461" i="1"/>
  <c r="AH461" i="1"/>
  <c r="AI461" i="1"/>
  <c r="AJ461" i="1" s="1"/>
  <c r="AK461" i="1"/>
  <c r="AL461" i="1"/>
  <c r="AM461" i="1"/>
  <c r="D462" i="1"/>
  <c r="E462" i="1"/>
  <c r="Q462" i="1"/>
  <c r="S462" i="1"/>
  <c r="T462" i="1"/>
  <c r="V462" i="1" s="1"/>
  <c r="W462" i="1" s="1"/>
  <c r="U462" i="1"/>
  <c r="X462" i="1" a="1"/>
  <c r="X462" i="1"/>
  <c r="Y462" i="1"/>
  <c r="Z462" i="1" s="1"/>
  <c r="AA462" i="1"/>
  <c r="AE462" i="1"/>
  <c r="AG462" i="1"/>
  <c r="AH462" i="1"/>
  <c r="AI462" i="1"/>
  <c r="AJ462" i="1" s="1"/>
  <c r="AK462" i="1"/>
  <c r="AL462" i="1"/>
  <c r="AM462" i="1" s="1"/>
  <c r="D463" i="1"/>
  <c r="E463" i="1"/>
  <c r="Q463" i="1"/>
  <c r="S463" i="1"/>
  <c r="T463" i="1"/>
  <c r="U463" i="1"/>
  <c r="V463" i="1"/>
  <c r="W463" i="1"/>
  <c r="X463" i="1" a="1"/>
  <c r="X463" i="1" s="1"/>
  <c r="Y463" i="1"/>
  <c r="Z463" i="1"/>
  <c r="AA463" i="1"/>
  <c r="AE463" i="1"/>
  <c r="AG463" i="1"/>
  <c r="AH463" i="1"/>
  <c r="AI463" i="1"/>
  <c r="AJ463" i="1"/>
  <c r="AK463" i="1"/>
  <c r="AL463" i="1"/>
  <c r="AM463" i="1"/>
  <c r="D464" i="1"/>
  <c r="E464" i="1"/>
  <c r="Q464" i="1"/>
  <c r="AH464" i="1" s="1"/>
  <c r="S464" i="1"/>
  <c r="X464" i="1" s="1" a="1"/>
  <c r="X464" i="1" s="1"/>
  <c r="T464" i="1"/>
  <c r="V464" i="1" s="1"/>
  <c r="W464" i="1" s="1"/>
  <c r="U464" i="1"/>
  <c r="Y464" i="1"/>
  <c r="Z464" i="1"/>
  <c r="AA464" i="1"/>
  <c r="AE464" i="1"/>
  <c r="AG464" i="1"/>
  <c r="AI464" i="1"/>
  <c r="AJ464" i="1"/>
  <c r="AK464" i="1"/>
  <c r="AL464" i="1"/>
  <c r="AM464" i="1" s="1"/>
  <c r="D465" i="1"/>
  <c r="AE465" i="1" s="1"/>
  <c r="E465" i="1"/>
  <c r="Q465" i="1"/>
  <c r="AH465" i="1" s="1"/>
  <c r="S465" i="1"/>
  <c r="T465" i="1"/>
  <c r="U465" i="1"/>
  <c r="V465" i="1"/>
  <c r="W465" i="1"/>
  <c r="X465" i="1" a="1"/>
  <c r="X465" i="1" s="1"/>
  <c r="Y465" i="1"/>
  <c r="Z465" i="1"/>
  <c r="AA465" i="1"/>
  <c r="AG465" i="1"/>
  <c r="AI465" i="1"/>
  <c r="AJ465" i="1" s="1"/>
  <c r="AK465" i="1"/>
  <c r="AL465" i="1"/>
  <c r="AM465" i="1"/>
  <c r="D466" i="1"/>
  <c r="E466" i="1"/>
  <c r="Q466" i="1"/>
  <c r="S466" i="1"/>
  <c r="T466" i="1"/>
  <c r="U466" i="1"/>
  <c r="X466" i="1" a="1"/>
  <c r="X466" i="1"/>
  <c r="Y466" i="1"/>
  <c r="Z466" i="1" s="1"/>
  <c r="AA466" i="1"/>
  <c r="AE466" i="1"/>
  <c r="AG466" i="1"/>
  <c r="AH466" i="1"/>
  <c r="AI466" i="1"/>
  <c r="AJ466" i="1"/>
  <c r="AK466" i="1"/>
  <c r="AL466" i="1"/>
  <c r="AM466" i="1"/>
  <c r="D467" i="1"/>
  <c r="E467" i="1"/>
  <c r="Q467" i="1"/>
  <c r="S467" i="1"/>
  <c r="T467" i="1"/>
  <c r="V467" i="1" s="1"/>
  <c r="W467" i="1" s="1"/>
  <c r="U467" i="1"/>
  <c r="X467" i="1" a="1"/>
  <c r="X467" i="1"/>
  <c r="Y467" i="1"/>
  <c r="Z467" i="1"/>
  <c r="AA467" i="1"/>
  <c r="AE467" i="1"/>
  <c r="AG467" i="1"/>
  <c r="AH467" i="1"/>
  <c r="AI467" i="1"/>
  <c r="AJ467" i="1"/>
  <c r="AK467" i="1"/>
  <c r="AL467" i="1"/>
  <c r="AM467" i="1"/>
  <c r="D468" i="1"/>
  <c r="E468" i="1"/>
  <c r="Q468" i="1"/>
  <c r="AH468" i="1" s="1"/>
  <c r="S468" i="1"/>
  <c r="X468" i="1" s="1" a="1"/>
  <c r="X468" i="1" s="1"/>
  <c r="T468" i="1"/>
  <c r="V468" i="1" s="1"/>
  <c r="W468" i="1" s="1"/>
  <c r="U468" i="1"/>
  <c r="Y468" i="1"/>
  <c r="Z468" i="1" s="1"/>
  <c r="AA468" i="1"/>
  <c r="AE468" i="1"/>
  <c r="AG468" i="1"/>
  <c r="AI468" i="1"/>
  <c r="AJ468" i="1"/>
  <c r="AK468" i="1"/>
  <c r="AL468" i="1"/>
  <c r="AM468" i="1" s="1"/>
  <c r="D469" i="1"/>
  <c r="AE469" i="1" s="1"/>
  <c r="E469" i="1"/>
  <c r="Q469" i="1"/>
  <c r="AH469" i="1" s="1"/>
  <c r="S469" i="1"/>
  <c r="X469" i="1" s="1" a="1"/>
  <c r="X469" i="1" s="1"/>
  <c r="T469" i="1"/>
  <c r="U469" i="1"/>
  <c r="V469" i="1"/>
  <c r="W469" i="1"/>
  <c r="Y469" i="1"/>
  <c r="Z469" i="1" s="1"/>
  <c r="AA469" i="1"/>
  <c r="AG469" i="1"/>
  <c r="AI469" i="1"/>
  <c r="AJ469" i="1" s="1"/>
  <c r="AK469" i="1"/>
  <c r="AL469" i="1"/>
  <c r="AM469" i="1"/>
  <c r="D470" i="1"/>
  <c r="E470" i="1"/>
  <c r="Q470" i="1"/>
  <c r="S470" i="1"/>
  <c r="T470" i="1"/>
  <c r="V470" i="1" s="1"/>
  <c r="W470" i="1" s="1"/>
  <c r="U470" i="1"/>
  <c r="X470" i="1" a="1"/>
  <c r="X470" i="1" s="1"/>
  <c r="Y470" i="1"/>
  <c r="Z470" i="1"/>
  <c r="AA470" i="1"/>
  <c r="AE470" i="1"/>
  <c r="AG470" i="1"/>
  <c r="AH470" i="1"/>
  <c r="AI470" i="1"/>
  <c r="AJ470" i="1"/>
  <c r="AK470" i="1"/>
  <c r="AL470" i="1"/>
  <c r="AM470" i="1" s="1"/>
  <c r="D471" i="1"/>
  <c r="E471" i="1"/>
  <c r="Q471" i="1"/>
  <c r="S471" i="1"/>
  <c r="T471" i="1"/>
  <c r="V471" i="1" s="1"/>
  <c r="W471" i="1" s="1"/>
  <c r="U471" i="1"/>
  <c r="X471" i="1" a="1"/>
  <c r="X471" i="1" s="1"/>
  <c r="Y471" i="1"/>
  <c r="Z471" i="1"/>
  <c r="AA471" i="1"/>
  <c r="AE471" i="1"/>
  <c r="AG471" i="1"/>
  <c r="AH471" i="1"/>
  <c r="AI471" i="1"/>
  <c r="AJ471" i="1" s="1"/>
  <c r="AK471" i="1"/>
  <c r="AL471" i="1"/>
  <c r="AM471" i="1"/>
  <c r="D472" i="1"/>
  <c r="E472" i="1"/>
  <c r="Q472" i="1"/>
  <c r="AH472" i="1" s="1"/>
  <c r="S472" i="1"/>
  <c r="X472" i="1" s="1" a="1"/>
  <c r="X472" i="1" s="1"/>
  <c r="T472" i="1"/>
  <c r="U472" i="1"/>
  <c r="Y472" i="1"/>
  <c r="Z472" i="1"/>
  <c r="AA472" i="1"/>
  <c r="AE472" i="1"/>
  <c r="AG472" i="1"/>
  <c r="AI472" i="1"/>
  <c r="AJ472" i="1"/>
  <c r="AK472" i="1"/>
  <c r="AL472" i="1"/>
  <c r="AM472" i="1" s="1"/>
  <c r="D473" i="1"/>
  <c r="AE473" i="1" s="1"/>
  <c r="E473" i="1"/>
  <c r="Q473" i="1"/>
  <c r="AH473" i="1" s="1"/>
  <c r="S473" i="1"/>
  <c r="T473" i="1"/>
  <c r="U473" i="1"/>
  <c r="V473" i="1"/>
  <c r="W473" i="1"/>
  <c r="X473" i="1" a="1"/>
  <c r="X473" i="1" s="1"/>
  <c r="Y473" i="1"/>
  <c r="Z473" i="1"/>
  <c r="AA473" i="1"/>
  <c r="AG473" i="1"/>
  <c r="AI473" i="1"/>
  <c r="AJ473" i="1" s="1"/>
  <c r="AK473" i="1"/>
  <c r="AL473" i="1"/>
  <c r="AM473" i="1" s="1"/>
  <c r="D474" i="1"/>
  <c r="E474" i="1"/>
  <c r="Q474" i="1"/>
  <c r="S474" i="1"/>
  <c r="T474" i="1"/>
  <c r="U474" i="1"/>
  <c r="X474" i="1" a="1"/>
  <c r="X474" i="1"/>
  <c r="Y474" i="1"/>
  <c r="Z474" i="1" s="1"/>
  <c r="AA474" i="1"/>
  <c r="AE474" i="1"/>
  <c r="AG474" i="1"/>
  <c r="AH474" i="1"/>
  <c r="AI474" i="1"/>
  <c r="AJ474" i="1" s="1"/>
  <c r="AK474" i="1"/>
  <c r="AL474" i="1"/>
  <c r="AM474" i="1" s="1"/>
  <c r="D475" i="1"/>
  <c r="E475" i="1"/>
  <c r="Q475" i="1"/>
  <c r="S475" i="1"/>
  <c r="T475" i="1"/>
  <c r="U475" i="1"/>
  <c r="V475" i="1" s="1"/>
  <c r="W475" i="1" s="1"/>
  <c r="X475" i="1" a="1"/>
  <c r="X475" i="1"/>
  <c r="Y475" i="1"/>
  <c r="Z475" i="1"/>
  <c r="AA475" i="1"/>
  <c r="AE475" i="1"/>
  <c r="AG475" i="1"/>
  <c r="AH475" i="1"/>
  <c r="AI475" i="1"/>
  <c r="AJ475" i="1" s="1"/>
  <c r="AK475" i="1"/>
  <c r="AL475" i="1"/>
  <c r="AM475" i="1"/>
  <c r="D476" i="1"/>
  <c r="E476" i="1"/>
  <c r="Q476" i="1"/>
  <c r="AH476" i="1" s="1"/>
  <c r="S476" i="1"/>
  <c r="X476" i="1" s="1" a="1"/>
  <c r="X476" i="1" s="1"/>
  <c r="T476" i="1"/>
  <c r="U476" i="1"/>
  <c r="V476" i="1"/>
  <c r="W476" i="1" s="1"/>
  <c r="Y476" i="1"/>
  <c r="Z476" i="1" s="1"/>
  <c r="AA476" i="1"/>
  <c r="AE476" i="1"/>
  <c r="AG476" i="1"/>
  <c r="AI476" i="1"/>
  <c r="AJ476" i="1"/>
  <c r="AK476" i="1"/>
  <c r="AL476" i="1"/>
  <c r="AM476" i="1" s="1"/>
  <c r="D477" i="1"/>
  <c r="AE477" i="1" s="1"/>
  <c r="E477" i="1"/>
  <c r="Q477" i="1"/>
  <c r="AH477" i="1" s="1"/>
  <c r="S477" i="1"/>
  <c r="T477" i="1"/>
  <c r="U477" i="1"/>
  <c r="V477" i="1"/>
  <c r="W477" i="1"/>
  <c r="X477" i="1" a="1"/>
  <c r="X477" i="1" s="1"/>
  <c r="Y477" i="1"/>
  <c r="Z477" i="1"/>
  <c r="AA477" i="1"/>
  <c r="AG477" i="1"/>
  <c r="AI477" i="1"/>
  <c r="AJ477" i="1" s="1"/>
  <c r="AK477" i="1"/>
  <c r="AL477" i="1"/>
  <c r="AM477" i="1"/>
  <c r="D478" i="1"/>
  <c r="E478" i="1"/>
  <c r="Q478" i="1"/>
  <c r="S478" i="1"/>
  <c r="T478" i="1"/>
  <c r="U478" i="1"/>
  <c r="X478" i="1" a="1"/>
  <c r="X478" i="1"/>
  <c r="Y478" i="1"/>
  <c r="Z478" i="1"/>
  <c r="AA478" i="1"/>
  <c r="AE478" i="1"/>
  <c r="AG478" i="1"/>
  <c r="AH478" i="1"/>
  <c r="AI478" i="1"/>
  <c r="AJ478" i="1"/>
  <c r="AK478" i="1"/>
  <c r="AL478" i="1"/>
  <c r="AM478" i="1"/>
  <c r="D479" i="1"/>
  <c r="E479" i="1"/>
  <c r="Q479" i="1"/>
  <c r="AH479" i="1" s="1"/>
  <c r="S479" i="1"/>
  <c r="T479" i="1"/>
  <c r="V479" i="1" s="1"/>
  <c r="W479" i="1" s="1"/>
  <c r="U479" i="1"/>
  <c r="X479" i="1" a="1"/>
  <c r="X479" i="1"/>
  <c r="Y479" i="1"/>
  <c r="Z479" i="1"/>
  <c r="AA479" i="1"/>
  <c r="AE479" i="1"/>
  <c r="AG479" i="1"/>
  <c r="AI479" i="1"/>
  <c r="AJ479" i="1"/>
  <c r="AK479" i="1"/>
  <c r="AL479" i="1"/>
  <c r="AM479" i="1"/>
  <c r="D480" i="1"/>
  <c r="E480" i="1"/>
  <c r="Q480" i="1"/>
  <c r="AH480" i="1" s="1"/>
  <c r="S480" i="1"/>
  <c r="X480" i="1" s="1" a="1"/>
  <c r="X480" i="1" s="1"/>
  <c r="T480" i="1"/>
  <c r="V480" i="1" s="1"/>
  <c r="W480" i="1" s="1"/>
  <c r="U480" i="1"/>
  <c r="Y480" i="1"/>
  <c r="Z480" i="1"/>
  <c r="AA480" i="1"/>
  <c r="AE480" i="1"/>
  <c r="AG480" i="1"/>
  <c r="AI480" i="1"/>
  <c r="AJ480" i="1"/>
  <c r="AK480" i="1"/>
  <c r="AL480" i="1"/>
  <c r="AM480" i="1" s="1"/>
  <c r="D481" i="1"/>
  <c r="AE481" i="1" s="1"/>
  <c r="E481" i="1"/>
  <c r="Q481" i="1"/>
  <c r="AH481" i="1" s="1"/>
  <c r="S481" i="1"/>
  <c r="X481" i="1" s="1" a="1"/>
  <c r="X481" i="1" s="1"/>
  <c r="T481" i="1"/>
  <c r="U481" i="1"/>
  <c r="V481" i="1"/>
  <c r="W481" i="1"/>
  <c r="Y481" i="1"/>
  <c r="Z481" i="1"/>
  <c r="AA481" i="1"/>
  <c r="AG481" i="1"/>
  <c r="AI481" i="1"/>
  <c r="AJ481" i="1" s="1"/>
  <c r="AK481" i="1"/>
  <c r="AL481" i="1"/>
  <c r="AM481" i="1"/>
  <c r="D482" i="1"/>
  <c r="AE482" i="1" s="1"/>
  <c r="E482" i="1"/>
  <c r="Q482" i="1"/>
  <c r="S482" i="1"/>
  <c r="T482" i="1"/>
  <c r="U482" i="1"/>
  <c r="X482" i="1" a="1"/>
  <c r="X482" i="1" s="1"/>
  <c r="Y482" i="1"/>
  <c r="Z482" i="1" s="1"/>
  <c r="AA482" i="1"/>
  <c r="AG482" i="1"/>
  <c r="AH482" i="1"/>
  <c r="AI482" i="1"/>
  <c r="AJ482" i="1"/>
  <c r="AK482" i="1"/>
  <c r="AL482" i="1"/>
  <c r="AM482" i="1" s="1"/>
  <c r="D483" i="1"/>
  <c r="E483" i="1"/>
  <c r="Q483" i="1"/>
  <c r="S483" i="1"/>
  <c r="T483" i="1"/>
  <c r="U483" i="1"/>
  <c r="V483" i="1" s="1"/>
  <c r="W483" i="1"/>
  <c r="X483" i="1" a="1"/>
  <c r="X483" i="1" s="1"/>
  <c r="Y483" i="1"/>
  <c r="Z483" i="1"/>
  <c r="AA483" i="1"/>
  <c r="AE483" i="1"/>
  <c r="AG483" i="1"/>
  <c r="AH483" i="1"/>
  <c r="AI483" i="1"/>
  <c r="AJ483" i="1"/>
  <c r="AK483" i="1"/>
  <c r="AL483" i="1"/>
  <c r="AM483" i="1"/>
  <c r="D484" i="1"/>
  <c r="E484" i="1"/>
  <c r="Q484" i="1"/>
  <c r="AH484" i="1" s="1"/>
  <c r="S484" i="1"/>
  <c r="X484" i="1" s="1" a="1"/>
  <c r="X484" i="1" s="1"/>
  <c r="T484" i="1"/>
  <c r="U484" i="1"/>
  <c r="V484" i="1"/>
  <c r="W484" i="1" s="1"/>
  <c r="Y484" i="1"/>
  <c r="Z484" i="1"/>
  <c r="AA484" i="1"/>
  <c r="AE484" i="1"/>
  <c r="AG484" i="1"/>
  <c r="AI484" i="1"/>
  <c r="AJ484" i="1"/>
  <c r="AK484" i="1"/>
  <c r="AL484" i="1"/>
  <c r="AM484" i="1" s="1"/>
  <c r="D485" i="1"/>
  <c r="AE485" i="1" s="1"/>
  <c r="E485" i="1"/>
  <c r="Q485" i="1"/>
  <c r="AH485" i="1" s="1"/>
  <c r="S485" i="1"/>
  <c r="T485" i="1"/>
  <c r="U485" i="1"/>
  <c r="V485" i="1"/>
  <c r="W485" i="1"/>
  <c r="X485" i="1" a="1"/>
  <c r="X485" i="1" s="1"/>
  <c r="Y485" i="1"/>
  <c r="Z485" i="1"/>
  <c r="AA485" i="1"/>
  <c r="AG485" i="1"/>
  <c r="AI485" i="1"/>
  <c r="AJ485" i="1" s="1"/>
  <c r="AK485" i="1"/>
  <c r="AL485" i="1"/>
  <c r="AM485" i="1"/>
  <c r="D486" i="1"/>
  <c r="AE486" i="1" s="1"/>
  <c r="E486" i="1"/>
  <c r="Q486" i="1"/>
  <c r="S486" i="1"/>
  <c r="T486" i="1"/>
  <c r="V486" i="1" s="1"/>
  <c r="W486" i="1" s="1"/>
  <c r="U486" i="1"/>
  <c r="X486" i="1" a="1"/>
  <c r="X486" i="1"/>
  <c r="Y486" i="1"/>
  <c r="Z486" i="1" s="1"/>
  <c r="AA486" i="1"/>
  <c r="AG486" i="1"/>
  <c r="AH486" i="1"/>
  <c r="AI486" i="1"/>
  <c r="AJ486" i="1" s="1"/>
  <c r="AK486" i="1"/>
  <c r="AL486" i="1"/>
  <c r="AM486" i="1" s="1"/>
  <c r="D487" i="1"/>
  <c r="E487" i="1"/>
  <c r="Q487" i="1"/>
  <c r="S487" i="1"/>
  <c r="T487" i="1"/>
  <c r="V487" i="1" s="1"/>
  <c r="W487" i="1" s="1"/>
  <c r="U487" i="1"/>
  <c r="X487" i="1" a="1"/>
  <c r="X487" i="1" s="1"/>
  <c r="Y487" i="1"/>
  <c r="Z487" i="1"/>
  <c r="AA487" i="1"/>
  <c r="AE487" i="1"/>
  <c r="AG487" i="1"/>
  <c r="AH487" i="1"/>
  <c r="AI487" i="1"/>
  <c r="AJ487" i="1" s="1"/>
  <c r="AK487" i="1"/>
  <c r="AL487" i="1"/>
  <c r="AM487" i="1"/>
  <c r="D488" i="1"/>
  <c r="E488" i="1"/>
  <c r="Q488" i="1"/>
  <c r="AH488" i="1" s="1"/>
  <c r="S488" i="1"/>
  <c r="X488" i="1" s="1" a="1"/>
  <c r="X488" i="1" s="1"/>
  <c r="T488" i="1"/>
  <c r="U488" i="1"/>
  <c r="V488" i="1"/>
  <c r="W488" i="1" s="1"/>
  <c r="Y488" i="1"/>
  <c r="Z488" i="1" s="1"/>
  <c r="AA488" i="1"/>
  <c r="AE488" i="1"/>
  <c r="AG488" i="1"/>
  <c r="AI488" i="1"/>
  <c r="AJ488" i="1"/>
  <c r="AK488" i="1"/>
  <c r="AL488" i="1"/>
  <c r="AM488" i="1" s="1"/>
  <c r="D489" i="1"/>
  <c r="AE489" i="1" s="1"/>
  <c r="E489" i="1"/>
  <c r="Q489" i="1"/>
  <c r="S489" i="1"/>
  <c r="T489" i="1"/>
  <c r="U489" i="1"/>
  <c r="V489" i="1"/>
  <c r="W489" i="1"/>
  <c r="X489" i="1" a="1"/>
  <c r="X489" i="1" s="1"/>
  <c r="Y489" i="1"/>
  <c r="Z489" i="1"/>
  <c r="AA489" i="1"/>
  <c r="AG489" i="1"/>
  <c r="AH489" i="1"/>
  <c r="AI489" i="1"/>
  <c r="AJ489" i="1" s="1"/>
  <c r="AK489" i="1"/>
  <c r="AL489" i="1"/>
  <c r="AM489" i="1" s="1"/>
  <c r="D490" i="1"/>
  <c r="E490" i="1"/>
  <c r="Q490" i="1"/>
  <c r="S490" i="1"/>
  <c r="T490" i="1"/>
  <c r="U490" i="1"/>
  <c r="X490" i="1" a="1"/>
  <c r="X490" i="1" s="1"/>
  <c r="Y490" i="1"/>
  <c r="Z490" i="1" s="1"/>
  <c r="AA490" i="1"/>
  <c r="AE490" i="1"/>
  <c r="AG490" i="1"/>
  <c r="AH490" i="1"/>
  <c r="AI490" i="1"/>
  <c r="AJ490" i="1"/>
  <c r="AK490" i="1"/>
  <c r="AL490" i="1"/>
  <c r="AM490" i="1"/>
  <c r="D491" i="1"/>
  <c r="E491" i="1"/>
  <c r="Q491" i="1"/>
  <c r="AH491" i="1" s="1"/>
  <c r="S491" i="1"/>
  <c r="T491" i="1"/>
  <c r="V491" i="1" s="1"/>
  <c r="W491" i="1" s="1"/>
  <c r="U491" i="1"/>
  <c r="X491" i="1" a="1"/>
  <c r="X491" i="1" s="1"/>
  <c r="Y491" i="1"/>
  <c r="Z491" i="1"/>
  <c r="AA491" i="1"/>
  <c r="AE491" i="1"/>
  <c r="AG491" i="1"/>
  <c r="AI491" i="1"/>
  <c r="AJ491" i="1"/>
  <c r="AK491" i="1"/>
  <c r="AL491" i="1"/>
  <c r="AM491" i="1"/>
  <c r="D492" i="1"/>
  <c r="E492" i="1"/>
  <c r="Q492" i="1"/>
  <c r="AH492" i="1" s="1"/>
  <c r="S492" i="1"/>
  <c r="X492" i="1" s="1" a="1"/>
  <c r="X492" i="1" s="1"/>
  <c r="T492" i="1"/>
  <c r="U492" i="1"/>
  <c r="V492" i="1"/>
  <c r="W492" i="1" s="1"/>
  <c r="Y492" i="1"/>
  <c r="Z492" i="1"/>
  <c r="AA492" i="1"/>
  <c r="AE492" i="1"/>
  <c r="AG492" i="1"/>
  <c r="AI492" i="1"/>
  <c r="AJ492" i="1"/>
  <c r="AK492" i="1"/>
  <c r="AL492" i="1"/>
  <c r="AM492" i="1" s="1"/>
  <c r="D493" i="1"/>
  <c r="AE493" i="1" s="1"/>
  <c r="E493" i="1"/>
  <c r="Q493" i="1"/>
  <c r="AH493" i="1" s="1"/>
  <c r="S493" i="1"/>
  <c r="X493" i="1" s="1" a="1"/>
  <c r="X493" i="1" s="1"/>
  <c r="T493" i="1"/>
  <c r="U493" i="1"/>
  <c r="V493" i="1"/>
  <c r="W493" i="1"/>
  <c r="Y493" i="1"/>
  <c r="Z493" i="1"/>
  <c r="AA493" i="1"/>
  <c r="AG493" i="1"/>
  <c r="AI493" i="1"/>
  <c r="AJ493" i="1" s="1"/>
  <c r="AK493" i="1"/>
  <c r="AL493" i="1"/>
  <c r="AM493" i="1"/>
  <c r="D494" i="1"/>
  <c r="E494" i="1"/>
  <c r="Q494" i="1"/>
  <c r="S494" i="1"/>
  <c r="T494" i="1"/>
  <c r="V494" i="1" s="1"/>
  <c r="W494" i="1" s="1"/>
  <c r="U494" i="1"/>
  <c r="X494" i="1" a="1"/>
  <c r="X494" i="1"/>
  <c r="Y494" i="1"/>
  <c r="Z494" i="1"/>
  <c r="AA494" i="1"/>
  <c r="AE494" i="1"/>
  <c r="AG494" i="1"/>
  <c r="AH494" i="1"/>
  <c r="AI494" i="1"/>
  <c r="AJ494" i="1"/>
  <c r="AK494" i="1"/>
  <c r="AL494" i="1"/>
  <c r="AM494" i="1"/>
  <c r="D495" i="1"/>
  <c r="E495" i="1"/>
  <c r="Q495" i="1"/>
  <c r="S495" i="1"/>
  <c r="T495" i="1"/>
  <c r="U495" i="1"/>
  <c r="V495" i="1"/>
  <c r="W495" i="1" s="1"/>
  <c r="X495" i="1" a="1"/>
  <c r="X495" i="1" s="1"/>
  <c r="Y495" i="1"/>
  <c r="Z495" i="1"/>
  <c r="AA495" i="1"/>
  <c r="AE495" i="1"/>
  <c r="AG495" i="1"/>
  <c r="AH495" i="1"/>
  <c r="AI495" i="1"/>
  <c r="AJ495" i="1"/>
  <c r="AK495" i="1"/>
  <c r="AL495" i="1"/>
  <c r="AM495" i="1"/>
  <c r="D496" i="1"/>
  <c r="E496" i="1"/>
  <c r="Q496" i="1"/>
  <c r="AH496" i="1" s="1"/>
  <c r="S496" i="1"/>
  <c r="X496" i="1" s="1" a="1"/>
  <c r="X496" i="1" s="1"/>
  <c r="T496" i="1"/>
  <c r="V496" i="1" s="1"/>
  <c r="W496" i="1" s="1"/>
  <c r="U496" i="1"/>
  <c r="Y496" i="1"/>
  <c r="Z496" i="1"/>
  <c r="AA496" i="1"/>
  <c r="AE496" i="1"/>
  <c r="AG496" i="1"/>
  <c r="AI496" i="1"/>
  <c r="AJ496" i="1"/>
  <c r="AK496" i="1"/>
  <c r="AL496" i="1"/>
  <c r="AM496" i="1" s="1"/>
  <c r="D497" i="1"/>
  <c r="AE497" i="1" s="1"/>
  <c r="E497" i="1"/>
  <c r="Q497" i="1"/>
  <c r="S497" i="1"/>
  <c r="T497" i="1"/>
  <c r="U497" i="1"/>
  <c r="V497" i="1"/>
  <c r="W497" i="1"/>
  <c r="X497" i="1" a="1"/>
  <c r="X497" i="1" s="1"/>
  <c r="Y497" i="1"/>
  <c r="Z497" i="1"/>
  <c r="AA497" i="1"/>
  <c r="AG497" i="1"/>
  <c r="AH497" i="1"/>
  <c r="AI497" i="1"/>
  <c r="AJ497" i="1" s="1"/>
  <c r="AK497" i="1"/>
  <c r="AL497" i="1"/>
  <c r="AM497" i="1" s="1"/>
  <c r="D498" i="1"/>
  <c r="E498" i="1"/>
  <c r="Q498" i="1"/>
  <c r="S498" i="1"/>
  <c r="T498" i="1"/>
  <c r="V498" i="1" s="1"/>
  <c r="U498" i="1"/>
  <c r="W498" i="1"/>
  <c r="X498" i="1" a="1"/>
  <c r="X498" i="1"/>
  <c r="Y498" i="1"/>
  <c r="Z498" i="1" s="1"/>
  <c r="AA498" i="1"/>
  <c r="AE498" i="1"/>
  <c r="AG498" i="1"/>
  <c r="AH498" i="1"/>
  <c r="AI498" i="1"/>
  <c r="AJ498" i="1"/>
  <c r="AK498" i="1"/>
  <c r="AL498" i="1"/>
  <c r="AM498" i="1" s="1"/>
  <c r="D499" i="1"/>
  <c r="E499" i="1"/>
  <c r="Q499" i="1"/>
  <c r="AH499" i="1" s="1"/>
  <c r="S499" i="1"/>
  <c r="T499" i="1"/>
  <c r="V499" i="1" s="1"/>
  <c r="W499" i="1" s="1"/>
  <c r="U499" i="1"/>
  <c r="X499" i="1" a="1"/>
  <c r="X499" i="1" s="1"/>
  <c r="Y499" i="1"/>
  <c r="Z499" i="1" s="1"/>
  <c r="AA499" i="1"/>
  <c r="AE499" i="1"/>
  <c r="AG499" i="1"/>
  <c r="AI499" i="1"/>
  <c r="AJ499" i="1" s="1"/>
  <c r="AK499" i="1"/>
  <c r="AL499" i="1"/>
  <c r="AM499" i="1"/>
  <c r="D500" i="1"/>
  <c r="E500" i="1"/>
  <c r="Q500" i="1"/>
  <c r="AH500" i="1" s="1"/>
  <c r="S500" i="1"/>
  <c r="X500" i="1" s="1" a="1"/>
  <c r="X500" i="1" s="1"/>
  <c r="T500" i="1"/>
  <c r="V500" i="1" s="1"/>
  <c r="W500" i="1" s="1"/>
  <c r="U500" i="1"/>
  <c r="Y500" i="1"/>
  <c r="Z500" i="1"/>
  <c r="AA500" i="1"/>
  <c r="AE500" i="1"/>
  <c r="AG500" i="1"/>
  <c r="AI500" i="1"/>
  <c r="AJ500" i="1"/>
  <c r="AK500" i="1"/>
  <c r="AL500" i="1"/>
  <c r="AM500" i="1" s="1"/>
  <c r="D501" i="1"/>
  <c r="AE501" i="1" s="1"/>
  <c r="E501" i="1"/>
  <c r="Q501" i="1"/>
  <c r="S501" i="1"/>
  <c r="X501" i="1" s="1" a="1"/>
  <c r="X501" i="1" s="1"/>
  <c r="T501" i="1"/>
  <c r="U501" i="1"/>
  <c r="V501" i="1"/>
  <c r="W501" i="1"/>
  <c r="Y501" i="1"/>
  <c r="Z501" i="1" s="1"/>
  <c r="AA501" i="1"/>
  <c r="AG501" i="1"/>
  <c r="AH501" i="1"/>
  <c r="AI501" i="1"/>
  <c r="AJ501" i="1" s="1"/>
  <c r="AK501" i="1"/>
  <c r="AL501" i="1"/>
  <c r="AM501" i="1" s="1"/>
  <c r="D502" i="1"/>
  <c r="E502" i="1"/>
  <c r="Q502" i="1"/>
  <c r="S502" i="1"/>
  <c r="T502" i="1"/>
  <c r="V502" i="1" s="1"/>
  <c r="W502" i="1" s="1"/>
  <c r="U502" i="1"/>
  <c r="X502" i="1" a="1"/>
  <c r="X502" i="1" s="1"/>
  <c r="Y502" i="1"/>
  <c r="Z502" i="1" s="1"/>
  <c r="AA502" i="1"/>
  <c r="AE502" i="1"/>
  <c r="AG502" i="1"/>
  <c r="AH502" i="1"/>
  <c r="AI502" i="1"/>
  <c r="AJ502" i="1" s="1"/>
  <c r="AK502" i="1"/>
  <c r="AL502" i="1"/>
  <c r="AM502" i="1" s="1"/>
  <c r="D503" i="1"/>
  <c r="E503" i="1"/>
  <c r="Q503" i="1"/>
  <c r="S503" i="1"/>
  <c r="X503" i="1" s="1" a="1"/>
  <c r="X503" i="1" s="1"/>
  <c r="T503" i="1"/>
  <c r="U503" i="1"/>
  <c r="V503" i="1"/>
  <c r="W503" i="1"/>
  <c r="Y503" i="1"/>
  <c r="Z503" i="1" s="1"/>
  <c r="AA503" i="1"/>
  <c r="AE503" i="1"/>
  <c r="AG503" i="1"/>
  <c r="AH503" i="1"/>
  <c r="AI503" i="1"/>
  <c r="AJ503" i="1" s="1"/>
  <c r="AK503" i="1"/>
  <c r="AL503" i="1"/>
  <c r="AM503" i="1"/>
  <c r="D504" i="1"/>
  <c r="AE504" i="1" s="1"/>
  <c r="E504" i="1"/>
  <c r="Q504" i="1"/>
  <c r="AH504" i="1" s="1"/>
  <c r="S504" i="1"/>
  <c r="X504" i="1" s="1" a="1"/>
  <c r="X504" i="1" s="1"/>
  <c r="T504" i="1"/>
  <c r="V504" i="1" s="1"/>
  <c r="W504" i="1" s="1"/>
  <c r="U504" i="1"/>
  <c r="Y504" i="1"/>
  <c r="Z504" i="1" s="1"/>
  <c r="AA504" i="1"/>
  <c r="AG504" i="1"/>
  <c r="AI504" i="1"/>
  <c r="AJ504" i="1"/>
  <c r="AK504" i="1"/>
  <c r="AL504" i="1"/>
  <c r="AM504" i="1" s="1"/>
  <c r="D505" i="1"/>
  <c r="AE505" i="1" s="1"/>
  <c r="E505" i="1"/>
  <c r="Q505" i="1"/>
  <c r="AH505" i="1" s="1"/>
  <c r="S505" i="1"/>
  <c r="X505" i="1" s="1" a="1"/>
  <c r="X505" i="1" s="1"/>
  <c r="T505" i="1"/>
  <c r="U505" i="1"/>
  <c r="V505" i="1"/>
  <c r="W505" i="1"/>
  <c r="Y505" i="1"/>
  <c r="Z505" i="1"/>
  <c r="AA505" i="1"/>
  <c r="AG505" i="1"/>
  <c r="AI505" i="1"/>
  <c r="AJ505" i="1" s="1"/>
  <c r="AK505" i="1"/>
  <c r="AL505" i="1"/>
  <c r="AM505" i="1"/>
  <c r="D506" i="1"/>
  <c r="AE506" i="1" s="1"/>
  <c r="E506" i="1"/>
  <c r="Q506" i="1"/>
  <c r="S506" i="1"/>
  <c r="T506" i="1"/>
  <c r="V506" i="1" s="1"/>
  <c r="W506" i="1" s="1"/>
  <c r="U506" i="1"/>
  <c r="X506" i="1" a="1"/>
  <c r="X506" i="1"/>
  <c r="Y506" i="1"/>
  <c r="Z506" i="1" s="1"/>
  <c r="AA506" i="1"/>
  <c r="AG506" i="1"/>
  <c r="AH506" i="1"/>
  <c r="AI506" i="1"/>
  <c r="AJ506" i="1" s="1"/>
  <c r="AK506" i="1"/>
  <c r="AL506" i="1"/>
  <c r="AM506" i="1"/>
  <c r="D507" i="1"/>
  <c r="E507" i="1"/>
  <c r="Q507" i="1"/>
  <c r="S507" i="1"/>
  <c r="X507" i="1" s="1" a="1"/>
  <c r="X507" i="1" s="1"/>
  <c r="T507" i="1"/>
  <c r="U507" i="1"/>
  <c r="V507" i="1"/>
  <c r="W507" i="1"/>
  <c r="Y507" i="1"/>
  <c r="Z507" i="1" s="1"/>
  <c r="AA507" i="1"/>
  <c r="AE507" i="1"/>
  <c r="AG507" i="1"/>
  <c r="AH507" i="1"/>
  <c r="AI507" i="1"/>
  <c r="AJ507" i="1" s="1"/>
  <c r="AK507" i="1"/>
  <c r="AL507" i="1"/>
  <c r="AM507" i="1"/>
  <c r="D508" i="1"/>
  <c r="AE508" i="1" s="1"/>
  <c r="E508" i="1"/>
  <c r="Q508" i="1"/>
  <c r="AH508" i="1" s="1"/>
  <c r="S508" i="1"/>
  <c r="X508" i="1" s="1" a="1"/>
  <c r="X508" i="1" s="1"/>
  <c r="T508" i="1"/>
  <c r="V508" i="1" s="1"/>
  <c r="W508" i="1" s="1"/>
  <c r="U508" i="1"/>
  <c r="Y508" i="1"/>
  <c r="Z508" i="1"/>
  <c r="AA508" i="1"/>
  <c r="AG508" i="1"/>
  <c r="AI508" i="1"/>
  <c r="AJ508" i="1"/>
  <c r="AK508" i="1"/>
  <c r="AL508" i="1"/>
  <c r="AM508" i="1"/>
  <c r="D509" i="1"/>
  <c r="AE509" i="1" s="1"/>
  <c r="E509" i="1"/>
  <c r="Q509" i="1"/>
  <c r="S509" i="1"/>
  <c r="X509" i="1" s="1" a="1"/>
  <c r="X509" i="1" s="1"/>
  <c r="T509" i="1"/>
  <c r="U509" i="1"/>
  <c r="V509" i="1"/>
  <c r="W509" i="1" s="1"/>
  <c r="Y509" i="1"/>
  <c r="Z509" i="1" s="1"/>
  <c r="AA509" i="1"/>
  <c r="AG509" i="1"/>
  <c r="AH509" i="1"/>
  <c r="AI509" i="1"/>
  <c r="AJ509" i="1" s="1"/>
  <c r="AK509" i="1"/>
  <c r="AL509" i="1"/>
  <c r="AM509" i="1"/>
  <c r="D510" i="1"/>
  <c r="AE510" i="1" s="1"/>
  <c r="E510" i="1"/>
  <c r="Q510" i="1"/>
  <c r="S510" i="1"/>
  <c r="X510" i="1" s="1" a="1"/>
  <c r="X510" i="1" s="1"/>
  <c r="T510" i="1"/>
  <c r="V510" i="1" s="1"/>
  <c r="W510" i="1" s="1"/>
  <c r="U510" i="1"/>
  <c r="Y510" i="1"/>
  <c r="Z510" i="1"/>
  <c r="AA510" i="1"/>
  <c r="AG510" i="1"/>
  <c r="AH510" i="1"/>
  <c r="AI510" i="1"/>
  <c r="AJ510" i="1" s="1"/>
  <c r="AK510" i="1"/>
  <c r="AL510" i="1"/>
  <c r="AM510" i="1" s="1"/>
  <c r="D511" i="1"/>
  <c r="AE511" i="1" s="1"/>
  <c r="E511" i="1"/>
  <c r="Q511" i="1"/>
  <c r="AH511" i="1" s="1"/>
  <c r="S511" i="1"/>
  <c r="X511" i="1" s="1" a="1"/>
  <c r="X511" i="1" s="1"/>
  <c r="T511" i="1"/>
  <c r="U511" i="1"/>
  <c r="Y511" i="1"/>
  <c r="Z511" i="1" s="1"/>
  <c r="AA511" i="1"/>
  <c r="AG511" i="1"/>
  <c r="AI511" i="1"/>
  <c r="AJ511" i="1" s="1"/>
  <c r="AK511" i="1"/>
  <c r="AL511" i="1"/>
  <c r="AM511" i="1"/>
  <c r="D512" i="1"/>
  <c r="AE512" i="1" s="1"/>
  <c r="E512" i="1"/>
  <c r="Q512" i="1"/>
  <c r="AH512" i="1" s="1"/>
  <c r="S512" i="1"/>
  <c r="X512" i="1" s="1" a="1"/>
  <c r="X512" i="1" s="1"/>
  <c r="T512" i="1"/>
  <c r="V512" i="1" s="1"/>
  <c r="W512" i="1" s="1"/>
  <c r="U512" i="1"/>
  <c r="Y512" i="1"/>
  <c r="Z512" i="1" s="1"/>
  <c r="AA512" i="1"/>
  <c r="AG512" i="1"/>
  <c r="AI512" i="1"/>
  <c r="AJ512" i="1"/>
  <c r="AK512" i="1"/>
  <c r="AL512" i="1"/>
  <c r="AM512" i="1" s="1"/>
  <c r="D513" i="1"/>
  <c r="AE513" i="1" s="1"/>
  <c r="E513" i="1"/>
  <c r="Q513" i="1"/>
  <c r="AH513" i="1" s="1"/>
  <c r="S513" i="1"/>
  <c r="X513" i="1" s="1" a="1"/>
  <c r="X513" i="1" s="1"/>
  <c r="T513" i="1"/>
  <c r="U513" i="1"/>
  <c r="V513" i="1"/>
  <c r="W513" i="1"/>
  <c r="Y513" i="1"/>
  <c r="Z513" i="1"/>
  <c r="AA513" i="1"/>
  <c r="AG513" i="1"/>
  <c r="AI513" i="1"/>
  <c r="AJ513" i="1"/>
  <c r="AK513" i="1"/>
  <c r="AL513" i="1"/>
  <c r="AM513" i="1"/>
  <c r="D514" i="1"/>
  <c r="E514" i="1"/>
  <c r="Q514" i="1"/>
  <c r="S514" i="1"/>
  <c r="X514" i="1" s="1" a="1"/>
  <c r="X514" i="1" s="1"/>
  <c r="T514" i="1"/>
  <c r="U514" i="1"/>
  <c r="V514" i="1"/>
  <c r="W514" i="1"/>
  <c r="Y514" i="1"/>
  <c r="Z514" i="1"/>
  <c r="AA514" i="1"/>
  <c r="AE514" i="1"/>
  <c r="AG514" i="1"/>
  <c r="AH514" i="1"/>
  <c r="AI514" i="1"/>
  <c r="AJ514" i="1"/>
  <c r="AK514" i="1"/>
  <c r="AL514" i="1"/>
  <c r="AM514" i="1" s="1"/>
  <c r="D515" i="1"/>
  <c r="E515" i="1"/>
  <c r="Q515" i="1"/>
  <c r="AH515" i="1" s="1"/>
  <c r="S515" i="1"/>
  <c r="X515" i="1" s="1" a="1"/>
  <c r="X515" i="1" s="1"/>
  <c r="T515" i="1"/>
  <c r="V515" i="1" s="1"/>
  <c r="W515" i="1" s="1"/>
  <c r="U515" i="1"/>
  <c r="Y515" i="1"/>
  <c r="Z515" i="1" s="1"/>
  <c r="AA515" i="1"/>
  <c r="AE515" i="1"/>
  <c r="AG515" i="1"/>
  <c r="AI515" i="1"/>
  <c r="AJ515" i="1"/>
  <c r="AK515" i="1"/>
  <c r="AL515" i="1"/>
  <c r="AM515" i="1"/>
  <c r="D516" i="1"/>
  <c r="AE516" i="1" s="1"/>
  <c r="E516" i="1"/>
  <c r="Q516" i="1"/>
  <c r="AH516" i="1" s="1"/>
  <c r="S516" i="1"/>
  <c r="X516" i="1" s="1" a="1"/>
  <c r="T516" i="1"/>
  <c r="U516" i="1"/>
  <c r="V516" i="1"/>
  <c r="W516" i="1" s="1"/>
  <c r="X516" i="1"/>
  <c r="Y516" i="1"/>
  <c r="Z516" i="1"/>
  <c r="AA516" i="1"/>
  <c r="AG516" i="1"/>
  <c r="AI516" i="1"/>
  <c r="AJ516" i="1"/>
  <c r="AK516" i="1"/>
  <c r="AL516" i="1"/>
  <c r="AM516" i="1" s="1"/>
  <c r="D517" i="1"/>
  <c r="AE517" i="1" s="1"/>
  <c r="E517" i="1"/>
  <c r="Q517" i="1"/>
  <c r="AH517" i="1" s="1"/>
  <c r="S517" i="1"/>
  <c r="T517" i="1"/>
  <c r="U517" i="1"/>
  <c r="V517" i="1"/>
  <c r="W517" i="1" s="1"/>
  <c r="X517" i="1" a="1"/>
  <c r="X517" i="1"/>
  <c r="Y517" i="1"/>
  <c r="Z517" i="1"/>
  <c r="AA517" i="1"/>
  <c r="AG517" i="1"/>
  <c r="AI517" i="1"/>
  <c r="AJ517" i="1" s="1"/>
  <c r="AK517" i="1"/>
  <c r="AL517" i="1"/>
  <c r="AM517" i="1" s="1"/>
  <c r="D518" i="1"/>
  <c r="AE518" i="1" s="1"/>
  <c r="E518" i="1"/>
  <c r="Q518" i="1"/>
  <c r="S518" i="1"/>
  <c r="T518" i="1"/>
  <c r="U518" i="1"/>
  <c r="V518" i="1" s="1"/>
  <c r="W518" i="1"/>
  <c r="X518" i="1" a="1"/>
  <c r="X518" i="1" s="1"/>
  <c r="Y518" i="1"/>
  <c r="Z518" i="1" s="1"/>
  <c r="AA518" i="1"/>
  <c r="AG518" i="1"/>
  <c r="AH518" i="1"/>
  <c r="AI518" i="1"/>
  <c r="AJ518" i="1"/>
  <c r="AK518" i="1"/>
  <c r="AL518" i="1"/>
  <c r="AM518" i="1"/>
  <c r="D519" i="1"/>
  <c r="AE519" i="1" s="1"/>
  <c r="E519" i="1"/>
  <c r="Q519" i="1"/>
  <c r="AH519" i="1" s="1"/>
  <c r="S519" i="1"/>
  <c r="T519" i="1"/>
  <c r="U519" i="1"/>
  <c r="V519" i="1"/>
  <c r="W519" i="1" s="1"/>
  <c r="X519" i="1" a="1"/>
  <c r="X519" i="1"/>
  <c r="Y519" i="1"/>
  <c r="Z519" i="1" s="1"/>
  <c r="AA519" i="1"/>
  <c r="AG519" i="1"/>
  <c r="AI519" i="1"/>
  <c r="AJ519" i="1"/>
  <c r="AK519" i="1"/>
  <c r="AL519" i="1"/>
  <c r="AM519" i="1"/>
  <c r="D520" i="1"/>
  <c r="AE520" i="1" s="1"/>
  <c r="E520" i="1"/>
  <c r="Q520" i="1"/>
  <c r="AH520" i="1" s="1"/>
  <c r="S520" i="1"/>
  <c r="X520" i="1" s="1" a="1"/>
  <c r="T520" i="1"/>
  <c r="U520" i="1"/>
  <c r="V520" i="1"/>
  <c r="W520" i="1" s="1"/>
  <c r="X520" i="1"/>
  <c r="Y520" i="1"/>
  <c r="Z520" i="1" s="1"/>
  <c r="AA520" i="1"/>
  <c r="AG520" i="1"/>
  <c r="AI520" i="1"/>
  <c r="AJ520" i="1"/>
  <c r="AK520" i="1"/>
  <c r="AL520" i="1"/>
  <c r="AM520" i="1" s="1"/>
  <c r="D521" i="1"/>
  <c r="AE521" i="1" s="1"/>
  <c r="E521" i="1"/>
  <c r="Q521" i="1"/>
  <c r="S521" i="1"/>
  <c r="T521" i="1"/>
  <c r="U521" i="1"/>
  <c r="V521" i="1"/>
  <c r="W521" i="1"/>
  <c r="X521" i="1" a="1"/>
  <c r="X521" i="1" s="1"/>
  <c r="Y521" i="1"/>
  <c r="Z521" i="1"/>
  <c r="AA521" i="1"/>
  <c r="AG521" i="1"/>
  <c r="AH521" i="1"/>
  <c r="AI521" i="1"/>
  <c r="AJ521" i="1"/>
  <c r="AK521" i="1"/>
  <c r="AL521" i="1"/>
  <c r="AM521" i="1"/>
  <c r="D522" i="1"/>
  <c r="AE522" i="1" s="1"/>
  <c r="E522" i="1"/>
  <c r="Q522" i="1"/>
  <c r="S522" i="1"/>
  <c r="T522" i="1"/>
  <c r="U522" i="1"/>
  <c r="V522" i="1"/>
  <c r="W522" i="1"/>
  <c r="X522" i="1" a="1"/>
  <c r="X522" i="1"/>
  <c r="Y522" i="1"/>
  <c r="Z522" i="1" s="1"/>
  <c r="AA522" i="1"/>
  <c r="AG522" i="1"/>
  <c r="AH522" i="1"/>
  <c r="AI522" i="1"/>
  <c r="AJ522" i="1"/>
  <c r="AK522" i="1"/>
  <c r="AL522" i="1"/>
  <c r="AM522" i="1"/>
  <c r="D523" i="1"/>
  <c r="AE523" i="1" s="1"/>
  <c r="E523" i="1"/>
  <c r="Q523" i="1"/>
  <c r="S523" i="1"/>
  <c r="T523" i="1"/>
  <c r="U523" i="1"/>
  <c r="V523" i="1"/>
  <c r="W523" i="1" s="1"/>
  <c r="X523" i="1" a="1"/>
  <c r="X523" i="1"/>
  <c r="Y523" i="1"/>
  <c r="Z523" i="1" s="1"/>
  <c r="AA523" i="1"/>
  <c r="AG523" i="1"/>
  <c r="AH523" i="1"/>
  <c r="AI523" i="1"/>
  <c r="AJ523" i="1" s="1"/>
  <c r="AK523" i="1"/>
  <c r="AL523" i="1"/>
  <c r="AM523" i="1"/>
  <c r="D524" i="1"/>
  <c r="E524" i="1"/>
  <c r="Q524" i="1"/>
  <c r="AH524" i="1" s="1"/>
  <c r="S524" i="1"/>
  <c r="X524" i="1" s="1" a="1"/>
  <c r="T524" i="1"/>
  <c r="V524" i="1" s="1"/>
  <c r="W524" i="1" s="1"/>
  <c r="U524" i="1"/>
  <c r="X524" i="1"/>
  <c r="Y524" i="1"/>
  <c r="Z524" i="1"/>
  <c r="AA524" i="1"/>
  <c r="AE524" i="1"/>
  <c r="AG524" i="1"/>
  <c r="AI524" i="1"/>
  <c r="AJ524" i="1"/>
  <c r="AK524" i="1"/>
  <c r="AL524" i="1"/>
  <c r="AM524" i="1" s="1"/>
  <c r="D525" i="1"/>
  <c r="AE525" i="1" s="1"/>
  <c r="E525" i="1"/>
  <c r="Q525" i="1"/>
  <c r="S525" i="1"/>
  <c r="T525" i="1"/>
  <c r="U525" i="1"/>
  <c r="V525" i="1"/>
  <c r="W525" i="1"/>
  <c r="X525" i="1" a="1"/>
  <c r="X525" i="1"/>
  <c r="Y525" i="1"/>
  <c r="Z525" i="1" s="1"/>
  <c r="AA525" i="1"/>
  <c r="AG525" i="1"/>
  <c r="AH525" i="1"/>
  <c r="AI525" i="1"/>
  <c r="AJ525" i="1" s="1"/>
  <c r="AK525" i="1"/>
  <c r="AL525" i="1"/>
  <c r="AM525" i="1"/>
  <c r="D526" i="1"/>
  <c r="E526" i="1"/>
  <c r="Q526" i="1"/>
  <c r="S526" i="1"/>
  <c r="T526" i="1"/>
  <c r="U526" i="1"/>
  <c r="V526" i="1"/>
  <c r="W526" i="1"/>
  <c r="X526" i="1" a="1"/>
  <c r="X526" i="1"/>
  <c r="Y526" i="1"/>
  <c r="Z526" i="1" s="1"/>
  <c r="AA526" i="1"/>
  <c r="AE526" i="1"/>
  <c r="AG526" i="1"/>
  <c r="AH526" i="1"/>
  <c r="AI526" i="1"/>
  <c r="AJ526" i="1" s="1"/>
  <c r="AK526" i="1"/>
  <c r="AL526" i="1"/>
  <c r="AM526" i="1" s="1"/>
  <c r="D527" i="1"/>
  <c r="E527" i="1"/>
  <c r="Q527" i="1"/>
  <c r="S527" i="1"/>
  <c r="T527" i="1"/>
  <c r="U527" i="1"/>
  <c r="V527" i="1"/>
  <c r="W527" i="1" s="1"/>
  <c r="X527" i="1" a="1"/>
  <c r="X527" i="1" s="1"/>
  <c r="Y527" i="1"/>
  <c r="Z527" i="1" s="1"/>
  <c r="AA527" i="1"/>
  <c r="AE527" i="1"/>
  <c r="AG527" i="1"/>
  <c r="AH527" i="1"/>
  <c r="AI527" i="1"/>
  <c r="AJ527" i="1"/>
  <c r="AK527" i="1"/>
  <c r="AL527" i="1"/>
  <c r="AM527" i="1"/>
  <c r="D528" i="1"/>
  <c r="E528" i="1"/>
  <c r="Q528" i="1"/>
  <c r="AH528" i="1" s="1"/>
  <c r="S528" i="1"/>
  <c r="X528" i="1" s="1" a="1"/>
  <c r="T528" i="1"/>
  <c r="U528" i="1"/>
  <c r="V528" i="1"/>
  <c r="W528" i="1" s="1"/>
  <c r="X528" i="1"/>
  <c r="Y528" i="1"/>
  <c r="Z528" i="1" s="1"/>
  <c r="AA528" i="1"/>
  <c r="AE528" i="1"/>
  <c r="AG528" i="1"/>
  <c r="AI528" i="1"/>
  <c r="AJ528" i="1"/>
  <c r="AK528" i="1"/>
  <c r="AL528" i="1"/>
  <c r="AM528" i="1" s="1"/>
  <c r="D529" i="1"/>
  <c r="AE529" i="1" s="1"/>
  <c r="E529" i="1"/>
  <c r="Q529" i="1"/>
  <c r="S529" i="1"/>
  <c r="X529" i="1" s="1" a="1"/>
  <c r="X529" i="1" s="1"/>
  <c r="T529" i="1"/>
  <c r="U529" i="1"/>
  <c r="V529" i="1"/>
  <c r="W529" i="1" s="1"/>
  <c r="Y529" i="1"/>
  <c r="Z529" i="1" s="1"/>
  <c r="AA529" i="1"/>
  <c r="AG529" i="1"/>
  <c r="AH529" i="1"/>
  <c r="AI529" i="1"/>
  <c r="AJ529" i="1"/>
  <c r="AK529" i="1"/>
  <c r="AL529" i="1"/>
  <c r="AM529" i="1" s="1"/>
  <c r="D530" i="1"/>
  <c r="E530" i="1"/>
  <c r="Q530" i="1"/>
  <c r="S530" i="1"/>
  <c r="X530" i="1" s="1" a="1"/>
  <c r="X530" i="1" s="1"/>
  <c r="T530" i="1"/>
  <c r="U530" i="1"/>
  <c r="V530" i="1"/>
  <c r="W530" i="1"/>
  <c r="Y530" i="1"/>
  <c r="Z530" i="1"/>
  <c r="AA530" i="1"/>
  <c r="AE530" i="1"/>
  <c r="AG530" i="1"/>
  <c r="AH530" i="1"/>
  <c r="AI530" i="1"/>
  <c r="AJ530" i="1"/>
  <c r="AK530" i="1"/>
  <c r="AL530" i="1"/>
  <c r="AM530" i="1" s="1"/>
  <c r="D531" i="1"/>
  <c r="E531" i="1"/>
  <c r="Q531" i="1"/>
  <c r="AH531" i="1" s="1"/>
  <c r="S531" i="1"/>
  <c r="T531" i="1"/>
  <c r="U531" i="1"/>
  <c r="V531" i="1"/>
  <c r="W531" i="1" s="1"/>
  <c r="X531" i="1" a="1"/>
  <c r="X531" i="1" s="1"/>
  <c r="Y531" i="1"/>
  <c r="Z531" i="1" s="1"/>
  <c r="AA531" i="1"/>
  <c r="AE531" i="1"/>
  <c r="AG531" i="1"/>
  <c r="AI531" i="1"/>
  <c r="AJ531" i="1"/>
  <c r="AK531" i="1"/>
  <c r="AL531" i="1"/>
  <c r="AM531" i="1"/>
  <c r="D532" i="1"/>
  <c r="AE532" i="1" s="1"/>
  <c r="E532" i="1"/>
  <c r="Q532" i="1"/>
  <c r="AH532" i="1" s="1"/>
  <c r="S532" i="1"/>
  <c r="X532" i="1" s="1" a="1"/>
  <c r="X532" i="1" s="1"/>
  <c r="T532" i="1"/>
  <c r="V532" i="1" s="1"/>
  <c r="W532" i="1" s="1"/>
  <c r="U532" i="1"/>
  <c r="Y532" i="1"/>
  <c r="Z532" i="1"/>
  <c r="AA532" i="1"/>
  <c r="AG532" i="1"/>
  <c r="AI532" i="1"/>
  <c r="AJ532" i="1"/>
  <c r="AK532" i="1"/>
  <c r="AL532" i="1"/>
  <c r="AM532" i="1"/>
  <c r="D533" i="1"/>
  <c r="AE533" i="1" s="1"/>
  <c r="E533" i="1"/>
  <c r="Q533" i="1"/>
  <c r="S533" i="1"/>
  <c r="X533" i="1" s="1" a="1"/>
  <c r="X533" i="1" s="1"/>
  <c r="T533" i="1"/>
  <c r="U533" i="1"/>
  <c r="V533" i="1"/>
  <c r="W533" i="1" s="1"/>
  <c r="Y533" i="1"/>
  <c r="Z533" i="1" s="1"/>
  <c r="AA533" i="1"/>
  <c r="AG533" i="1"/>
  <c r="AH533" i="1"/>
  <c r="AI533" i="1"/>
  <c r="AJ533" i="1" s="1"/>
  <c r="AK533" i="1"/>
  <c r="AL533" i="1"/>
  <c r="AM533" i="1"/>
  <c r="D534" i="1"/>
  <c r="AE534" i="1" s="1"/>
  <c r="E534" i="1"/>
  <c r="Q534" i="1"/>
  <c r="S534" i="1"/>
  <c r="X534" i="1" s="1" a="1"/>
  <c r="T534" i="1"/>
  <c r="U534" i="1"/>
  <c r="X534" i="1"/>
  <c r="Y534" i="1"/>
  <c r="Z534" i="1"/>
  <c r="AA534" i="1"/>
  <c r="AG534" i="1"/>
  <c r="AH534" i="1"/>
  <c r="AI534" i="1"/>
  <c r="AJ534" i="1" s="1"/>
  <c r="AK534" i="1"/>
  <c r="AL534" i="1"/>
  <c r="AM534" i="1" s="1"/>
  <c r="D535" i="1"/>
  <c r="AE535" i="1" s="1"/>
  <c r="E535" i="1"/>
  <c r="Q535" i="1"/>
  <c r="S535" i="1"/>
  <c r="X535" i="1" s="1" a="1"/>
  <c r="X535" i="1" s="1"/>
  <c r="T535" i="1"/>
  <c r="U535" i="1"/>
  <c r="V535" i="1"/>
  <c r="W535" i="1" s="1"/>
  <c r="Y535" i="1"/>
  <c r="Z535" i="1" s="1"/>
  <c r="AA535" i="1"/>
  <c r="AG535" i="1"/>
  <c r="AH535" i="1"/>
  <c r="AI535" i="1"/>
  <c r="AJ535" i="1" s="1"/>
  <c r="AK535" i="1"/>
  <c r="AL535" i="1"/>
  <c r="AM535" i="1"/>
  <c r="D536" i="1"/>
  <c r="E536" i="1"/>
  <c r="Q536" i="1"/>
  <c r="AH536" i="1" s="1"/>
  <c r="S536" i="1"/>
  <c r="X536" i="1" s="1" a="1"/>
  <c r="X536" i="1" s="1"/>
  <c r="T536" i="1"/>
  <c r="V536" i="1" s="1"/>
  <c r="W536" i="1" s="1"/>
  <c r="U536" i="1"/>
  <c r="Y536" i="1"/>
  <c r="Z536" i="1" s="1"/>
  <c r="AA536" i="1"/>
  <c r="AE536" i="1"/>
  <c r="AG536" i="1"/>
  <c r="AI536" i="1"/>
  <c r="AJ536" i="1"/>
  <c r="AK536" i="1"/>
  <c r="AL536" i="1"/>
  <c r="AM536" i="1" s="1"/>
  <c r="D537" i="1"/>
  <c r="AE537" i="1" s="1"/>
  <c r="E537" i="1"/>
  <c r="Q537" i="1"/>
  <c r="AH537" i="1" s="1"/>
  <c r="S537" i="1"/>
  <c r="T537" i="1"/>
  <c r="U537" i="1"/>
  <c r="V537" i="1"/>
  <c r="W537" i="1"/>
  <c r="X537" i="1" a="1"/>
  <c r="X537" i="1" s="1"/>
  <c r="Y537" i="1"/>
  <c r="Z537" i="1"/>
  <c r="AA537" i="1"/>
  <c r="AG537" i="1"/>
  <c r="AI537" i="1"/>
  <c r="AJ537" i="1"/>
  <c r="AK537" i="1"/>
  <c r="AL537" i="1"/>
  <c r="AM537" i="1"/>
  <c r="D538" i="1"/>
  <c r="E538" i="1"/>
  <c r="Q538" i="1"/>
  <c r="S538" i="1"/>
  <c r="X538" i="1" s="1" a="1"/>
  <c r="T538" i="1"/>
  <c r="V538" i="1" s="1"/>
  <c r="U538" i="1"/>
  <c r="W538" i="1"/>
  <c r="X538" i="1"/>
  <c r="Y538" i="1"/>
  <c r="Z538" i="1"/>
  <c r="AA538" i="1"/>
  <c r="AE538" i="1"/>
  <c r="AG538" i="1"/>
  <c r="AH538" i="1"/>
  <c r="AI538" i="1"/>
  <c r="AJ538" i="1"/>
  <c r="AK538" i="1"/>
  <c r="AL538" i="1"/>
  <c r="AM538" i="1" s="1"/>
  <c r="D539" i="1"/>
  <c r="AE539" i="1" s="1"/>
  <c r="E539" i="1"/>
  <c r="Q539" i="1"/>
  <c r="AH539" i="1" s="1"/>
  <c r="S539" i="1"/>
  <c r="X539" i="1" s="1" a="1"/>
  <c r="X539" i="1" s="1"/>
  <c r="T539" i="1"/>
  <c r="V539" i="1" s="1"/>
  <c r="W539" i="1" s="1"/>
  <c r="U539" i="1"/>
  <c r="Y539" i="1"/>
  <c r="Z539" i="1" s="1"/>
  <c r="AA539" i="1"/>
  <c r="AG539" i="1"/>
  <c r="AI539" i="1"/>
  <c r="AJ539" i="1"/>
  <c r="AK539" i="1"/>
  <c r="AL539" i="1"/>
  <c r="AM539" i="1"/>
  <c r="D540" i="1"/>
  <c r="E540" i="1"/>
  <c r="Q540" i="1"/>
  <c r="AH540" i="1" s="1"/>
  <c r="S540" i="1"/>
  <c r="X540" i="1" s="1" a="1"/>
  <c r="T540" i="1"/>
  <c r="U540" i="1"/>
  <c r="V540" i="1"/>
  <c r="W540" i="1" s="1"/>
  <c r="X540" i="1"/>
  <c r="Y540" i="1"/>
  <c r="Z540" i="1" s="1"/>
  <c r="AA540" i="1"/>
  <c r="AE540" i="1"/>
  <c r="AG540" i="1"/>
  <c r="AI540" i="1"/>
  <c r="AJ540" i="1"/>
  <c r="AK540" i="1"/>
  <c r="AL540" i="1"/>
  <c r="AM540" i="1" s="1"/>
  <c r="D541" i="1"/>
  <c r="AE541" i="1" s="1"/>
  <c r="E541" i="1"/>
  <c r="Q541" i="1"/>
  <c r="AH541" i="1" s="1"/>
  <c r="S541" i="1"/>
  <c r="T541" i="1"/>
  <c r="U541" i="1"/>
  <c r="V541" i="1"/>
  <c r="W541" i="1" s="1"/>
  <c r="X541" i="1" a="1"/>
  <c r="X541" i="1"/>
  <c r="Y541" i="1"/>
  <c r="Z541" i="1" s="1"/>
  <c r="AA541" i="1"/>
  <c r="AG541" i="1"/>
  <c r="AI541" i="1"/>
  <c r="AJ541" i="1" s="1"/>
  <c r="AK541" i="1"/>
  <c r="AL541" i="1"/>
  <c r="AM541" i="1"/>
  <c r="D542" i="1"/>
  <c r="AE542" i="1" s="1"/>
  <c r="E542" i="1"/>
  <c r="Q542" i="1"/>
  <c r="S542" i="1"/>
  <c r="T542" i="1"/>
  <c r="U542" i="1"/>
  <c r="V542" i="1" s="1"/>
  <c r="W542" i="1"/>
  <c r="X542" i="1" a="1"/>
  <c r="X542" i="1"/>
  <c r="Y542" i="1"/>
  <c r="Z542" i="1"/>
  <c r="AA542" i="1"/>
  <c r="AG542" i="1"/>
  <c r="AH542" i="1"/>
  <c r="AI542" i="1"/>
  <c r="AJ542" i="1"/>
  <c r="AK542" i="1"/>
  <c r="AL542" i="1"/>
  <c r="AM542" i="1"/>
  <c r="D543" i="1"/>
  <c r="AE543" i="1" s="1"/>
  <c r="E543" i="1"/>
  <c r="Q543" i="1"/>
  <c r="S543" i="1"/>
  <c r="T543" i="1"/>
  <c r="U543" i="1"/>
  <c r="V543" i="1"/>
  <c r="W543" i="1" s="1"/>
  <c r="X543" i="1" a="1"/>
  <c r="X543" i="1"/>
  <c r="Y543" i="1"/>
  <c r="Z543" i="1" s="1"/>
  <c r="AA543" i="1"/>
  <c r="AG543" i="1"/>
  <c r="AH543" i="1"/>
  <c r="AI543" i="1"/>
  <c r="AJ543" i="1"/>
  <c r="AK543" i="1"/>
  <c r="AL543" i="1"/>
  <c r="AM543" i="1"/>
  <c r="D544" i="1"/>
  <c r="AE544" i="1" s="1"/>
  <c r="E544" i="1"/>
  <c r="Q544" i="1"/>
  <c r="AH544" i="1" s="1"/>
  <c r="S544" i="1"/>
  <c r="X544" i="1" s="1" a="1"/>
  <c r="T544" i="1"/>
  <c r="V544" i="1" s="1"/>
  <c r="W544" i="1" s="1"/>
  <c r="U544" i="1"/>
  <c r="X544" i="1"/>
  <c r="Y544" i="1"/>
  <c r="Z544" i="1"/>
  <c r="AA544" i="1"/>
  <c r="AG544" i="1"/>
  <c r="AI544" i="1"/>
  <c r="AJ544" i="1"/>
  <c r="AK544" i="1"/>
  <c r="AL544" i="1"/>
  <c r="AM544" i="1" s="1"/>
  <c r="D545" i="1"/>
  <c r="AE545" i="1" s="1"/>
  <c r="E545" i="1"/>
  <c r="Q545" i="1"/>
  <c r="S545" i="1"/>
  <c r="T545" i="1"/>
  <c r="U545" i="1"/>
  <c r="V545" i="1"/>
  <c r="W545" i="1"/>
  <c r="X545" i="1" a="1"/>
  <c r="X545" i="1" s="1"/>
  <c r="Y545" i="1"/>
  <c r="Z545" i="1"/>
  <c r="AA545" i="1"/>
  <c r="AG545" i="1"/>
  <c r="AH545" i="1"/>
  <c r="AI545" i="1"/>
  <c r="AJ545" i="1"/>
  <c r="AK545" i="1"/>
  <c r="AL545" i="1"/>
  <c r="AM545" i="1"/>
  <c r="D546" i="1"/>
  <c r="AE546" i="1" s="1"/>
  <c r="E546" i="1"/>
  <c r="Q546" i="1"/>
  <c r="S546" i="1"/>
  <c r="T546" i="1"/>
  <c r="U546" i="1"/>
  <c r="V546" i="1"/>
  <c r="W546" i="1"/>
  <c r="X546" i="1" a="1"/>
  <c r="X546" i="1"/>
  <c r="Y546" i="1"/>
  <c r="Z546" i="1" s="1"/>
  <c r="AA546" i="1"/>
  <c r="AG546" i="1"/>
  <c r="AH546" i="1"/>
  <c r="AI546" i="1"/>
  <c r="AJ546" i="1"/>
  <c r="AK546" i="1"/>
  <c r="AL546" i="1"/>
  <c r="AM546" i="1"/>
  <c r="D547" i="1"/>
  <c r="AE547" i="1" s="1"/>
  <c r="E547" i="1"/>
  <c r="Q547" i="1"/>
  <c r="S547" i="1"/>
  <c r="T547" i="1"/>
  <c r="V547" i="1" s="1"/>
  <c r="W547" i="1" s="1"/>
  <c r="U547" i="1"/>
  <c r="X547" i="1" a="1"/>
  <c r="X547" i="1"/>
  <c r="Y547" i="1"/>
  <c r="Z547" i="1" s="1"/>
  <c r="AA547" i="1"/>
  <c r="AG547" i="1"/>
  <c r="AH547" i="1"/>
  <c r="AI547" i="1"/>
  <c r="AJ547" i="1"/>
  <c r="AK547" i="1"/>
  <c r="AL547" i="1"/>
  <c r="AM547" i="1"/>
  <c r="D548" i="1"/>
  <c r="E548" i="1"/>
  <c r="Q548" i="1"/>
  <c r="AH548" i="1" s="1"/>
  <c r="S548" i="1"/>
  <c r="X548" i="1" s="1" a="1"/>
  <c r="T548" i="1"/>
  <c r="U548" i="1"/>
  <c r="V548" i="1"/>
  <c r="W548" i="1" s="1"/>
  <c r="X548" i="1"/>
  <c r="Y548" i="1"/>
  <c r="Z548" i="1"/>
  <c r="AA548" i="1"/>
  <c r="AE548" i="1"/>
  <c r="AG548" i="1"/>
  <c r="AI548" i="1"/>
  <c r="AJ548" i="1"/>
  <c r="AK548" i="1"/>
  <c r="AL548" i="1"/>
  <c r="AM548" i="1"/>
  <c r="D549" i="1"/>
  <c r="AE549" i="1" s="1"/>
  <c r="E549" i="1"/>
  <c r="Q549" i="1"/>
  <c r="S549" i="1"/>
  <c r="T549" i="1"/>
  <c r="U549" i="1"/>
  <c r="V549" i="1"/>
  <c r="W549" i="1"/>
  <c r="X549" i="1" a="1"/>
  <c r="X549" i="1" s="1"/>
  <c r="Y549" i="1"/>
  <c r="Z549" i="1" s="1"/>
  <c r="AA549" i="1"/>
  <c r="AG549" i="1"/>
  <c r="AH549" i="1"/>
  <c r="AI549" i="1"/>
  <c r="AJ549" i="1"/>
  <c r="AK549" i="1"/>
  <c r="AL549" i="1"/>
  <c r="AM549" i="1"/>
  <c r="D550" i="1"/>
  <c r="E550" i="1"/>
  <c r="Q550" i="1"/>
  <c r="S550" i="1"/>
  <c r="T550" i="1"/>
  <c r="U550" i="1"/>
  <c r="V550" i="1"/>
  <c r="W550" i="1"/>
  <c r="X550" i="1" a="1"/>
  <c r="X550" i="1"/>
  <c r="Y550" i="1"/>
  <c r="Z550" i="1" s="1"/>
  <c r="AA550" i="1"/>
  <c r="AE550" i="1"/>
  <c r="AG550" i="1"/>
  <c r="AH550" i="1"/>
  <c r="AI550" i="1"/>
  <c r="AJ550" i="1"/>
  <c r="AK550" i="1"/>
  <c r="AL550" i="1"/>
  <c r="AM550" i="1" s="1"/>
  <c r="D551" i="1"/>
  <c r="E551" i="1"/>
  <c r="Q551" i="1"/>
  <c r="AH551" i="1" s="1"/>
  <c r="S551" i="1"/>
  <c r="T551" i="1"/>
  <c r="U551" i="1"/>
  <c r="V551" i="1"/>
  <c r="W551" i="1"/>
  <c r="X551" i="1" a="1"/>
  <c r="X551" i="1"/>
  <c r="Y551" i="1"/>
  <c r="Z551" i="1" s="1"/>
  <c r="AA551" i="1"/>
  <c r="AE551" i="1"/>
  <c r="AG551" i="1"/>
  <c r="AI551" i="1"/>
  <c r="AJ551" i="1"/>
  <c r="AK551" i="1"/>
  <c r="AL551" i="1"/>
  <c r="AM551" i="1"/>
  <c r="D552" i="1"/>
  <c r="AE552" i="1" s="1"/>
  <c r="E552" i="1"/>
  <c r="Q552" i="1"/>
  <c r="AH552" i="1" s="1"/>
  <c r="S552" i="1"/>
  <c r="X552" i="1" s="1" a="1"/>
  <c r="X552" i="1" s="1"/>
  <c r="T552" i="1"/>
  <c r="V552" i="1" s="1"/>
  <c r="W552" i="1" s="1"/>
  <c r="U552" i="1"/>
  <c r="Y552" i="1"/>
  <c r="Z552" i="1" s="1"/>
  <c r="AA552" i="1"/>
  <c r="AG552" i="1"/>
  <c r="AI552" i="1"/>
  <c r="AJ552" i="1"/>
  <c r="AK552" i="1"/>
  <c r="AL552" i="1"/>
  <c r="AM552" i="1" s="1"/>
  <c r="D553" i="1"/>
  <c r="AE553" i="1" s="1"/>
  <c r="E553" i="1"/>
  <c r="Q553" i="1"/>
  <c r="S553" i="1"/>
  <c r="T553" i="1"/>
  <c r="U553" i="1"/>
  <c r="V553" i="1"/>
  <c r="W553" i="1"/>
  <c r="X553" i="1" a="1"/>
  <c r="X553" i="1" s="1"/>
  <c r="Y553" i="1"/>
  <c r="Z553" i="1" s="1"/>
  <c r="AA553" i="1"/>
  <c r="AG553" i="1"/>
  <c r="AH553" i="1"/>
  <c r="AI553" i="1"/>
  <c r="AJ553" i="1" s="1"/>
  <c r="AK553" i="1"/>
  <c r="AL553" i="1"/>
  <c r="AM553" i="1" s="1"/>
  <c r="D554" i="1"/>
  <c r="E554" i="1"/>
  <c r="Q554" i="1"/>
  <c r="S554" i="1"/>
  <c r="X554" i="1" s="1" a="1"/>
  <c r="X554" i="1" s="1"/>
  <c r="T554" i="1"/>
  <c r="U554" i="1"/>
  <c r="V554" i="1"/>
  <c r="W554" i="1"/>
  <c r="Y554" i="1"/>
  <c r="Z554" i="1"/>
  <c r="AA554" i="1"/>
  <c r="AE554" i="1"/>
  <c r="AG554" i="1"/>
  <c r="AH554" i="1"/>
  <c r="AI554" i="1"/>
  <c r="AJ554" i="1"/>
  <c r="AK554" i="1"/>
  <c r="AL554" i="1"/>
  <c r="AM554" i="1" s="1"/>
  <c r="D555" i="1"/>
  <c r="E555" i="1"/>
  <c r="Q555" i="1"/>
  <c r="S555" i="1"/>
  <c r="X555" i="1" s="1" a="1"/>
  <c r="X555" i="1" s="1"/>
  <c r="T555" i="1"/>
  <c r="U555" i="1"/>
  <c r="V555" i="1"/>
  <c r="W555" i="1" s="1"/>
  <c r="Y555" i="1"/>
  <c r="Z555" i="1" s="1"/>
  <c r="AA555" i="1"/>
  <c r="AE555" i="1"/>
  <c r="AG555" i="1"/>
  <c r="AH555" i="1"/>
  <c r="AI555" i="1"/>
  <c r="AJ555" i="1"/>
  <c r="AK555" i="1"/>
  <c r="AL555" i="1"/>
  <c r="AM555" i="1"/>
  <c r="D556" i="1"/>
  <c r="AE556" i="1" s="1"/>
  <c r="E556" i="1"/>
  <c r="Q556" i="1"/>
  <c r="AH556" i="1" s="1"/>
  <c r="S556" i="1"/>
  <c r="X556" i="1" s="1" a="1"/>
  <c r="X556" i="1" s="1"/>
  <c r="T556" i="1"/>
  <c r="U556" i="1"/>
  <c r="V556" i="1"/>
  <c r="W556" i="1" s="1"/>
  <c r="Y556" i="1"/>
  <c r="Z556" i="1"/>
  <c r="AA556" i="1"/>
  <c r="AG556" i="1"/>
  <c r="AI556" i="1"/>
  <c r="AJ556" i="1"/>
  <c r="AK556" i="1"/>
  <c r="AL556" i="1"/>
  <c r="AM556" i="1"/>
  <c r="D557" i="1"/>
  <c r="AE557" i="1" s="1"/>
  <c r="E557" i="1"/>
  <c r="Q557" i="1"/>
  <c r="AH557" i="1" s="1"/>
  <c r="S557" i="1"/>
  <c r="X557" i="1" s="1" a="1"/>
  <c r="X557" i="1" s="1"/>
  <c r="T557" i="1"/>
  <c r="U557" i="1"/>
  <c r="V557" i="1"/>
  <c r="W557" i="1" s="1"/>
  <c r="Y557" i="1"/>
  <c r="Z557" i="1" s="1"/>
  <c r="AA557" i="1"/>
  <c r="AG557" i="1"/>
  <c r="AI557" i="1"/>
  <c r="AJ557" i="1" s="1"/>
  <c r="AK557" i="1"/>
  <c r="AL557" i="1"/>
  <c r="AM557" i="1"/>
  <c r="D558" i="1"/>
  <c r="AE558" i="1" s="1"/>
  <c r="E558" i="1"/>
  <c r="Q558" i="1"/>
  <c r="S558" i="1"/>
  <c r="X558" i="1" s="1" a="1"/>
  <c r="X558" i="1" s="1"/>
  <c r="T558" i="1"/>
  <c r="V558" i="1" s="1"/>
  <c r="W558" i="1" s="1"/>
  <c r="U558" i="1"/>
  <c r="Y558" i="1"/>
  <c r="Z558" i="1"/>
  <c r="AA558" i="1"/>
  <c r="AG558" i="1"/>
  <c r="AH558" i="1"/>
  <c r="AI558" i="1"/>
  <c r="AJ558" i="1" s="1"/>
  <c r="AK558" i="1"/>
  <c r="AL558" i="1"/>
  <c r="AM558" i="1" s="1"/>
  <c r="D559" i="1"/>
  <c r="E559" i="1"/>
  <c r="Q559" i="1"/>
  <c r="AH559" i="1" s="1"/>
  <c r="S559" i="1"/>
  <c r="X559" i="1" s="1" a="1"/>
  <c r="X559" i="1" s="1"/>
  <c r="T559" i="1"/>
  <c r="U559" i="1"/>
  <c r="V559" i="1"/>
  <c r="W559" i="1" s="1"/>
  <c r="Y559" i="1"/>
  <c r="Z559" i="1" s="1"/>
  <c r="AA559" i="1"/>
  <c r="AE559" i="1"/>
  <c r="AG559" i="1"/>
  <c r="AI559" i="1"/>
  <c r="AJ559" i="1" s="1"/>
  <c r="AK559" i="1"/>
  <c r="AL559" i="1"/>
  <c r="AM559" i="1"/>
  <c r="D560" i="1"/>
  <c r="E560" i="1"/>
  <c r="Q560" i="1"/>
  <c r="AH560" i="1" s="1"/>
  <c r="S560" i="1"/>
  <c r="X560" i="1" s="1" a="1"/>
  <c r="X560" i="1" s="1"/>
  <c r="T560" i="1"/>
  <c r="V560" i="1" s="1"/>
  <c r="W560" i="1" s="1"/>
  <c r="U560" i="1"/>
  <c r="Y560" i="1"/>
  <c r="Z560" i="1" s="1"/>
  <c r="AA560" i="1"/>
  <c r="AE560" i="1"/>
  <c r="AG560" i="1"/>
  <c r="AI560" i="1"/>
  <c r="AJ560" i="1"/>
  <c r="AK560" i="1"/>
  <c r="AL560" i="1"/>
  <c r="AM560" i="1" s="1"/>
  <c r="D561" i="1"/>
  <c r="AE561" i="1" s="1"/>
  <c r="E561" i="1"/>
  <c r="Q561" i="1"/>
  <c r="AH561" i="1" s="1"/>
  <c r="S561" i="1"/>
  <c r="X561" i="1" s="1" a="1"/>
  <c r="X561" i="1" s="1"/>
  <c r="T561" i="1"/>
  <c r="U561" i="1"/>
  <c r="V561" i="1"/>
  <c r="W561" i="1"/>
  <c r="Y561" i="1"/>
  <c r="Z561" i="1"/>
  <c r="AA561" i="1"/>
  <c r="AG561" i="1"/>
  <c r="AI561" i="1"/>
  <c r="AJ561" i="1"/>
  <c r="AK561" i="1"/>
  <c r="AL561" i="1"/>
  <c r="AM561" i="1"/>
  <c r="D562" i="1"/>
  <c r="E562" i="1"/>
  <c r="Q562" i="1"/>
  <c r="S562" i="1"/>
  <c r="X562" i="1" s="1" a="1"/>
  <c r="X562" i="1" s="1"/>
  <c r="T562" i="1"/>
  <c r="U562" i="1"/>
  <c r="V562" i="1"/>
  <c r="W562" i="1"/>
  <c r="Y562" i="1"/>
  <c r="Z562" i="1" s="1"/>
  <c r="AA562" i="1"/>
  <c r="AE562" i="1"/>
  <c r="AG562" i="1"/>
  <c r="AH562" i="1"/>
  <c r="AI562" i="1"/>
  <c r="AJ562" i="1"/>
  <c r="AK562" i="1"/>
  <c r="AL562" i="1"/>
  <c r="AM562" i="1"/>
  <c r="D563" i="1"/>
  <c r="E563" i="1"/>
  <c r="Q563" i="1"/>
  <c r="AH563" i="1" s="1"/>
  <c r="S563" i="1"/>
  <c r="T563" i="1"/>
  <c r="V563" i="1" s="1"/>
  <c r="W563" i="1" s="1"/>
  <c r="U563" i="1"/>
  <c r="X563" i="1" a="1"/>
  <c r="X563" i="1" s="1"/>
  <c r="Y563" i="1"/>
  <c r="Z563" i="1" s="1"/>
  <c r="AA563" i="1"/>
  <c r="AE563" i="1"/>
  <c r="AG563" i="1"/>
  <c r="AI563" i="1"/>
  <c r="AJ563" i="1"/>
  <c r="AK563" i="1"/>
  <c r="AL563" i="1"/>
  <c r="AM563" i="1"/>
  <c r="D564" i="1"/>
  <c r="AE564" i="1" s="1"/>
  <c r="E564" i="1"/>
  <c r="Q564" i="1"/>
  <c r="AH564" i="1" s="1"/>
  <c r="S564" i="1"/>
  <c r="X564" i="1" s="1" a="1"/>
  <c r="T564" i="1"/>
  <c r="U564" i="1"/>
  <c r="V564" i="1"/>
  <c r="W564" i="1" s="1"/>
  <c r="X564" i="1"/>
  <c r="Y564" i="1"/>
  <c r="Z564" i="1" s="1"/>
  <c r="AA564" i="1"/>
  <c r="AG564" i="1"/>
  <c r="AI564" i="1"/>
  <c r="AJ564" i="1"/>
  <c r="AK564" i="1"/>
  <c r="AL564" i="1"/>
  <c r="AM564" i="1"/>
  <c r="D565" i="1"/>
  <c r="AE565" i="1" s="1"/>
  <c r="E565" i="1"/>
  <c r="Q565" i="1"/>
  <c r="AH565" i="1" s="1"/>
  <c r="S565" i="1"/>
  <c r="T565" i="1"/>
  <c r="U565" i="1"/>
  <c r="V565" i="1"/>
  <c r="W565" i="1" s="1"/>
  <c r="X565" i="1" a="1"/>
  <c r="X565" i="1"/>
  <c r="Y565" i="1"/>
  <c r="Z565" i="1" s="1"/>
  <c r="AA565" i="1"/>
  <c r="AG565" i="1"/>
  <c r="AI565" i="1"/>
  <c r="AJ565" i="1" s="1"/>
  <c r="AK565" i="1"/>
  <c r="AL565" i="1"/>
  <c r="AM565" i="1"/>
  <c r="D566" i="1"/>
  <c r="AE566" i="1" s="1"/>
  <c r="E566" i="1"/>
  <c r="Q566" i="1"/>
  <c r="S566" i="1"/>
  <c r="T566" i="1"/>
  <c r="U566" i="1"/>
  <c r="V566" i="1" s="1"/>
  <c r="W566" i="1" s="1"/>
  <c r="X566" i="1" a="1"/>
  <c r="X566" i="1"/>
  <c r="Y566" i="1"/>
  <c r="Z566" i="1"/>
  <c r="AA566" i="1"/>
  <c r="AG566" i="1"/>
  <c r="AH566" i="1"/>
  <c r="AI566" i="1"/>
  <c r="AJ566" i="1"/>
  <c r="AK566" i="1"/>
  <c r="AL566" i="1"/>
  <c r="AM566" i="1"/>
  <c r="D567" i="1"/>
  <c r="AE567" i="1" s="1"/>
  <c r="E567" i="1"/>
  <c r="Q567" i="1"/>
  <c r="S567" i="1"/>
  <c r="T567" i="1"/>
  <c r="U567" i="1"/>
  <c r="V567" i="1"/>
  <c r="W567" i="1" s="1"/>
  <c r="X567" i="1" a="1"/>
  <c r="X567" i="1"/>
  <c r="Y567" i="1"/>
  <c r="Z567" i="1" s="1"/>
  <c r="AA567" i="1"/>
  <c r="AG567" i="1"/>
  <c r="AH567" i="1"/>
  <c r="AI567" i="1"/>
  <c r="AJ567" i="1"/>
  <c r="AK567" i="1"/>
  <c r="AL567" i="1"/>
  <c r="AM567" i="1"/>
  <c r="D568" i="1"/>
  <c r="AE568" i="1" s="1"/>
  <c r="E568" i="1"/>
  <c r="Q568" i="1"/>
  <c r="AH568" i="1" s="1"/>
  <c r="S568" i="1"/>
  <c r="X568" i="1" s="1" a="1"/>
  <c r="T568" i="1"/>
  <c r="V568" i="1" s="1"/>
  <c r="W568" i="1" s="1"/>
  <c r="U568" i="1"/>
  <c r="X568" i="1"/>
  <c r="Y568" i="1"/>
  <c r="Z568" i="1"/>
  <c r="AA568" i="1"/>
  <c r="AG568" i="1"/>
  <c r="AI568" i="1"/>
  <c r="AJ568" i="1"/>
  <c r="AK568" i="1"/>
  <c r="AL568" i="1"/>
  <c r="AM568" i="1" s="1"/>
  <c r="D569" i="1"/>
  <c r="AE569" i="1" s="1"/>
  <c r="E569" i="1"/>
  <c r="Q569" i="1"/>
  <c r="S569" i="1"/>
  <c r="T569" i="1"/>
  <c r="U569" i="1"/>
  <c r="V569" i="1"/>
  <c r="W569" i="1"/>
  <c r="X569" i="1" a="1"/>
  <c r="X569" i="1" s="1"/>
  <c r="Y569" i="1"/>
  <c r="Z569" i="1" s="1"/>
  <c r="AA569" i="1"/>
  <c r="AG569" i="1"/>
  <c r="AH569" i="1"/>
  <c r="AI569" i="1"/>
  <c r="AJ569" i="1"/>
  <c r="AK569" i="1"/>
  <c r="AL569" i="1"/>
  <c r="AM569" i="1"/>
  <c r="D570" i="1"/>
  <c r="AE570" i="1" s="1"/>
  <c r="E570" i="1"/>
  <c r="Q570" i="1"/>
  <c r="S570" i="1"/>
  <c r="T570" i="1"/>
  <c r="U570" i="1"/>
  <c r="V570" i="1"/>
  <c r="W570" i="1"/>
  <c r="X570" i="1" a="1"/>
  <c r="X570" i="1"/>
  <c r="Y570" i="1"/>
  <c r="Z570" i="1" s="1"/>
  <c r="AA570" i="1"/>
  <c r="AG570" i="1"/>
  <c r="AH570" i="1"/>
  <c r="AI570" i="1"/>
  <c r="AJ570" i="1"/>
  <c r="AK570" i="1"/>
  <c r="AL570" i="1"/>
  <c r="AM570" i="1"/>
  <c r="D571" i="1"/>
  <c r="AE571" i="1" s="1"/>
  <c r="E571" i="1"/>
  <c r="Q571" i="1"/>
  <c r="S571" i="1"/>
  <c r="T571" i="1"/>
  <c r="U571" i="1"/>
  <c r="V571" i="1"/>
  <c r="W571" i="1" s="1"/>
  <c r="X571" i="1" a="1"/>
  <c r="X571" i="1"/>
  <c r="Y571" i="1"/>
  <c r="Z571" i="1" s="1"/>
  <c r="AA571" i="1"/>
  <c r="AG571" i="1"/>
  <c r="AH571" i="1"/>
  <c r="AI571" i="1"/>
  <c r="AJ571" i="1"/>
  <c r="AK571" i="1"/>
  <c r="AL571" i="1"/>
  <c r="AM571" i="1"/>
  <c r="D572" i="1"/>
  <c r="E572" i="1"/>
  <c r="Q572" i="1"/>
  <c r="AH572" i="1" s="1"/>
  <c r="S572" i="1"/>
  <c r="X572" i="1" s="1" a="1"/>
  <c r="T572" i="1"/>
  <c r="V572" i="1" s="1"/>
  <c r="W572" i="1" s="1"/>
  <c r="U572" i="1"/>
  <c r="X572" i="1"/>
  <c r="Y572" i="1"/>
  <c r="Z572" i="1" s="1"/>
  <c r="AA572" i="1"/>
  <c r="AE572" i="1"/>
  <c r="AG572" i="1"/>
  <c r="AI572" i="1"/>
  <c r="AJ572" i="1"/>
  <c r="AK572" i="1"/>
  <c r="AL572" i="1"/>
  <c r="AM572" i="1"/>
  <c r="D573" i="1"/>
  <c r="AE573" i="1" s="1"/>
  <c r="E573" i="1"/>
  <c r="Q573" i="1"/>
  <c r="S573" i="1"/>
  <c r="T573" i="1"/>
  <c r="U573" i="1"/>
  <c r="V573" i="1"/>
  <c r="W573" i="1"/>
  <c r="X573" i="1" a="1"/>
  <c r="X573" i="1" s="1"/>
  <c r="Y573" i="1"/>
  <c r="Z573" i="1" s="1"/>
  <c r="AA573" i="1"/>
  <c r="AG573" i="1"/>
  <c r="AH573" i="1"/>
  <c r="AI573" i="1"/>
  <c r="AJ573" i="1"/>
  <c r="AK573" i="1"/>
  <c r="AL573" i="1"/>
  <c r="AM573" i="1"/>
  <c r="D574" i="1"/>
  <c r="E574" i="1"/>
  <c r="Q574" i="1"/>
  <c r="S574" i="1"/>
  <c r="T574" i="1"/>
  <c r="V574" i="1" s="1"/>
  <c r="W574" i="1" s="1"/>
  <c r="U574" i="1"/>
  <c r="X574" i="1" a="1"/>
  <c r="X574" i="1"/>
  <c r="Y574" i="1"/>
  <c r="Z574" i="1" s="1"/>
  <c r="AA574" i="1"/>
  <c r="AE574" i="1"/>
  <c r="AG574" i="1"/>
  <c r="AH574" i="1"/>
  <c r="AI574" i="1"/>
  <c r="AJ574" i="1" s="1"/>
  <c r="AK574" i="1"/>
  <c r="AL574" i="1"/>
  <c r="AM574" i="1" s="1"/>
  <c r="D575" i="1"/>
  <c r="E575" i="1"/>
  <c r="Q575" i="1"/>
  <c r="AH575" i="1" s="1"/>
  <c r="S575" i="1"/>
  <c r="T575" i="1"/>
  <c r="V575" i="1" s="1"/>
  <c r="W575" i="1" s="1"/>
  <c r="U575" i="1"/>
  <c r="X575" i="1" a="1"/>
  <c r="X575" i="1" s="1"/>
  <c r="Y575" i="1"/>
  <c r="Z575" i="1" s="1"/>
  <c r="AA575" i="1"/>
  <c r="AE575" i="1"/>
  <c r="AG575" i="1"/>
  <c r="AI575" i="1"/>
  <c r="AJ575" i="1" s="1"/>
  <c r="AK575" i="1"/>
  <c r="AL575" i="1"/>
  <c r="AM575" i="1"/>
  <c r="D576" i="1"/>
  <c r="AE576" i="1" s="1"/>
  <c r="E576" i="1"/>
  <c r="Q576" i="1"/>
  <c r="AH576" i="1" s="1"/>
  <c r="S576" i="1"/>
  <c r="X576" i="1" s="1" a="1"/>
  <c r="X576" i="1" s="1"/>
  <c r="T576" i="1"/>
  <c r="V576" i="1" s="1"/>
  <c r="W576" i="1" s="1"/>
  <c r="U576" i="1"/>
  <c r="Y576" i="1"/>
  <c r="Z576" i="1" s="1"/>
  <c r="AA576" i="1"/>
  <c r="AG576" i="1"/>
  <c r="AI576" i="1"/>
  <c r="AJ576" i="1"/>
  <c r="AK576" i="1"/>
  <c r="AL576" i="1"/>
  <c r="AM576" i="1" s="1"/>
  <c r="D577" i="1"/>
  <c r="AE577" i="1" s="1"/>
  <c r="E577" i="1"/>
  <c r="Q577" i="1"/>
  <c r="S577" i="1"/>
  <c r="T577" i="1"/>
  <c r="U577" i="1"/>
  <c r="V577" i="1"/>
  <c r="W577" i="1"/>
  <c r="X577" i="1" a="1"/>
  <c r="X577" i="1" s="1"/>
  <c r="Y577" i="1"/>
  <c r="Z577" i="1" s="1"/>
  <c r="AA577" i="1"/>
  <c r="AG577" i="1"/>
  <c r="AH577" i="1"/>
  <c r="AI577" i="1"/>
  <c r="AJ577" i="1"/>
  <c r="AK577" i="1"/>
  <c r="AL577" i="1"/>
  <c r="AM577" i="1" s="1"/>
  <c r="D578" i="1"/>
  <c r="E578" i="1"/>
  <c r="Q578" i="1"/>
  <c r="S578" i="1"/>
  <c r="X578" i="1" s="1" a="1"/>
  <c r="X578" i="1" s="1"/>
  <c r="T578" i="1"/>
  <c r="V578" i="1" s="1"/>
  <c r="W578" i="1" s="1"/>
  <c r="U578" i="1"/>
  <c r="Y578" i="1"/>
  <c r="Z578" i="1"/>
  <c r="AA578" i="1"/>
  <c r="AE578" i="1"/>
  <c r="AG578" i="1"/>
  <c r="AH578" i="1"/>
  <c r="AI578" i="1"/>
  <c r="AJ578" i="1"/>
  <c r="AK578" i="1"/>
  <c r="AL578" i="1"/>
  <c r="AM578" i="1" s="1"/>
  <c r="D579" i="1"/>
  <c r="AE579" i="1" s="1"/>
  <c r="E579" i="1"/>
  <c r="Q579" i="1"/>
  <c r="S579" i="1"/>
  <c r="X579" i="1" s="1" a="1"/>
  <c r="X579" i="1" s="1"/>
  <c r="T579" i="1"/>
  <c r="U579" i="1"/>
  <c r="V579" i="1"/>
  <c r="W579" i="1"/>
  <c r="Y579" i="1"/>
  <c r="Z579" i="1" s="1"/>
  <c r="AA579" i="1"/>
  <c r="AG579" i="1"/>
  <c r="AH579" i="1"/>
  <c r="AI579" i="1"/>
  <c r="AJ579" i="1"/>
  <c r="AK579" i="1"/>
  <c r="AL579" i="1"/>
  <c r="AM579" i="1"/>
  <c r="D580" i="1"/>
  <c r="AE580" i="1" s="1"/>
  <c r="E580" i="1"/>
  <c r="Q580" i="1"/>
  <c r="AH580" i="1" s="1"/>
  <c r="S580" i="1"/>
  <c r="X580" i="1" s="1" a="1"/>
  <c r="X580" i="1" s="1"/>
  <c r="T580" i="1"/>
  <c r="U580" i="1"/>
  <c r="V580" i="1"/>
  <c r="W580" i="1" s="1"/>
  <c r="Y580" i="1"/>
  <c r="Z580" i="1"/>
  <c r="AA580" i="1"/>
  <c r="AG580" i="1"/>
  <c r="AI580" i="1"/>
  <c r="AJ580" i="1"/>
  <c r="AK580" i="1"/>
  <c r="AL580" i="1"/>
  <c r="AM580" i="1"/>
  <c r="D581" i="1"/>
  <c r="AE581" i="1" s="1"/>
  <c r="E581" i="1"/>
  <c r="Q581" i="1"/>
  <c r="S581" i="1"/>
  <c r="X581" i="1" s="1" a="1"/>
  <c r="X581" i="1" s="1"/>
  <c r="T581" i="1"/>
  <c r="U581" i="1"/>
  <c r="V581" i="1"/>
  <c r="W581" i="1" s="1"/>
  <c r="Y581" i="1"/>
  <c r="Z581" i="1" s="1"/>
  <c r="AA581" i="1"/>
  <c r="AG581" i="1"/>
  <c r="AH581" i="1"/>
  <c r="AI581" i="1"/>
  <c r="AJ581" i="1" s="1"/>
  <c r="AK581" i="1"/>
  <c r="AL581" i="1"/>
  <c r="AM581" i="1"/>
  <c r="D582" i="1"/>
  <c r="AE582" i="1" s="1"/>
  <c r="E582" i="1"/>
  <c r="Q582" i="1"/>
  <c r="S582" i="1"/>
  <c r="X582" i="1" s="1" a="1"/>
  <c r="X582" i="1" s="1"/>
  <c r="T582" i="1"/>
  <c r="V582" i="1" s="1"/>
  <c r="W582" i="1" s="1"/>
  <c r="U582" i="1"/>
  <c r="Y582" i="1"/>
  <c r="Z582" i="1"/>
  <c r="AA582" i="1"/>
  <c r="AG582" i="1"/>
  <c r="AH582" i="1"/>
  <c r="AI582" i="1"/>
  <c r="AJ582" i="1" s="1"/>
  <c r="AK582" i="1"/>
  <c r="AL582" i="1"/>
  <c r="AM582" i="1" s="1"/>
  <c r="D583" i="1"/>
  <c r="E583" i="1"/>
  <c r="Q583" i="1"/>
  <c r="S583" i="1"/>
  <c r="X583" i="1" s="1" a="1"/>
  <c r="X583" i="1" s="1"/>
  <c r="T583" i="1"/>
  <c r="U583" i="1"/>
  <c r="V583" i="1"/>
  <c r="W583" i="1" s="1"/>
  <c r="Y583" i="1"/>
  <c r="Z583" i="1" s="1"/>
  <c r="AA583" i="1"/>
  <c r="AE583" i="1"/>
  <c r="AG583" i="1"/>
  <c r="AH583" i="1"/>
  <c r="AI583" i="1"/>
  <c r="AJ583" i="1" s="1"/>
  <c r="AK583" i="1"/>
  <c r="AL583" i="1"/>
  <c r="AM583" i="1"/>
  <c r="D584" i="1"/>
  <c r="AE584" i="1" s="1"/>
  <c r="E584" i="1"/>
  <c r="Q584" i="1"/>
  <c r="AH584" i="1" s="1"/>
  <c r="S584" i="1"/>
  <c r="X584" i="1" s="1" a="1"/>
  <c r="X584" i="1" s="1"/>
  <c r="T584" i="1"/>
  <c r="V584" i="1" s="1"/>
  <c r="W584" i="1" s="1"/>
  <c r="U584" i="1"/>
  <c r="Y584" i="1"/>
  <c r="Z584" i="1" s="1"/>
  <c r="AA584" i="1"/>
  <c r="AG584" i="1"/>
  <c r="AI584" i="1"/>
  <c r="AJ584" i="1"/>
  <c r="AK584" i="1"/>
  <c r="AL584" i="1"/>
  <c r="AM584" i="1" s="1"/>
  <c r="D585" i="1"/>
  <c r="AE585" i="1" s="1"/>
  <c r="E585" i="1"/>
  <c r="Q585" i="1"/>
  <c r="AH585" i="1" s="1"/>
  <c r="S585" i="1"/>
  <c r="X585" i="1" s="1" a="1"/>
  <c r="X585" i="1" s="1"/>
  <c r="T585" i="1"/>
  <c r="U585" i="1"/>
  <c r="V585" i="1"/>
  <c r="W585" i="1"/>
  <c r="Y585" i="1"/>
  <c r="Z585" i="1" s="1"/>
  <c r="AA585" i="1"/>
  <c r="AG585" i="1"/>
  <c r="AI585" i="1"/>
  <c r="AJ585" i="1"/>
  <c r="AK585" i="1"/>
  <c r="AL585" i="1"/>
  <c r="AM585" i="1"/>
  <c r="D586" i="1"/>
  <c r="E586" i="1"/>
  <c r="Q586" i="1"/>
  <c r="S586" i="1"/>
  <c r="X586" i="1" s="1" a="1"/>
  <c r="X586" i="1" s="1"/>
  <c r="T586" i="1"/>
  <c r="U586" i="1"/>
  <c r="V586" i="1"/>
  <c r="W586" i="1"/>
  <c r="Y586" i="1"/>
  <c r="Z586" i="1"/>
  <c r="AA586" i="1"/>
  <c r="AE586" i="1"/>
  <c r="AG586" i="1"/>
  <c r="AH586" i="1"/>
  <c r="AI586" i="1"/>
  <c r="AJ586" i="1"/>
  <c r="AK586" i="1"/>
  <c r="AL586" i="1"/>
  <c r="AM586" i="1"/>
  <c r="D587" i="1"/>
  <c r="E587" i="1"/>
  <c r="Q587" i="1"/>
  <c r="AH587" i="1" s="1"/>
  <c r="S587" i="1"/>
  <c r="T587" i="1"/>
  <c r="V587" i="1" s="1"/>
  <c r="W587" i="1" s="1"/>
  <c r="U587" i="1"/>
  <c r="X587" i="1" a="1"/>
  <c r="X587" i="1" s="1"/>
  <c r="Y587" i="1"/>
  <c r="Z587" i="1" s="1"/>
  <c r="AA587" i="1"/>
  <c r="AE587" i="1"/>
  <c r="AG587" i="1"/>
  <c r="AI587" i="1"/>
  <c r="AJ587" i="1"/>
  <c r="AK587" i="1"/>
  <c r="AL587" i="1"/>
  <c r="AM587" i="1"/>
  <c r="D588" i="1"/>
  <c r="E588" i="1"/>
  <c r="Q588" i="1"/>
  <c r="AH588" i="1" s="1"/>
  <c r="S588" i="1"/>
  <c r="X588" i="1" s="1" a="1"/>
  <c r="T588" i="1"/>
  <c r="U588" i="1"/>
  <c r="V588" i="1"/>
  <c r="W588" i="1" s="1"/>
  <c r="X588" i="1"/>
  <c r="Y588" i="1"/>
  <c r="Z588" i="1"/>
  <c r="AA588" i="1"/>
  <c r="AE588" i="1"/>
  <c r="AG588" i="1"/>
  <c r="AI588" i="1"/>
  <c r="AJ588" i="1"/>
  <c r="AK588" i="1"/>
  <c r="AL588" i="1"/>
  <c r="AM588" i="1"/>
  <c r="D589" i="1"/>
  <c r="AE589" i="1" s="1"/>
  <c r="E589" i="1"/>
  <c r="Q589" i="1"/>
  <c r="AH589" i="1" s="1"/>
  <c r="S589" i="1"/>
  <c r="T589" i="1"/>
  <c r="U589" i="1"/>
  <c r="V589" i="1"/>
  <c r="W589" i="1" s="1"/>
  <c r="X589" i="1" a="1"/>
  <c r="X589" i="1"/>
  <c r="Y589" i="1"/>
  <c r="Z589" i="1"/>
  <c r="AA589" i="1"/>
  <c r="AG589" i="1"/>
  <c r="AI589" i="1"/>
  <c r="AJ589" i="1" s="1"/>
  <c r="AK589" i="1"/>
  <c r="AL589" i="1"/>
  <c r="AM589" i="1"/>
  <c r="D590" i="1"/>
  <c r="AE590" i="1" s="1"/>
  <c r="E590" i="1"/>
  <c r="Q590" i="1"/>
  <c r="S590" i="1"/>
  <c r="T590" i="1"/>
  <c r="U590" i="1"/>
  <c r="V590" i="1" s="1"/>
  <c r="W590" i="1"/>
  <c r="X590" i="1" a="1"/>
  <c r="X590" i="1"/>
  <c r="Y590" i="1"/>
  <c r="Z590" i="1"/>
  <c r="AA590" i="1"/>
  <c r="AG590" i="1"/>
  <c r="AH590" i="1"/>
  <c r="AI590" i="1"/>
  <c r="AJ590" i="1"/>
  <c r="AK590" i="1"/>
  <c r="AL590" i="1"/>
  <c r="AM590" i="1" s="1"/>
  <c r="D591" i="1"/>
  <c r="AE591" i="1" s="1"/>
  <c r="E591" i="1"/>
  <c r="Q591" i="1"/>
  <c r="S591" i="1"/>
  <c r="T591" i="1"/>
  <c r="U591" i="1"/>
  <c r="V591" i="1"/>
  <c r="W591" i="1" s="1"/>
  <c r="X591" i="1" a="1"/>
  <c r="X591" i="1" s="1"/>
  <c r="Y591" i="1"/>
  <c r="Z591" i="1" s="1"/>
  <c r="AA591" i="1"/>
  <c r="AG591" i="1"/>
  <c r="AH591" i="1"/>
  <c r="AI591" i="1"/>
  <c r="AJ591" i="1"/>
  <c r="AK591" i="1"/>
  <c r="AL591" i="1"/>
  <c r="AM591" i="1"/>
  <c r="D592" i="1"/>
  <c r="AE592" i="1" s="1"/>
  <c r="E592" i="1"/>
  <c r="Q592" i="1"/>
  <c r="AH592" i="1" s="1"/>
  <c r="S592" i="1"/>
  <c r="X592" i="1" s="1" a="1"/>
  <c r="T592" i="1"/>
  <c r="U592" i="1"/>
  <c r="V592" i="1"/>
  <c r="W592" i="1" s="1"/>
  <c r="X592" i="1"/>
  <c r="Y592" i="1"/>
  <c r="Z592" i="1" s="1"/>
  <c r="AA592" i="1"/>
  <c r="AG592" i="1"/>
  <c r="AI592" i="1"/>
  <c r="AJ592" i="1"/>
  <c r="AK592" i="1"/>
  <c r="AL592" i="1"/>
  <c r="AM592" i="1"/>
  <c r="D593" i="1"/>
  <c r="AE593" i="1" s="1"/>
  <c r="E593" i="1"/>
  <c r="Q593" i="1"/>
  <c r="S593" i="1"/>
  <c r="T593" i="1"/>
  <c r="U593" i="1"/>
  <c r="V593" i="1"/>
  <c r="W593" i="1"/>
  <c r="X593" i="1" a="1"/>
  <c r="X593" i="1"/>
  <c r="Y593" i="1"/>
  <c r="Z593" i="1" s="1"/>
  <c r="AA593" i="1"/>
  <c r="AG593" i="1"/>
  <c r="AH593" i="1"/>
  <c r="AI593" i="1"/>
  <c r="AJ593" i="1"/>
  <c r="AK593" i="1"/>
  <c r="AL593" i="1"/>
  <c r="AM593" i="1"/>
  <c r="D594" i="1"/>
  <c r="AE594" i="1" s="1"/>
  <c r="E594" i="1"/>
  <c r="Q594" i="1"/>
  <c r="S594" i="1"/>
  <c r="T594" i="1"/>
  <c r="U594" i="1"/>
  <c r="V594" i="1"/>
  <c r="W594" i="1"/>
  <c r="X594" i="1" a="1"/>
  <c r="X594" i="1"/>
  <c r="Y594" i="1"/>
  <c r="Z594" i="1"/>
  <c r="AA594" i="1"/>
  <c r="AG594" i="1"/>
  <c r="AH594" i="1"/>
  <c r="AI594" i="1"/>
  <c r="AJ594" i="1" s="1"/>
  <c r="AK594" i="1"/>
  <c r="AL594" i="1"/>
  <c r="AM594" i="1"/>
  <c r="D595" i="1"/>
  <c r="AE595" i="1" s="1"/>
  <c r="E595" i="1"/>
  <c r="Q595" i="1"/>
  <c r="S595" i="1"/>
  <c r="T595" i="1"/>
  <c r="U595" i="1"/>
  <c r="V595" i="1"/>
  <c r="W595" i="1"/>
  <c r="X595" i="1" a="1"/>
  <c r="X595" i="1"/>
  <c r="Y595" i="1"/>
  <c r="Z595" i="1" s="1"/>
  <c r="AA595" i="1"/>
  <c r="AG595" i="1"/>
  <c r="AH595" i="1"/>
  <c r="AI595" i="1"/>
  <c r="AJ595" i="1" s="1"/>
  <c r="AK595" i="1"/>
  <c r="AL595" i="1"/>
  <c r="AM595" i="1"/>
  <c r="D596" i="1"/>
  <c r="E596" i="1"/>
  <c r="Q596" i="1"/>
  <c r="AH596" i="1" s="1"/>
  <c r="S596" i="1"/>
  <c r="X596" i="1" s="1" a="1"/>
  <c r="T596" i="1"/>
  <c r="V596" i="1" s="1"/>
  <c r="W596" i="1" s="1"/>
  <c r="U596" i="1"/>
  <c r="X596" i="1"/>
  <c r="Y596" i="1"/>
  <c r="Z596" i="1"/>
  <c r="AA596" i="1"/>
  <c r="AE596" i="1"/>
  <c r="AG596" i="1"/>
  <c r="AI596" i="1"/>
  <c r="AJ596" i="1"/>
  <c r="AK596" i="1"/>
  <c r="AL596" i="1"/>
  <c r="AM596" i="1" s="1"/>
  <c r="D597" i="1"/>
  <c r="AE597" i="1" s="1"/>
  <c r="E597" i="1"/>
  <c r="Q597" i="1"/>
  <c r="AH597" i="1" s="1"/>
  <c r="S597" i="1"/>
  <c r="T597" i="1"/>
  <c r="U597" i="1"/>
  <c r="V597" i="1"/>
  <c r="W597" i="1"/>
  <c r="X597" i="1" a="1"/>
  <c r="X597" i="1"/>
  <c r="Y597" i="1"/>
  <c r="Z597" i="1" s="1"/>
  <c r="AA597" i="1"/>
  <c r="AG597" i="1"/>
  <c r="AI597" i="1"/>
  <c r="AJ597" i="1"/>
  <c r="AK597" i="1"/>
  <c r="AL597" i="1"/>
  <c r="AM597" i="1"/>
  <c r="D598" i="1"/>
  <c r="E598" i="1"/>
  <c r="Q598" i="1"/>
  <c r="S598" i="1"/>
  <c r="T598" i="1"/>
  <c r="U598" i="1"/>
  <c r="V598" i="1"/>
  <c r="W598" i="1" s="1"/>
  <c r="X598" i="1" a="1"/>
  <c r="X598" i="1"/>
  <c r="Y598" i="1"/>
  <c r="Z598" i="1" s="1"/>
  <c r="AA598" i="1"/>
  <c r="AE598" i="1"/>
  <c r="AG598" i="1"/>
  <c r="AH598" i="1"/>
  <c r="AI598" i="1"/>
  <c r="AJ598" i="1"/>
  <c r="AK598" i="1"/>
  <c r="AL598" i="1"/>
  <c r="AM598" i="1" s="1"/>
  <c r="D599" i="1"/>
  <c r="E599" i="1"/>
  <c r="Q599" i="1"/>
  <c r="S599" i="1"/>
  <c r="T599" i="1"/>
  <c r="V599" i="1" s="1"/>
  <c r="W599" i="1" s="1"/>
  <c r="U599" i="1"/>
  <c r="X599" i="1" a="1"/>
  <c r="X599" i="1"/>
  <c r="Y599" i="1"/>
  <c r="Z599" i="1" s="1"/>
  <c r="AA599" i="1"/>
  <c r="AE599" i="1"/>
  <c r="AG599" i="1"/>
  <c r="AH599" i="1"/>
  <c r="AI599" i="1"/>
  <c r="AJ599" i="1" s="1"/>
  <c r="AK599" i="1"/>
  <c r="AL599" i="1"/>
  <c r="AM599" i="1"/>
  <c r="D600" i="1"/>
  <c r="E600" i="1"/>
  <c r="Q600" i="1"/>
  <c r="AH600" i="1" s="1"/>
  <c r="S600" i="1"/>
  <c r="X600" i="1" s="1" a="1"/>
  <c r="X600" i="1" s="1"/>
  <c r="T600" i="1"/>
  <c r="U600" i="1"/>
  <c r="V600" i="1"/>
  <c r="W600" i="1" s="1"/>
  <c r="Y600" i="1"/>
  <c r="Z600" i="1" s="1"/>
  <c r="AA600" i="1"/>
  <c r="AE600" i="1"/>
  <c r="AG600" i="1"/>
  <c r="AI600" i="1"/>
  <c r="AJ600" i="1"/>
  <c r="AK600" i="1"/>
  <c r="AL600" i="1"/>
  <c r="AM600" i="1" s="1"/>
  <c r="D601" i="1"/>
  <c r="AE601" i="1" s="1"/>
  <c r="E601" i="1"/>
  <c r="Q601" i="1"/>
  <c r="S601" i="1"/>
  <c r="T601" i="1"/>
  <c r="U601" i="1"/>
  <c r="V601" i="1"/>
  <c r="W601" i="1"/>
  <c r="X601" i="1" a="1"/>
  <c r="X601" i="1" s="1"/>
  <c r="Y601" i="1"/>
  <c r="Z601" i="1" s="1"/>
  <c r="AA601" i="1"/>
  <c r="AG601" i="1"/>
  <c r="AH601" i="1"/>
  <c r="AI601" i="1"/>
  <c r="AJ601" i="1"/>
  <c r="AK601" i="1"/>
  <c r="AL601" i="1"/>
  <c r="AM601" i="1" s="1"/>
  <c r="D602" i="1"/>
  <c r="E602" i="1"/>
  <c r="Q602" i="1"/>
  <c r="S602" i="1"/>
  <c r="X602" i="1" s="1" a="1"/>
  <c r="X602" i="1" s="1"/>
  <c r="T602" i="1"/>
  <c r="V602" i="1" s="1"/>
  <c r="W602" i="1" s="1"/>
  <c r="U602" i="1"/>
  <c r="Y602" i="1"/>
  <c r="Z602" i="1"/>
  <c r="AA602" i="1"/>
  <c r="AE602" i="1"/>
  <c r="AG602" i="1"/>
  <c r="AH602" i="1"/>
  <c r="AI602" i="1"/>
  <c r="AJ602" i="1" s="1"/>
  <c r="AK602" i="1"/>
  <c r="AL602" i="1"/>
  <c r="AM602" i="1" s="1"/>
  <c r="D603" i="1"/>
  <c r="AE603" i="1" s="1"/>
  <c r="E603" i="1"/>
  <c r="Q603" i="1"/>
  <c r="S603" i="1"/>
  <c r="T603" i="1"/>
  <c r="U603" i="1"/>
  <c r="V603" i="1"/>
  <c r="W603" i="1"/>
  <c r="X603" i="1" a="1"/>
  <c r="X603" i="1" s="1"/>
  <c r="Y603" i="1"/>
  <c r="Z603" i="1" s="1"/>
  <c r="AA603" i="1"/>
  <c r="AG603" i="1"/>
  <c r="AH603" i="1"/>
  <c r="AI603" i="1"/>
  <c r="AJ603" i="1"/>
  <c r="AK603" i="1"/>
  <c r="AL603" i="1"/>
  <c r="AM603" i="1"/>
  <c r="D604" i="1"/>
  <c r="AE604" i="1" s="1"/>
  <c r="E604" i="1"/>
  <c r="Q604" i="1"/>
  <c r="S604" i="1"/>
  <c r="X604" i="1" s="1" a="1"/>
  <c r="X604" i="1" s="1"/>
  <c r="T604" i="1"/>
  <c r="U604" i="1"/>
  <c r="V604" i="1"/>
  <c r="W604" i="1" s="1"/>
  <c r="Y604" i="1"/>
  <c r="Z604" i="1"/>
  <c r="AA604" i="1"/>
  <c r="AG604" i="1"/>
  <c r="AH604" i="1"/>
  <c r="AI604" i="1"/>
  <c r="AJ604" i="1"/>
  <c r="AK604" i="1"/>
  <c r="AL604" i="1"/>
  <c r="AM604" i="1" s="1"/>
  <c r="D605" i="1"/>
  <c r="E605" i="1"/>
  <c r="Q605" i="1"/>
  <c r="AH605" i="1" s="1"/>
  <c r="S605" i="1"/>
  <c r="T605" i="1"/>
  <c r="V605" i="1" s="1"/>
  <c r="W605" i="1" s="1"/>
  <c r="U605" i="1"/>
  <c r="X605" i="1" a="1"/>
  <c r="X605" i="1"/>
  <c r="Y605" i="1"/>
  <c r="Z605" i="1" s="1"/>
  <c r="AA605" i="1"/>
  <c r="AE605" i="1"/>
  <c r="AG605" i="1"/>
  <c r="AI605" i="1"/>
  <c r="AJ605" i="1"/>
  <c r="AK605" i="1"/>
  <c r="AL605" i="1"/>
  <c r="AM605" i="1" s="1"/>
  <c r="D606" i="1"/>
  <c r="AE606" i="1" s="1"/>
  <c r="E606" i="1"/>
  <c r="Q606" i="1"/>
  <c r="S606" i="1"/>
  <c r="T606" i="1"/>
  <c r="U606" i="1"/>
  <c r="V606" i="1"/>
  <c r="W606" i="1"/>
  <c r="X606" i="1" a="1"/>
  <c r="X606" i="1" s="1"/>
  <c r="Y606" i="1"/>
  <c r="Z606" i="1" s="1"/>
  <c r="AA606" i="1"/>
  <c r="AG606" i="1"/>
  <c r="AH606" i="1"/>
  <c r="AI606" i="1"/>
  <c r="AJ606" i="1"/>
  <c r="AK606" i="1"/>
  <c r="AL606" i="1"/>
  <c r="AM606" i="1" s="1"/>
  <c r="D607" i="1"/>
  <c r="AE607" i="1" s="1"/>
  <c r="E607" i="1"/>
  <c r="Q607" i="1"/>
  <c r="S607" i="1"/>
  <c r="T607" i="1"/>
  <c r="U607" i="1"/>
  <c r="V607" i="1"/>
  <c r="W607" i="1"/>
  <c r="X607" i="1" a="1"/>
  <c r="X607" i="1"/>
  <c r="Y607" i="1"/>
  <c r="Z607" i="1" s="1"/>
  <c r="AA607" i="1"/>
  <c r="AG607" i="1"/>
  <c r="AH607" i="1"/>
  <c r="AI607" i="1"/>
  <c r="AJ607" i="1"/>
  <c r="AK607" i="1"/>
  <c r="AL607" i="1"/>
  <c r="AM607" i="1"/>
  <c r="D608" i="1"/>
  <c r="E608" i="1"/>
  <c r="Q608" i="1"/>
  <c r="S608" i="1"/>
  <c r="X608" i="1" s="1" a="1"/>
  <c r="T608" i="1"/>
  <c r="U608" i="1"/>
  <c r="V608" i="1"/>
  <c r="W608" i="1"/>
  <c r="X608" i="1"/>
  <c r="Y608" i="1"/>
  <c r="Z608" i="1"/>
  <c r="AA608" i="1"/>
  <c r="AE608" i="1"/>
  <c r="AG608" i="1"/>
  <c r="AH608" i="1"/>
  <c r="AI608" i="1"/>
  <c r="AJ608" i="1"/>
  <c r="AK608" i="1"/>
  <c r="AL608" i="1"/>
  <c r="AM608" i="1"/>
  <c r="D609" i="1"/>
  <c r="E609" i="1"/>
  <c r="Q609" i="1"/>
  <c r="S609" i="1"/>
  <c r="T609" i="1"/>
  <c r="U609" i="1"/>
  <c r="V609" i="1"/>
  <c r="W609" i="1" s="1"/>
  <c r="X609" i="1" a="1"/>
  <c r="X609" i="1"/>
  <c r="Y609" i="1"/>
  <c r="Z609" i="1" s="1"/>
  <c r="AA609" i="1"/>
  <c r="AE609" i="1"/>
  <c r="AG609" i="1"/>
  <c r="AH609" i="1"/>
  <c r="AI609" i="1"/>
  <c r="AJ609" i="1" s="1"/>
  <c r="AK609" i="1"/>
  <c r="AL609" i="1"/>
  <c r="AM609" i="1" s="1"/>
  <c r="D610" i="1"/>
  <c r="E610" i="1"/>
  <c r="Q610" i="1"/>
  <c r="S610" i="1"/>
  <c r="X610" i="1" s="1" a="1"/>
  <c r="X610" i="1" s="1"/>
  <c r="T610" i="1"/>
  <c r="U610" i="1"/>
  <c r="V610" i="1"/>
  <c r="W610" i="1"/>
  <c r="Y610" i="1"/>
  <c r="Z610" i="1"/>
  <c r="AA610" i="1"/>
  <c r="AE610" i="1"/>
  <c r="AG610" i="1"/>
  <c r="AH610" i="1"/>
  <c r="AI610" i="1"/>
  <c r="AJ610" i="1" s="1"/>
  <c r="AK610" i="1"/>
  <c r="AL610" i="1"/>
  <c r="AM610" i="1"/>
  <c r="D611" i="1"/>
  <c r="AE611" i="1" s="1"/>
  <c r="E611" i="1"/>
  <c r="Q611" i="1"/>
  <c r="S611" i="1"/>
  <c r="X611" i="1" s="1" a="1"/>
  <c r="X611" i="1" s="1"/>
  <c r="T611" i="1"/>
  <c r="V611" i="1" s="1"/>
  <c r="W611" i="1" s="1"/>
  <c r="U611" i="1"/>
  <c r="Y611" i="1"/>
  <c r="Z611" i="1" s="1"/>
  <c r="AA611" i="1"/>
  <c r="AG611" i="1"/>
  <c r="AH611" i="1"/>
  <c r="AI611" i="1"/>
  <c r="AJ611" i="1" s="1"/>
  <c r="AK611" i="1"/>
  <c r="AL611" i="1"/>
  <c r="AM611" i="1"/>
  <c r="D612" i="1"/>
  <c r="E612" i="1"/>
  <c r="Q612" i="1"/>
  <c r="AH612" i="1" s="1"/>
  <c r="S612" i="1"/>
  <c r="X612" i="1" s="1" a="1"/>
  <c r="T612" i="1"/>
  <c r="V612" i="1" s="1"/>
  <c r="W612" i="1" s="1"/>
  <c r="U612" i="1"/>
  <c r="X612" i="1"/>
  <c r="Y612" i="1"/>
  <c r="Z612" i="1" s="1"/>
  <c r="AA612" i="1"/>
  <c r="AE612" i="1"/>
  <c r="AG612" i="1"/>
  <c r="AI612" i="1"/>
  <c r="AJ612" i="1"/>
  <c r="AK612" i="1"/>
  <c r="AL612" i="1"/>
  <c r="AM612" i="1" s="1"/>
  <c r="D613" i="1"/>
  <c r="AE613" i="1" s="1"/>
  <c r="E613" i="1"/>
  <c r="Q613" i="1"/>
  <c r="S613" i="1"/>
  <c r="T613" i="1"/>
  <c r="U613" i="1"/>
  <c r="V613" i="1"/>
  <c r="W613" i="1"/>
  <c r="X613" i="1" a="1"/>
  <c r="X613" i="1" s="1"/>
  <c r="Y613" i="1"/>
  <c r="Z613" i="1"/>
  <c r="AA613" i="1"/>
  <c r="AG613" i="1"/>
  <c r="AH613" i="1"/>
  <c r="AI613" i="1"/>
  <c r="AJ613" i="1"/>
  <c r="AK613" i="1"/>
  <c r="AL613" i="1"/>
  <c r="AM613" i="1" s="1"/>
  <c r="D614" i="1"/>
  <c r="AE614" i="1" s="1"/>
  <c r="E614" i="1"/>
  <c r="Q614" i="1"/>
  <c r="S614" i="1"/>
  <c r="T614" i="1"/>
  <c r="U614" i="1"/>
  <c r="V614" i="1"/>
  <c r="W614" i="1"/>
  <c r="X614" i="1" a="1"/>
  <c r="X614" i="1" s="1"/>
  <c r="Y614" i="1"/>
  <c r="Z614" i="1"/>
  <c r="AA614" i="1"/>
  <c r="AG614" i="1"/>
  <c r="AH614" i="1"/>
  <c r="AI614" i="1"/>
  <c r="AJ614" i="1"/>
  <c r="AK614" i="1"/>
  <c r="AL614" i="1"/>
  <c r="AM614" i="1" s="1"/>
  <c r="D615" i="1"/>
  <c r="E615" i="1"/>
  <c r="Q615" i="1"/>
  <c r="S615" i="1"/>
  <c r="T615" i="1"/>
  <c r="U615" i="1"/>
  <c r="V615" i="1"/>
  <c r="W615" i="1"/>
  <c r="X615" i="1" a="1"/>
  <c r="X615" i="1"/>
  <c r="Y615" i="1"/>
  <c r="Z615" i="1" s="1"/>
  <c r="AA615" i="1"/>
  <c r="AE615" i="1"/>
  <c r="AG615" i="1"/>
  <c r="AH615" i="1"/>
  <c r="AI615" i="1"/>
  <c r="AJ615" i="1"/>
  <c r="AK615" i="1"/>
  <c r="AL615" i="1"/>
  <c r="AM615" i="1"/>
  <c r="D616" i="1"/>
  <c r="E616" i="1"/>
  <c r="Q616" i="1"/>
  <c r="S616" i="1"/>
  <c r="X616" i="1" s="1" a="1"/>
  <c r="T616" i="1"/>
  <c r="V616" i="1" s="1"/>
  <c r="W616" i="1" s="1"/>
  <c r="U616" i="1"/>
  <c r="X616" i="1"/>
  <c r="Y616" i="1"/>
  <c r="Z616" i="1" s="1"/>
  <c r="AA616" i="1"/>
  <c r="AE616" i="1"/>
  <c r="AG616" i="1"/>
  <c r="AH616" i="1"/>
  <c r="AI616" i="1"/>
  <c r="AJ616" i="1"/>
  <c r="AK616" i="1"/>
  <c r="AL616" i="1"/>
  <c r="AM616" i="1"/>
  <c r="D617" i="1"/>
  <c r="AE617" i="1" s="1"/>
  <c r="E617" i="1"/>
  <c r="Q617" i="1"/>
  <c r="AH617" i="1" s="1"/>
  <c r="S617" i="1"/>
  <c r="X617" i="1" s="1" a="1"/>
  <c r="X617" i="1" s="1"/>
  <c r="T617" i="1"/>
  <c r="U617" i="1"/>
  <c r="V617" i="1"/>
  <c r="W617" i="1" s="1"/>
  <c r="Y617" i="1"/>
  <c r="Z617" i="1"/>
  <c r="AA617" i="1"/>
  <c r="AG617" i="1"/>
  <c r="AI617" i="1"/>
  <c r="AJ617" i="1" s="1"/>
  <c r="AK617" i="1"/>
  <c r="AL617" i="1"/>
  <c r="AM617" i="1"/>
  <c r="D618" i="1"/>
  <c r="AE618" i="1" s="1"/>
  <c r="E618" i="1"/>
  <c r="Q618" i="1"/>
  <c r="S618" i="1"/>
  <c r="X618" i="1" s="1" a="1"/>
  <c r="T618" i="1"/>
  <c r="V618" i="1" s="1"/>
  <c r="W618" i="1" s="1"/>
  <c r="U618" i="1"/>
  <c r="X618" i="1"/>
  <c r="Y618" i="1"/>
  <c r="Z618" i="1" s="1"/>
  <c r="AA618" i="1"/>
  <c r="AG618" i="1"/>
  <c r="AH618" i="1"/>
  <c r="AI618" i="1"/>
  <c r="AJ618" i="1"/>
  <c r="AK618" i="1"/>
  <c r="AL618" i="1"/>
  <c r="AM618" i="1" s="1"/>
  <c r="D619" i="1"/>
  <c r="E619" i="1"/>
  <c r="Q619" i="1"/>
  <c r="AH619" i="1" s="1"/>
  <c r="S619" i="1"/>
  <c r="X619" i="1" s="1" a="1"/>
  <c r="X619" i="1" s="1"/>
  <c r="T619" i="1"/>
  <c r="V619" i="1" s="1"/>
  <c r="W619" i="1" s="1"/>
  <c r="U619" i="1"/>
  <c r="Y619" i="1"/>
  <c r="Z619" i="1" s="1"/>
  <c r="AA619" i="1"/>
  <c r="AE619" i="1"/>
  <c r="AG619" i="1"/>
  <c r="AI619" i="1"/>
  <c r="AJ619" i="1"/>
  <c r="AK619" i="1"/>
  <c r="AL619" i="1"/>
  <c r="AM619" i="1"/>
  <c r="D620" i="1"/>
  <c r="AE620" i="1" s="1"/>
  <c r="E620" i="1"/>
  <c r="Q620" i="1"/>
  <c r="S620" i="1"/>
  <c r="X620" i="1" s="1" a="1"/>
  <c r="T620" i="1"/>
  <c r="U620" i="1"/>
  <c r="V620" i="1"/>
  <c r="W620" i="1" s="1"/>
  <c r="X620" i="1"/>
  <c r="Y620" i="1"/>
  <c r="Z620" i="1"/>
  <c r="AA620" i="1"/>
  <c r="AG620" i="1"/>
  <c r="AH620" i="1"/>
  <c r="AI620" i="1"/>
  <c r="AJ620" i="1"/>
  <c r="AK620" i="1"/>
  <c r="AL620" i="1"/>
  <c r="AM620" i="1"/>
  <c r="D621" i="1"/>
  <c r="E621" i="1"/>
  <c r="Q621" i="1"/>
  <c r="S621" i="1"/>
  <c r="T621" i="1"/>
  <c r="V621" i="1" s="1"/>
  <c r="W621" i="1" s="1"/>
  <c r="U621" i="1"/>
  <c r="X621" i="1" a="1"/>
  <c r="X621" i="1"/>
  <c r="Y621" i="1"/>
  <c r="Z621" i="1" s="1"/>
  <c r="AA621" i="1"/>
  <c r="AE621" i="1"/>
  <c r="AG621" i="1"/>
  <c r="AH621" i="1"/>
  <c r="AI621" i="1"/>
  <c r="AJ621" i="1"/>
  <c r="AK621" i="1"/>
  <c r="AL621" i="1"/>
  <c r="AM621" i="1" s="1"/>
  <c r="D622" i="1"/>
  <c r="E622" i="1"/>
  <c r="Q622" i="1"/>
  <c r="S622" i="1"/>
  <c r="X622" i="1" s="1" a="1"/>
  <c r="X622" i="1" s="1"/>
  <c r="T622" i="1"/>
  <c r="U622" i="1"/>
  <c r="V622" i="1"/>
  <c r="W622" i="1"/>
  <c r="Y622" i="1"/>
  <c r="Z622" i="1" s="1"/>
  <c r="AA622" i="1"/>
  <c r="AE622" i="1"/>
  <c r="AG622" i="1"/>
  <c r="AH622" i="1"/>
  <c r="AI622" i="1"/>
  <c r="AJ622" i="1"/>
  <c r="AK622" i="1"/>
  <c r="AL622" i="1"/>
  <c r="AM622" i="1" s="1"/>
  <c r="D623" i="1"/>
  <c r="E623" i="1"/>
  <c r="Q623" i="1"/>
  <c r="S623" i="1"/>
  <c r="T623" i="1"/>
  <c r="U623" i="1"/>
  <c r="V623" i="1"/>
  <c r="W623" i="1"/>
  <c r="X623" i="1" a="1"/>
  <c r="X623" i="1"/>
  <c r="Y623" i="1"/>
  <c r="Z623" i="1" s="1"/>
  <c r="AA623" i="1"/>
  <c r="AE623" i="1"/>
  <c r="AG623" i="1"/>
  <c r="AH623" i="1"/>
  <c r="AI623" i="1"/>
  <c r="AJ623" i="1"/>
  <c r="AK623" i="1"/>
  <c r="AL623" i="1"/>
  <c r="AM623" i="1"/>
  <c r="D624" i="1"/>
  <c r="AE624" i="1" s="1"/>
  <c r="E624" i="1"/>
  <c r="Q624" i="1"/>
  <c r="AH624" i="1" s="1"/>
  <c r="S624" i="1"/>
  <c r="X624" i="1" s="1" a="1"/>
  <c r="X624" i="1" s="1"/>
  <c r="T624" i="1"/>
  <c r="U624" i="1"/>
  <c r="V624" i="1"/>
  <c r="W624" i="1"/>
  <c r="Y624" i="1"/>
  <c r="Z624" i="1" s="1"/>
  <c r="AA624" i="1"/>
  <c r="AG624" i="1"/>
  <c r="AI624" i="1"/>
  <c r="AJ624" i="1"/>
  <c r="AK624" i="1"/>
  <c r="AL624" i="1"/>
  <c r="AM624" i="1"/>
  <c r="D625" i="1"/>
  <c r="AE625" i="1" s="1"/>
  <c r="E625" i="1"/>
  <c r="Q625" i="1"/>
  <c r="AH625" i="1" s="1"/>
  <c r="S625" i="1"/>
  <c r="X625" i="1" s="1" a="1"/>
  <c r="T625" i="1"/>
  <c r="V625" i="1" s="1"/>
  <c r="W625" i="1" s="1"/>
  <c r="U625" i="1"/>
  <c r="X625" i="1"/>
  <c r="Y625" i="1"/>
  <c r="Z625" i="1"/>
  <c r="AA625" i="1"/>
  <c r="AG625" i="1"/>
  <c r="AI625" i="1"/>
  <c r="AJ625" i="1" s="1"/>
  <c r="AK625" i="1"/>
  <c r="AL625" i="1"/>
  <c r="AM625" i="1"/>
  <c r="D626" i="1"/>
  <c r="AE626" i="1" s="1"/>
  <c r="E626" i="1"/>
  <c r="Q626" i="1"/>
  <c r="S626" i="1"/>
  <c r="T626" i="1"/>
  <c r="U626" i="1"/>
  <c r="V626" i="1" s="1"/>
  <c r="W626" i="1"/>
  <c r="X626" i="1" a="1"/>
  <c r="X626" i="1"/>
  <c r="Y626" i="1"/>
  <c r="Z626" i="1"/>
  <c r="AA626" i="1"/>
  <c r="AG626" i="1"/>
  <c r="AH626" i="1"/>
  <c r="AI626" i="1"/>
  <c r="AJ626" i="1"/>
  <c r="AK626" i="1"/>
  <c r="AL626" i="1"/>
  <c r="AM626" i="1"/>
  <c r="D627" i="1"/>
  <c r="AE627" i="1" s="1"/>
  <c r="E627" i="1"/>
  <c r="Q627" i="1"/>
  <c r="AH627" i="1" s="1"/>
  <c r="S627" i="1"/>
  <c r="T627" i="1"/>
  <c r="U627" i="1"/>
  <c r="V627" i="1"/>
  <c r="W627" i="1"/>
  <c r="X627" i="1" a="1"/>
  <c r="X627" i="1"/>
  <c r="Y627" i="1"/>
  <c r="Z627" i="1" s="1"/>
  <c r="AA627" i="1"/>
  <c r="AG627" i="1"/>
  <c r="AI627" i="1"/>
  <c r="AJ627" i="1"/>
  <c r="AK627" i="1"/>
  <c r="AL627" i="1"/>
  <c r="AM627" i="1"/>
  <c r="D628" i="1"/>
  <c r="AE628" i="1" s="1"/>
  <c r="E628" i="1"/>
  <c r="Q628" i="1"/>
  <c r="S628" i="1"/>
  <c r="X628" i="1" s="1" a="1"/>
  <c r="T628" i="1"/>
  <c r="U628" i="1"/>
  <c r="V628" i="1"/>
  <c r="W628" i="1"/>
  <c r="X628" i="1"/>
  <c r="Y628" i="1"/>
  <c r="Z628" i="1"/>
  <c r="AA628" i="1"/>
  <c r="AG628" i="1"/>
  <c r="AH628" i="1"/>
  <c r="AI628" i="1"/>
  <c r="AJ628" i="1"/>
  <c r="AK628" i="1"/>
  <c r="AL628" i="1"/>
  <c r="AM628" i="1" s="1"/>
  <c r="D629" i="1"/>
  <c r="E629" i="1"/>
  <c r="Q629" i="1"/>
  <c r="S629" i="1"/>
  <c r="X629" i="1" s="1" a="1"/>
  <c r="X629" i="1" s="1"/>
  <c r="T629" i="1"/>
  <c r="V629" i="1" s="1"/>
  <c r="W629" i="1" s="1"/>
  <c r="U629" i="1"/>
  <c r="Y629" i="1"/>
  <c r="Z629" i="1" s="1"/>
  <c r="AA629" i="1"/>
  <c r="AE629" i="1"/>
  <c r="AG629" i="1"/>
  <c r="AH629" i="1"/>
  <c r="AI629" i="1"/>
  <c r="AJ629" i="1" s="1"/>
  <c r="AK629" i="1"/>
  <c r="AL629" i="1"/>
  <c r="AM629" i="1" s="1"/>
  <c r="D630" i="1"/>
  <c r="AE630" i="1" s="1"/>
  <c r="E630" i="1"/>
  <c r="Q630" i="1"/>
  <c r="S630" i="1"/>
  <c r="X630" i="1" s="1" a="1"/>
  <c r="X630" i="1" s="1"/>
  <c r="T630" i="1"/>
  <c r="U630" i="1"/>
  <c r="V630" i="1"/>
  <c r="W630" i="1"/>
  <c r="Y630" i="1"/>
  <c r="Z630" i="1" s="1"/>
  <c r="AA630" i="1"/>
  <c r="AG630" i="1"/>
  <c r="AH630" i="1"/>
  <c r="AI630" i="1"/>
  <c r="AJ630" i="1"/>
  <c r="AK630" i="1"/>
  <c r="AL630" i="1"/>
  <c r="AM630" i="1" s="1"/>
  <c r="D631" i="1"/>
  <c r="E631" i="1"/>
  <c r="Q631" i="1"/>
  <c r="S631" i="1"/>
  <c r="X631" i="1" s="1" a="1"/>
  <c r="X631" i="1" s="1"/>
  <c r="T631" i="1"/>
  <c r="U631" i="1"/>
  <c r="V631" i="1"/>
  <c r="W631" i="1"/>
  <c r="Y631" i="1"/>
  <c r="Z631" i="1"/>
  <c r="AA631" i="1"/>
  <c r="AE631" i="1"/>
  <c r="AG631" i="1"/>
  <c r="AH631" i="1"/>
  <c r="AI631" i="1"/>
  <c r="AJ631" i="1"/>
  <c r="AK631" i="1"/>
  <c r="AL631" i="1"/>
  <c r="AM631" i="1" s="1"/>
  <c r="AF2" i="1"/>
  <c r="AK11" i="13"/>
  <c r="AJ11" i="13"/>
  <c r="AH11" i="13"/>
  <c r="AF11" i="13"/>
  <c r="AA11" i="13"/>
  <c r="Y11" i="13"/>
  <c r="Z11" i="13" s="1"/>
  <c r="U11" i="13"/>
  <c r="T11" i="13"/>
  <c r="V11" i="13" s="1"/>
  <c r="W11" i="13" s="1"/>
  <c r="S11" i="13"/>
  <c r="X11" i="13" s="1" a="1"/>
  <c r="X11" i="13" s="1"/>
  <c r="Q11" i="13"/>
  <c r="E11" i="13"/>
  <c r="D11" i="13"/>
  <c r="AD11" i="13" s="1"/>
  <c r="AK10" i="13"/>
  <c r="AJ10" i="13"/>
  <c r="AH10" i="13"/>
  <c r="AF10" i="13"/>
  <c r="AA10" i="13"/>
  <c r="AB10" i="13" s="1"/>
  <c r="AC10" i="13" s="1"/>
  <c r="Y10" i="13"/>
  <c r="Z10" i="13" s="1"/>
  <c r="U10" i="13"/>
  <c r="T10" i="13"/>
  <c r="V10" i="13" s="1"/>
  <c r="W10" i="13" s="1"/>
  <c r="S10" i="13"/>
  <c r="X10" i="13" s="1" a="1"/>
  <c r="X10" i="13" s="1"/>
  <c r="Q10" i="13"/>
  <c r="E10" i="13"/>
  <c r="D10" i="13"/>
  <c r="AD10" i="13" s="1"/>
  <c r="AK9" i="13"/>
  <c r="AJ9" i="13"/>
  <c r="AH9" i="13"/>
  <c r="AF9" i="13"/>
  <c r="AA9" i="13"/>
  <c r="AB9" i="13" s="1"/>
  <c r="AC9" i="13" s="1"/>
  <c r="Y9" i="13"/>
  <c r="Z9" i="13" s="1"/>
  <c r="U9" i="13"/>
  <c r="T9" i="13"/>
  <c r="V9" i="13" s="1"/>
  <c r="W9" i="13" s="1"/>
  <c r="S9" i="13"/>
  <c r="X9" i="13" s="1" a="1"/>
  <c r="X9" i="13" s="1"/>
  <c r="Q9" i="13"/>
  <c r="E9" i="13"/>
  <c r="D9" i="13"/>
  <c r="AD9" i="13" s="1"/>
  <c r="AK8" i="13"/>
  <c r="AJ8" i="13"/>
  <c r="AH8" i="13"/>
  <c r="AF8" i="13"/>
  <c r="AA8" i="13"/>
  <c r="AB8" i="13" s="1"/>
  <c r="AC8" i="13" s="1"/>
  <c r="Y8" i="13"/>
  <c r="Z8" i="13" s="1"/>
  <c r="U8" i="13"/>
  <c r="T8" i="13"/>
  <c r="V8" i="13" s="1"/>
  <c r="W8" i="13" s="1"/>
  <c r="S8" i="13"/>
  <c r="X8" i="13" s="1" a="1"/>
  <c r="X8" i="13" s="1"/>
  <c r="Q8" i="13"/>
  <c r="E8" i="13"/>
  <c r="D8" i="13"/>
  <c r="AD8" i="13" s="1"/>
  <c r="AE8" i="13" s="1"/>
  <c r="AK7" i="13"/>
  <c r="AJ7" i="13"/>
  <c r="AH7" i="13"/>
  <c r="AF7" i="13"/>
  <c r="AA7" i="13"/>
  <c r="AB7" i="13" s="1"/>
  <c r="AC7" i="13" s="1"/>
  <c r="Y7" i="13"/>
  <c r="Z7" i="13" s="1"/>
  <c r="U7" i="13"/>
  <c r="T7" i="13"/>
  <c r="V7" i="13" s="1"/>
  <c r="W7" i="13" s="1"/>
  <c r="S7" i="13"/>
  <c r="X7" i="13" s="1" a="1"/>
  <c r="X7" i="13" s="1"/>
  <c r="Q7" i="13"/>
  <c r="E7" i="13"/>
  <c r="D7" i="13"/>
  <c r="AD7" i="13" s="1"/>
  <c r="AK6" i="13"/>
  <c r="AJ6" i="13"/>
  <c r="AH6" i="13"/>
  <c r="AF6" i="13"/>
  <c r="AA6" i="13"/>
  <c r="AB6" i="13" s="1"/>
  <c r="AC6" i="13" s="1"/>
  <c r="Y6" i="13"/>
  <c r="Z6" i="13" s="1"/>
  <c r="U6" i="13"/>
  <c r="T6" i="13"/>
  <c r="V6" i="13" s="1"/>
  <c r="W6" i="13" s="1"/>
  <c r="S6" i="13"/>
  <c r="X6" i="13" s="1" a="1"/>
  <c r="X6" i="13" s="1"/>
  <c r="Q6" i="13"/>
  <c r="E6" i="13"/>
  <c r="D6" i="13"/>
  <c r="AD6" i="13" s="1"/>
  <c r="AK5" i="13"/>
  <c r="AJ5" i="13"/>
  <c r="AH5" i="13"/>
  <c r="AF5" i="13"/>
  <c r="AA5" i="13"/>
  <c r="AB5" i="13" s="1"/>
  <c r="AC5" i="13" s="1"/>
  <c r="Y5" i="13"/>
  <c r="Z5" i="13" s="1"/>
  <c r="U5" i="13"/>
  <c r="T5" i="13"/>
  <c r="V5" i="13" s="1"/>
  <c r="W5" i="13" s="1"/>
  <c r="S5" i="13"/>
  <c r="X5" i="13" s="1" a="1"/>
  <c r="X5" i="13" s="1"/>
  <c r="Q5" i="13"/>
  <c r="E5" i="13"/>
  <c r="D5" i="13"/>
  <c r="AD5" i="13" s="1"/>
  <c r="AK4" i="13"/>
  <c r="AJ4" i="13"/>
  <c r="AH4" i="13"/>
  <c r="AF4" i="13"/>
  <c r="AA4" i="13"/>
  <c r="AB4" i="13" s="1"/>
  <c r="AC4" i="13" s="1"/>
  <c r="Y4" i="13"/>
  <c r="Z4" i="13" s="1"/>
  <c r="U4" i="13"/>
  <c r="T4" i="13"/>
  <c r="V4" i="13" s="1"/>
  <c r="W4" i="13" s="1"/>
  <c r="S4" i="13"/>
  <c r="X4" i="13" s="1" a="1"/>
  <c r="X4" i="13" s="1"/>
  <c r="Q4" i="13"/>
  <c r="E4" i="13"/>
  <c r="D4" i="13"/>
  <c r="AD4" i="13" s="1"/>
  <c r="AE4" i="13" s="1"/>
  <c r="AK3" i="13"/>
  <c r="AJ3" i="13"/>
  <c r="AH3" i="13"/>
  <c r="AF3" i="13"/>
  <c r="AA3" i="13"/>
  <c r="AB3" i="13" s="1"/>
  <c r="AC3" i="13" s="1"/>
  <c r="Y3" i="13"/>
  <c r="Z3" i="13" s="1"/>
  <c r="U3" i="13"/>
  <c r="T3" i="13"/>
  <c r="V3" i="13" s="1"/>
  <c r="W3" i="13" s="1"/>
  <c r="S3" i="13"/>
  <c r="X3" i="13" s="1" a="1"/>
  <c r="X3" i="13" s="1"/>
  <c r="Q3" i="13"/>
  <c r="E3" i="13"/>
  <c r="D3" i="13"/>
  <c r="AD3" i="13" s="1"/>
  <c r="AK2" i="13"/>
  <c r="AJ2" i="13"/>
  <c r="AH2" i="13"/>
  <c r="AF2" i="13"/>
  <c r="AA2" i="13"/>
  <c r="AB2" i="13" s="1"/>
  <c r="AC2" i="13" s="1"/>
  <c r="Y2" i="13"/>
  <c r="Z2" i="13" s="1"/>
  <c r="U2" i="13"/>
  <c r="T2" i="13"/>
  <c r="V2" i="13" s="1"/>
  <c r="W2" i="13" s="1"/>
  <c r="S2" i="13"/>
  <c r="X2" i="13" s="1" a="1"/>
  <c r="X2" i="13" s="1"/>
  <c r="Q2" i="13"/>
  <c r="E2" i="13"/>
  <c r="D2" i="13"/>
  <c r="AD2" i="13" s="1"/>
  <c r="AE2" i="13" s="1"/>
  <c r="V304" i="1" l="1"/>
  <c r="W304" i="1" s="1"/>
  <c r="V414" i="1"/>
  <c r="W414" i="1" s="1"/>
  <c r="V472" i="1"/>
  <c r="W472" i="1" s="1"/>
  <c r="AB11" i="1"/>
  <c r="AC10" i="1"/>
  <c r="AN10" i="1" s="1" a="1"/>
  <c r="AN10" i="1" s="1"/>
  <c r="AD10" i="1"/>
  <c r="V8" i="1"/>
  <c r="W8" i="1" s="1"/>
  <c r="AC7" i="1"/>
  <c r="AN7" i="1" s="1" a="1"/>
  <c r="AN7" i="1" s="1"/>
  <c r="AD7" i="1"/>
  <c r="V534" i="1"/>
  <c r="W534" i="1" s="1"/>
  <c r="V482" i="1"/>
  <c r="W482" i="1" s="1"/>
  <c r="AC5" i="1"/>
  <c r="AN5" i="1" s="1" a="1"/>
  <c r="AN5" i="1" s="1"/>
  <c r="AD5" i="1"/>
  <c r="V412" i="1"/>
  <c r="W412" i="1" s="1"/>
  <c r="V511" i="1"/>
  <c r="W511" i="1" s="1"/>
  <c r="V430" i="1"/>
  <c r="W430" i="1" s="1"/>
  <c r="V490" i="1"/>
  <c r="W490" i="1" s="1"/>
  <c r="V474" i="1"/>
  <c r="W474" i="1" s="1"/>
  <c r="V424" i="1"/>
  <c r="W424" i="1" s="1"/>
  <c r="V459" i="1"/>
  <c r="W459" i="1" s="1"/>
  <c r="V454" i="1"/>
  <c r="W454" i="1" s="1"/>
  <c r="V427" i="1"/>
  <c r="W427" i="1" s="1"/>
  <c r="V330" i="1"/>
  <c r="W330" i="1" s="1"/>
  <c r="V318" i="1"/>
  <c r="W318" i="1" s="1"/>
  <c r="V291" i="1"/>
  <c r="W291" i="1" s="1"/>
  <c r="V450" i="1"/>
  <c r="W450" i="1" s="1"/>
  <c r="V478" i="1"/>
  <c r="W478" i="1" s="1"/>
  <c r="V466" i="1"/>
  <c r="W466" i="1" s="1"/>
  <c r="V276" i="1"/>
  <c r="W276" i="1" s="1"/>
  <c r="V346" i="1"/>
  <c r="W346" i="1" s="1"/>
  <c r="V287" i="1"/>
  <c r="W287" i="1" s="1"/>
  <c r="V258" i="1"/>
  <c r="W258" i="1" s="1"/>
  <c r="V342" i="1"/>
  <c r="W342" i="1" s="1"/>
  <c r="V329" i="1"/>
  <c r="W329" i="1" s="1"/>
  <c r="V283" i="1"/>
  <c r="W283" i="1" s="1"/>
  <c r="V299" i="1"/>
  <c r="W299" i="1" s="1"/>
  <c r="V234" i="1"/>
  <c r="W234" i="1" s="1"/>
  <c r="V228" i="1"/>
  <c r="W228" i="1" s="1"/>
  <c r="V220" i="1"/>
  <c r="W220" i="1" s="1"/>
  <c r="V204" i="1"/>
  <c r="W204" i="1" s="1"/>
  <c r="V202" i="1"/>
  <c r="W202" i="1" s="1"/>
  <c r="V230" i="1"/>
  <c r="W230" i="1" s="1"/>
  <c r="V272" i="1"/>
  <c r="W272" i="1" s="1"/>
  <c r="V262" i="1"/>
  <c r="W262" i="1" s="1"/>
  <c r="V239" i="1"/>
  <c r="W239" i="1" s="1"/>
  <c r="V158" i="1"/>
  <c r="W158" i="1" s="1"/>
  <c r="V149" i="1"/>
  <c r="W149" i="1" s="1"/>
  <c r="V77" i="1"/>
  <c r="W77" i="1" s="1"/>
  <c r="V226" i="1"/>
  <c r="W226" i="1" s="1"/>
  <c r="V218" i="1"/>
  <c r="W218" i="1" s="1"/>
  <c r="V176" i="1"/>
  <c r="W176" i="1" s="1"/>
  <c r="V166" i="1"/>
  <c r="W166" i="1" s="1"/>
  <c r="V140" i="1"/>
  <c r="W140" i="1" s="1"/>
  <c r="V81" i="1"/>
  <c r="W81" i="1" s="1"/>
  <c r="V133" i="1"/>
  <c r="W133" i="1" s="1"/>
  <c r="V118" i="1"/>
  <c r="W118" i="1" s="1"/>
  <c r="V68" i="1"/>
  <c r="W68" i="1" s="1"/>
  <c r="V137" i="1"/>
  <c r="W137" i="1" s="1"/>
  <c r="AC6" i="1"/>
  <c r="AN6" i="1" s="1" a="1"/>
  <c r="AN6" i="1" s="1"/>
  <c r="AD6" i="1"/>
  <c r="V113" i="1"/>
  <c r="W113" i="1" s="1"/>
  <c r="AD14" i="1"/>
  <c r="AB15" i="1"/>
  <c r="V65" i="1"/>
  <c r="W65" i="1" s="1"/>
  <c r="V54" i="1"/>
  <c r="W54" i="1" s="1"/>
  <c r="V60" i="1"/>
  <c r="W60" i="1" s="1"/>
  <c r="V59" i="1"/>
  <c r="W59" i="1" s="1"/>
  <c r="V48" i="1"/>
  <c r="W48" i="1" s="1"/>
  <c r="V67" i="1"/>
  <c r="W67" i="1" s="1"/>
  <c r="V56" i="1"/>
  <c r="W56" i="1" s="1"/>
  <c r="V44" i="1"/>
  <c r="W44" i="1" s="1"/>
  <c r="V40" i="1"/>
  <c r="W40" i="1" s="1"/>
  <c r="V36" i="1"/>
  <c r="W36" i="1" s="1"/>
  <c r="V64" i="1"/>
  <c r="W64" i="1" s="1"/>
  <c r="V18" i="1"/>
  <c r="W18" i="1" s="1"/>
  <c r="AC9" i="1"/>
  <c r="AN9" i="1" s="1" a="1"/>
  <c r="AN9" i="1" s="1"/>
  <c r="AC3" i="1"/>
  <c r="AN3" i="1" s="1" a="1"/>
  <c r="AN3" i="1" s="1"/>
  <c r="AD3" i="1"/>
  <c r="AE10" i="13"/>
  <c r="AE6" i="13"/>
  <c r="AE9" i="13"/>
  <c r="AE11" i="13"/>
  <c r="AE3" i="13"/>
  <c r="AE7" i="13"/>
  <c r="AE5" i="13"/>
  <c r="AB11" i="13"/>
  <c r="AC11" i="13" s="1"/>
  <c r="AD11" i="1" l="1"/>
  <c r="AB12" i="1"/>
  <c r="AC11" i="1"/>
  <c r="AN11" i="1" s="1" a="1"/>
  <c r="AN11" i="1" s="1"/>
  <c r="AD15" i="1"/>
  <c r="AB16" i="1"/>
  <c r="AC15" i="1"/>
  <c r="AN15" i="1" s="1" a="1"/>
  <c r="AN15" i="1" s="1"/>
  <c r="D4" i="12"/>
  <c r="E4" i="12"/>
  <c r="F4" i="12"/>
  <c r="D3" i="12"/>
  <c r="E3" i="12"/>
  <c r="F3" i="12"/>
  <c r="C4" i="12"/>
  <c r="C3" i="12"/>
  <c r="AL2" i="1"/>
  <c r="AM2" i="1" s="1"/>
  <c r="AL21" i="1"/>
  <c r="AM21" i="1" s="1"/>
  <c r="AL33" i="1"/>
  <c r="AM33" i="1" s="1"/>
  <c r="AI2" i="1"/>
  <c r="AJ2" i="1" s="1"/>
  <c r="AI21" i="1"/>
  <c r="AJ21" i="1" s="1"/>
  <c r="AI33" i="1"/>
  <c r="AJ33" i="1" s="1"/>
  <c r="Y2" i="1"/>
  <c r="Z2" i="1" s="1"/>
  <c r="Y21" i="1"/>
  <c r="Z21" i="1" s="1"/>
  <c r="Y33" i="1"/>
  <c r="Z33" i="1" s="1"/>
  <c r="AK2" i="1"/>
  <c r="AK21" i="1"/>
  <c r="AK33" i="1"/>
  <c r="Q2" i="1"/>
  <c r="AH2" i="1" s="1"/>
  <c r="Q21" i="1"/>
  <c r="AH21" i="1" s="1"/>
  <c r="Q33" i="1"/>
  <c r="AH33" i="1" s="1"/>
  <c r="AG2" i="1"/>
  <c r="AG21" i="1"/>
  <c r="AG33" i="1"/>
  <c r="M25" i="7"/>
  <c r="M6" i="7"/>
  <c r="M7" i="7"/>
  <c r="M8" i="7"/>
  <c r="M9" i="7"/>
  <c r="M10" i="7"/>
  <c r="M11" i="7"/>
  <c r="M12" i="7"/>
  <c r="M13" i="7"/>
  <c r="M14" i="7"/>
  <c r="M15" i="7"/>
  <c r="M16" i="7"/>
  <c r="M17" i="7"/>
  <c r="M18" i="7"/>
  <c r="M19" i="7"/>
  <c r="M20" i="7"/>
  <c r="M21" i="7"/>
  <c r="M22" i="7"/>
  <c r="M23" i="7"/>
  <c r="M24"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5" i="7"/>
  <c r="AA2" i="1"/>
  <c r="AA21" i="1"/>
  <c r="AA33" i="1"/>
  <c r="E21" i="1"/>
  <c r="E33" i="1"/>
  <c r="E2" i="1"/>
  <c r="U21" i="1"/>
  <c r="U33" i="1"/>
  <c r="U2" i="1"/>
  <c r="T21" i="1"/>
  <c r="T33" i="1"/>
  <c r="T2" i="1"/>
  <c r="D21" i="1"/>
  <c r="AE21" i="1" s="1"/>
  <c r="D33" i="1"/>
  <c r="AE33" i="1" s="1"/>
  <c r="D2" i="1"/>
  <c r="AE2" i="1" s="1"/>
  <c r="S21" i="1"/>
  <c r="X21" i="1" s="1" a="1"/>
  <c r="X21" i="1" s="1"/>
  <c r="S33" i="1"/>
  <c r="X33" i="1" s="1" a="1"/>
  <c r="X33" i="1" s="1"/>
  <c r="S2" i="1"/>
  <c r="X2" i="1" s="1" a="1"/>
  <c r="X2" i="1" s="1"/>
  <c r="AC16" i="1" l="1"/>
  <c r="AN16" i="1" s="1" a="1"/>
  <c r="AN16" i="1" s="1"/>
  <c r="AD16" i="1"/>
  <c r="AB17" i="1"/>
  <c r="AF3" i="1"/>
  <c r="AF4" i="1"/>
  <c r="AF13" i="1"/>
  <c r="AF27" i="1"/>
  <c r="AF17" i="1"/>
  <c r="AF35" i="1"/>
  <c r="AF39" i="1"/>
  <c r="AF43" i="1"/>
  <c r="AF8" i="1"/>
  <c r="AF16" i="1"/>
  <c r="AF26" i="1"/>
  <c r="AF30" i="1"/>
  <c r="AF34" i="1"/>
  <c r="AF38" i="1"/>
  <c r="AF55" i="1"/>
  <c r="AF87" i="1"/>
  <c r="AF69" i="1"/>
  <c r="AF22" i="1"/>
  <c r="AF25" i="1"/>
  <c r="AF73" i="1"/>
  <c r="AF47" i="1"/>
  <c r="AF60" i="1"/>
  <c r="AF66" i="1"/>
  <c r="AF72" i="1"/>
  <c r="AF106" i="1"/>
  <c r="AF118" i="1"/>
  <c r="AF137" i="1"/>
  <c r="AF77" i="1"/>
  <c r="AF98" i="1"/>
  <c r="AF102" i="1"/>
  <c r="AF31" i="1"/>
  <c r="AF59" i="1"/>
  <c r="AF62" i="1"/>
  <c r="AF64" i="1"/>
  <c r="AF117" i="1"/>
  <c r="AF101" i="1"/>
  <c r="AF108" i="1"/>
  <c r="AF116" i="1"/>
  <c r="AF130" i="1"/>
  <c r="AF97" i="1"/>
  <c r="AF125" i="1"/>
  <c r="AF163" i="1"/>
  <c r="AF171" i="1"/>
  <c r="AF71" i="1"/>
  <c r="AF132" i="1"/>
  <c r="AF144" i="1"/>
  <c r="AF183" i="1"/>
  <c r="AF67" i="1"/>
  <c r="AF153" i="1"/>
  <c r="AF166" i="1"/>
  <c r="AF167" i="1"/>
  <c r="AF179" i="1"/>
  <c r="AF184" i="1"/>
  <c r="AF175" i="1"/>
  <c r="AF195" i="1"/>
  <c r="AF204" i="1"/>
  <c r="AF44" i="1"/>
  <c r="AF96" i="1"/>
  <c r="AF154" i="1"/>
  <c r="AF187" i="1"/>
  <c r="AF190" i="1"/>
  <c r="AF202" i="1"/>
  <c r="AF214" i="1"/>
  <c r="AF141" i="1"/>
  <c r="AF161" i="1"/>
  <c r="AF255" i="1"/>
  <c r="AF260" i="1"/>
  <c r="AF238" i="1"/>
  <c r="AF157" i="1"/>
  <c r="AF174" i="1"/>
  <c r="AF186" i="1"/>
  <c r="AF198" i="1"/>
  <c r="AF211" i="1"/>
  <c r="AF222" i="1"/>
  <c r="AF194" i="1"/>
  <c r="AF203" i="1"/>
  <c r="AF258" i="1"/>
  <c r="AF281" i="1"/>
  <c r="AF302" i="1"/>
  <c r="AF196" i="1"/>
  <c r="AF219" i="1"/>
  <c r="AF268" i="1"/>
  <c r="AF280" i="1"/>
  <c r="AF298" i="1"/>
  <c r="AF313" i="1"/>
  <c r="AF212" i="1"/>
  <c r="AF227" i="1"/>
  <c r="AF287" i="1"/>
  <c r="AF240" i="1"/>
  <c r="AF279" i="1"/>
  <c r="AF306" i="1"/>
  <c r="AF46" i="1"/>
  <c r="AF267" i="1"/>
  <c r="AF350" i="1"/>
  <c r="AF353" i="1"/>
  <c r="AF369" i="1"/>
  <c r="AF305" i="1"/>
  <c r="AF126" i="1"/>
  <c r="AF278" i="1"/>
  <c r="AF285" i="1"/>
  <c r="AF349" i="1"/>
  <c r="AF358" i="1"/>
  <c r="AF376" i="1"/>
  <c r="AF384" i="1"/>
  <c r="AF274" i="1"/>
  <c r="AF318" i="1"/>
  <c r="AF337" i="1"/>
  <c r="AF264" i="1"/>
  <c r="AF440" i="1"/>
  <c r="AF246" i="1"/>
  <c r="AF262" i="1"/>
  <c r="AF428" i="1"/>
  <c r="AF275" i="1"/>
  <c r="AF374" i="1"/>
  <c r="AF412" i="1"/>
  <c r="AF434" i="1"/>
  <c r="AF462" i="1"/>
  <c r="AF463" i="1"/>
  <c r="AF464" i="1"/>
  <c r="AF474" i="1"/>
  <c r="AF475" i="1"/>
  <c r="AF476" i="1"/>
  <c r="AF456" i="1"/>
  <c r="AF317" i="1"/>
  <c r="AF329" i="1"/>
  <c r="AF483" i="1"/>
  <c r="AF484" i="1"/>
  <c r="AF286" i="1"/>
  <c r="AF232" i="1"/>
  <c r="AF370" i="1"/>
  <c r="AF598" i="1"/>
  <c r="AF615" i="1"/>
  <c r="AF502" i="1"/>
  <c r="AF622" i="1"/>
  <c r="AF555" i="1"/>
  <c r="AF388" i="1"/>
  <c r="AF447" i="1"/>
  <c r="AF602" i="1"/>
  <c r="AF526" i="1"/>
  <c r="AF538" i="1"/>
  <c r="AF575" i="1"/>
  <c r="AF427" i="1"/>
  <c r="AF571" i="1"/>
  <c r="AF610" i="1"/>
  <c r="AF411" i="1"/>
  <c r="AF574" i="1"/>
  <c r="AF559" i="1"/>
  <c r="AF623" i="1"/>
  <c r="AF527" i="1"/>
  <c r="AF415" i="1"/>
  <c r="AF612" i="1"/>
  <c r="AF7" i="1"/>
  <c r="AF480" i="1"/>
  <c r="AF467" i="1"/>
  <c r="AF471" i="1"/>
  <c r="AF487" i="1"/>
  <c r="AF562" i="1"/>
  <c r="AF619" i="1"/>
  <c r="AF452" i="1"/>
  <c r="AF455" i="1"/>
  <c r="AF531" i="1"/>
  <c r="AF551" i="1"/>
  <c r="AF373" i="1"/>
  <c r="AF468" i="1"/>
  <c r="AF550" i="1"/>
  <c r="AF530" i="1"/>
  <c r="AF546" i="1"/>
  <c r="AF390" i="1"/>
  <c r="AF563" i="1"/>
  <c r="AF578" i="1"/>
  <c r="AF354" i="1"/>
  <c r="AF595" i="1"/>
  <c r="AF628" i="1"/>
  <c r="AF495" i="1"/>
  <c r="AF284" i="1"/>
  <c r="AF18" i="1"/>
  <c r="AF496" i="1"/>
  <c r="AF586" i="1"/>
  <c r="AF500" i="1"/>
  <c r="AF599" i="1"/>
  <c r="AF479" i="1"/>
  <c r="AF554" i="1"/>
  <c r="AF512" i="1"/>
  <c r="AF584" i="1"/>
  <c r="AF230" i="1"/>
  <c r="AF417" i="1"/>
  <c r="AF399" i="1"/>
  <c r="AF627" i="1"/>
  <c r="AF593" i="1"/>
  <c r="AF459" i="1"/>
  <c r="AF542" i="1"/>
  <c r="AF379" i="1"/>
  <c r="AF597" i="1"/>
  <c r="AF382" i="1"/>
  <c r="AF461" i="1"/>
  <c r="AF189" i="1"/>
  <c r="AF309" i="1"/>
  <c r="AF315" i="1"/>
  <c r="AF160" i="1"/>
  <c r="AF327" i="1"/>
  <c r="AF378" i="1"/>
  <c r="AF314" i="1"/>
  <c r="AF265" i="1"/>
  <c r="AF276" i="1"/>
  <c r="AF225" i="1"/>
  <c r="AF237" i="1"/>
  <c r="AF269" i="1"/>
  <c r="AF61" i="1"/>
  <c r="AF139" i="1"/>
  <c r="AF112" i="1"/>
  <c r="AF104" i="1"/>
  <c r="AF14" i="1"/>
  <c r="AF68" i="1"/>
  <c r="AF10" i="1"/>
  <c r="AF82" i="1"/>
  <c r="AF590" i="1"/>
  <c r="AF347" i="1"/>
  <c r="AF292" i="1"/>
  <c r="AF206" i="1"/>
  <c r="AF248" i="1"/>
  <c r="AF332" i="1"/>
  <c r="AF328" i="1"/>
  <c r="AF271" i="1"/>
  <c r="AF199" i="1"/>
  <c r="AF159" i="1"/>
  <c r="AF89" i="1"/>
  <c r="AF9" i="1"/>
  <c r="AF299" i="1"/>
  <c r="AF631" i="1"/>
  <c r="AF497" i="1"/>
  <c r="AF300" i="1"/>
  <c r="AF221" i="1"/>
  <c r="AF172" i="1"/>
  <c r="AF168" i="1"/>
  <c r="AF54" i="1"/>
  <c r="AF151" i="1"/>
  <c r="AF508" i="1"/>
  <c r="AF616" i="1"/>
  <c r="AF339" i="1"/>
  <c r="AF366" i="1"/>
  <c r="AF439" i="1"/>
  <c r="AF375" i="1"/>
  <c r="AF424" i="1"/>
  <c r="AF149" i="1"/>
  <c r="AF156" i="1"/>
  <c r="AF217" i="1"/>
  <c r="AF121" i="1"/>
  <c r="AF74" i="1"/>
  <c r="AF609" i="1"/>
  <c r="AF236" i="1"/>
  <c r="AF357" i="1"/>
  <c r="AF296" i="1"/>
  <c r="AF100" i="1"/>
  <c r="AF148" i="1"/>
  <c r="AF164" i="1"/>
  <c r="AF233" i="1"/>
  <c r="AF56" i="1"/>
  <c r="AF41" i="1"/>
  <c r="AF534" i="1"/>
  <c r="AF501" i="1"/>
  <c r="AF533" i="1"/>
  <c r="AF435" i="1"/>
  <c r="AF363" i="1"/>
  <c r="AF325" i="1"/>
  <c r="AF197" i="1"/>
  <c r="AF377" i="1"/>
  <c r="AF209" i="1"/>
  <c r="AF94" i="1"/>
  <c r="AF594" i="1"/>
  <c r="AF620" i="1"/>
  <c r="AF519" i="1"/>
  <c r="AF450" i="1"/>
  <c r="AF178" i="1"/>
  <c r="AF152" i="1"/>
  <c r="AF145" i="1"/>
  <c r="AF37" i="1"/>
  <c r="AF539" i="1"/>
  <c r="AF310" i="1"/>
  <c r="AF482" i="1"/>
  <c r="AF414" i="1"/>
  <c r="AF441" i="1"/>
  <c r="AF192" i="1"/>
  <c r="AF380" i="1"/>
  <c r="AF364" i="1"/>
  <c r="AF365" i="1"/>
  <c r="AF293" i="1"/>
  <c r="AF250" i="1"/>
  <c r="AF5" i="1"/>
  <c r="AF583" i="1"/>
  <c r="AF308" i="1"/>
  <c r="AF613" i="1"/>
  <c r="AF572" i="1"/>
  <c r="AF356" i="1"/>
  <c r="AF146" i="1"/>
  <c r="AF326" i="1"/>
  <c r="AF273" i="1"/>
  <c r="AF283" i="1"/>
  <c r="AF249" i="1"/>
  <c r="AF50" i="1"/>
  <c r="AF28" i="1"/>
  <c r="AF618" i="1"/>
  <c r="AF454" i="1"/>
  <c r="AF580" i="1"/>
  <c r="AF436" i="1"/>
  <c r="AF614" i="1"/>
  <c r="AF511" i="1"/>
  <c r="AF591" i="1"/>
  <c r="AF592" i="1"/>
  <c r="AF408" i="1"/>
  <c r="AF397" i="1"/>
  <c r="AF588" i="1"/>
  <c r="AF561" i="1"/>
  <c r="AF272" i="1"/>
  <c r="AF545" i="1"/>
  <c r="AF515" i="1"/>
  <c r="AF485" i="1"/>
  <c r="AF288" i="1"/>
  <c r="AF312" i="1"/>
  <c r="AF573" i="1"/>
  <c r="AF521" i="1"/>
  <c r="AF304" i="1"/>
  <c r="AF244" i="1"/>
  <c r="AF344" i="1"/>
  <c r="AF413" i="1"/>
  <c r="AF252" i="1"/>
  <c r="AF361" i="1"/>
  <c r="AF119" i="1"/>
  <c r="AF307" i="1"/>
  <c r="AF247" i="1"/>
  <c r="AF231" i="1"/>
  <c r="AF213" i="1"/>
  <c r="AF114" i="1"/>
  <c r="AF169" i="1"/>
  <c r="AF208" i="1"/>
  <c r="AF134" i="1"/>
  <c r="AF155" i="1"/>
  <c r="AF93" i="1"/>
  <c r="AF218" i="1"/>
  <c r="AF220" i="1"/>
  <c r="AF549" i="1"/>
  <c r="AF451" i="1"/>
  <c r="AF431" i="1"/>
  <c r="AF228" i="1"/>
  <c r="AF355" i="1"/>
  <c r="AF291" i="1"/>
  <c r="AF259" i="1"/>
  <c r="AF191" i="1"/>
  <c r="AF201" i="1"/>
  <c r="AF147" i="1"/>
  <c r="AF560" i="1"/>
  <c r="AF498" i="1"/>
  <c r="AF422" i="1"/>
  <c r="AF596" i="1"/>
  <c r="AF529" i="1"/>
  <c r="AF282" i="1"/>
  <c r="AF261" i="1"/>
  <c r="AF180" i="1"/>
  <c r="AF241" i="1"/>
  <c r="AF177" i="1"/>
  <c r="AF129" i="1"/>
  <c r="AF20" i="1"/>
  <c r="AF625" i="1"/>
  <c r="AF535" i="1"/>
  <c r="AF517" i="1"/>
  <c r="AF360" i="1"/>
  <c r="AF453" i="1"/>
  <c r="AF423" i="1"/>
  <c r="AF133" i="1"/>
  <c r="AF85" i="1"/>
  <c r="AF36" i="1"/>
  <c r="AF131" i="1"/>
  <c r="AF568" i="1"/>
  <c r="AF367" i="1"/>
  <c r="AF401" i="1"/>
  <c r="AF115" i="1"/>
  <c r="AF346" i="1"/>
  <c r="AF205" i="1"/>
  <c r="AF266" i="1"/>
  <c r="AF52" i="1"/>
  <c r="AF45" i="1"/>
  <c r="AF536" i="1"/>
  <c r="AF394" i="1"/>
  <c r="AF410" i="1"/>
  <c r="AF458" i="1"/>
  <c r="AF430" i="1"/>
  <c r="AF113" i="1"/>
  <c r="AF173" i="1"/>
  <c r="AF335" i="1"/>
  <c r="AF359" i="1"/>
  <c r="AF76" i="1"/>
  <c r="AF499" i="1"/>
  <c r="AF80" i="1"/>
  <c r="AF336" i="1"/>
  <c r="AF437" i="1"/>
  <c r="AF421" i="1"/>
  <c r="AF567" i="1"/>
  <c r="AF581" i="1"/>
  <c r="AF351" i="1"/>
  <c r="AF368" i="1"/>
  <c r="AF124" i="1"/>
  <c r="AF122" i="1"/>
  <c r="AF532" i="1"/>
  <c r="AF605" i="1"/>
  <c r="AF386" i="1"/>
  <c r="AF235" i="1"/>
  <c r="AF303" i="1"/>
  <c r="AF409" i="1"/>
  <c r="AF138" i="1"/>
  <c r="AF86" i="1"/>
  <c r="AF32" i="1"/>
  <c r="AF472" i="1"/>
  <c r="AF503" i="1"/>
  <c r="AF548" i="1"/>
  <c r="AF601" i="1"/>
  <c r="AF553" i="1"/>
  <c r="AF352" i="1"/>
  <c r="AF381" i="1"/>
  <c r="AF297" i="1"/>
  <c r="AF338" i="1"/>
  <c r="AF110" i="1"/>
  <c r="AF105" i="1"/>
  <c r="AF442" i="1"/>
  <c r="AF524" i="1"/>
  <c r="AF295" i="1"/>
  <c r="AF457" i="1"/>
  <c r="AF565" i="1"/>
  <c r="AF426" i="1"/>
  <c r="AF543" i="1"/>
  <c r="AF606" i="1"/>
  <c r="AF446" i="1"/>
  <c r="AF491" i="1"/>
  <c r="AF443" i="1"/>
  <c r="AF429" i="1"/>
  <c r="AF12" i="1"/>
  <c r="AF321" i="1"/>
  <c r="AF109" i="1"/>
  <c r="AF6" i="1"/>
  <c r="AF385" i="1"/>
  <c r="AF107" i="1"/>
  <c r="AF589" i="1"/>
  <c r="AF320" i="1"/>
  <c r="AF403" i="1"/>
  <c r="AF210" i="1"/>
  <c r="AF143" i="1"/>
  <c r="AF611" i="1"/>
  <c r="AF11" i="1"/>
  <c r="AF504" i="1"/>
  <c r="AF19" i="1"/>
  <c r="AF604" i="1"/>
  <c r="AF600" i="1"/>
  <c r="AF478" i="1"/>
  <c r="AF558" i="1"/>
  <c r="AF608" i="1"/>
  <c r="AF547" i="1"/>
  <c r="AF587" i="1"/>
  <c r="AF514" i="1"/>
  <c r="AF518" i="1"/>
  <c r="AF566" i="1"/>
  <c r="AF438" i="1"/>
  <c r="AF544" i="1"/>
  <c r="AF520" i="1"/>
  <c r="AF516" i="1"/>
  <c r="AF207" i="1"/>
  <c r="AF404" i="1"/>
  <c r="AF525" i="1"/>
  <c r="AF342" i="1"/>
  <c r="AF433" i="1"/>
  <c r="AF393" i="1"/>
  <c r="AF407" i="1"/>
  <c r="AF449" i="1"/>
  <c r="AF200" i="1"/>
  <c r="AF239" i="1"/>
  <c r="AF289" i="1"/>
  <c r="AF311" i="1"/>
  <c r="AF405" i="1"/>
  <c r="AF243" i="1"/>
  <c r="AF223" i="1"/>
  <c r="AF245" i="1"/>
  <c r="AF181" i="1"/>
  <c r="AF193" i="1"/>
  <c r="AF242" i="1"/>
  <c r="AF277" i="1"/>
  <c r="AF182" i="1"/>
  <c r="AF51" i="1"/>
  <c r="AF136" i="1"/>
  <c r="AF188" i="1"/>
  <c r="AF111" i="1"/>
  <c r="AF120" i="1"/>
  <c r="AF140" i="1"/>
  <c r="AF58" i="1"/>
  <c r="AF81" i="1"/>
  <c r="AF91" i="1"/>
  <c r="AF15" i="1"/>
  <c r="AF83" i="1"/>
  <c r="AF528" i="1"/>
  <c r="AF564" i="1"/>
  <c r="AF522" i="1"/>
  <c r="AF505" i="1"/>
  <c r="AF398" i="1"/>
  <c r="AF234" i="1"/>
  <c r="AF226" i="1"/>
  <c r="AF127" i="1"/>
  <c r="AF49" i="1"/>
  <c r="AF333" i="1"/>
  <c r="AF624" i="1"/>
  <c r="AF488" i="1"/>
  <c r="AF257" i="1"/>
  <c r="AF444" i="1"/>
  <c r="AF84" i="1"/>
  <c r="AF165" i="1"/>
  <c r="AF57" i="1"/>
  <c r="AF92" i="1"/>
  <c r="AF322" i="1"/>
  <c r="AF445" i="1"/>
  <c r="AF469" i="1"/>
  <c r="AF345" i="1"/>
  <c r="AF253" i="1"/>
  <c r="AF343" i="1"/>
  <c r="AF185" i="1"/>
  <c r="AF40" i="1"/>
  <c r="AF135" i="1"/>
  <c r="AF90" i="1"/>
  <c r="AF256" i="1"/>
  <c r="AF490" i="1"/>
  <c r="AF420" i="1"/>
  <c r="AF263" i="1"/>
  <c r="AF324" i="1"/>
  <c r="AF216" i="1"/>
  <c r="AF158" i="1"/>
  <c r="AF123" i="1"/>
  <c r="AF78" i="1"/>
  <c r="AF371" i="1"/>
  <c r="AF492" i="1"/>
  <c r="AF607" i="1"/>
  <c r="AF493" i="1"/>
  <c r="AF557" i="1"/>
  <c r="AF392" i="1"/>
  <c r="AF254" i="1"/>
  <c r="AF215" i="1"/>
  <c r="AF383" i="1"/>
  <c r="AF316" i="1"/>
  <c r="AF95" i="1"/>
  <c r="AF42" i="1"/>
  <c r="AF626" i="1"/>
  <c r="AF29" i="1"/>
  <c r="AF425" i="1"/>
  <c r="AF290" i="1"/>
  <c r="AF348" i="1"/>
  <c r="AF396" i="1"/>
  <c r="AF621" i="1"/>
  <c r="AF489" i="1"/>
  <c r="AF340" i="1"/>
  <c r="AF65" i="1"/>
  <c r="AF150" i="1"/>
  <c r="AF170" i="1"/>
  <c r="AF53" i="1"/>
  <c r="AF552" i="1"/>
  <c r="AF416" i="1"/>
  <c r="AF513" i="1"/>
  <c r="AF448" i="1"/>
  <c r="AF577" i="1"/>
  <c r="AF477" i="1"/>
  <c r="AF330" i="1"/>
  <c r="AF389" i="1"/>
  <c r="AF270" i="1"/>
  <c r="AF48" i="1"/>
  <c r="AF99" i="1"/>
  <c r="AF23" i="1"/>
  <c r="AF494" i="1"/>
  <c r="AF486" i="1"/>
  <c r="AF603" i="1"/>
  <c r="AF556" i="1"/>
  <c r="AF507" i="1"/>
  <c r="AF569" i="1"/>
  <c r="AF537" i="1"/>
  <c r="AF341" i="1"/>
  <c r="AF372" i="1"/>
  <c r="AF400" i="1"/>
  <c r="AF323" i="1"/>
  <c r="AF75" i="1"/>
  <c r="AF576" i="1"/>
  <c r="AF63" i="1"/>
  <c r="AF629" i="1"/>
  <c r="AF103" i="1"/>
  <c r="AF419" i="1"/>
  <c r="AF334" i="1"/>
  <c r="AF617" i="1"/>
  <c r="AF582" i="1"/>
  <c r="AF570" i="1"/>
  <c r="AF395" i="1"/>
  <c r="AF510" i="1"/>
  <c r="AF460" i="1"/>
  <c r="AF466" i="1"/>
  <c r="AF465" i="1"/>
  <c r="AF509" i="1"/>
  <c r="AF391" i="1"/>
  <c r="AF541" i="1"/>
  <c r="AF481" i="1"/>
  <c r="AF523" i="1"/>
  <c r="AF585" i="1"/>
  <c r="AF540" i="1"/>
  <c r="AF406" i="1"/>
  <c r="AF362" i="1"/>
  <c r="AF387" i="1"/>
  <c r="AF402" i="1"/>
  <c r="AF224" i="1"/>
  <c r="AF294" i="1"/>
  <c r="AF251" i="1"/>
  <c r="AF301" i="1"/>
  <c r="AF331" i="1"/>
  <c r="AF319" i="1"/>
  <c r="AF176" i="1"/>
  <c r="AF229" i="1"/>
  <c r="AF142" i="1"/>
  <c r="AF162" i="1"/>
  <c r="AF79" i="1"/>
  <c r="AF24" i="1"/>
  <c r="AF470" i="1"/>
  <c r="AF432" i="1"/>
  <c r="AF418" i="1"/>
  <c r="AF88" i="1"/>
  <c r="AF506" i="1"/>
  <c r="AF473" i="1"/>
  <c r="AF128" i="1"/>
  <c r="AF579" i="1"/>
  <c r="AF70" i="1"/>
  <c r="AC12" i="1"/>
  <c r="AN12" i="1" s="1" a="1"/>
  <c r="AN12" i="1" s="1"/>
  <c r="AD12" i="1"/>
  <c r="AI2" i="13"/>
  <c r="AL3" i="13"/>
  <c r="AL2" i="13"/>
  <c r="AI5" i="13"/>
  <c r="AI10" i="13"/>
  <c r="AI6" i="13"/>
  <c r="AI4" i="13"/>
  <c r="AL10" i="13"/>
  <c r="AL9" i="13"/>
  <c r="AL11" i="13"/>
  <c r="AL7" i="13"/>
  <c r="AI11" i="13"/>
  <c r="AG2" i="13"/>
  <c r="AG3" i="13"/>
  <c r="AG7" i="13"/>
  <c r="AI8" i="13"/>
  <c r="AI9" i="13"/>
  <c r="AG4" i="13"/>
  <c r="AI3" i="13"/>
  <c r="AG6" i="13"/>
  <c r="AG11" i="13"/>
  <c r="AI7" i="13"/>
  <c r="AL5" i="13"/>
  <c r="AG9" i="13"/>
  <c r="AL8" i="13"/>
  <c r="AG10" i="13"/>
  <c r="AG5" i="13"/>
  <c r="AG8" i="13"/>
  <c r="AL6" i="13"/>
  <c r="AL4" i="13"/>
  <c r="F6" i="12"/>
  <c r="F7" i="12" s="1"/>
  <c r="D6" i="12"/>
  <c r="D7" i="12" s="1"/>
  <c r="C6" i="12"/>
  <c r="C7" i="12" s="1"/>
  <c r="E6" i="12"/>
  <c r="E7" i="12" s="1"/>
  <c r="V33" i="1"/>
  <c r="W33" i="1" s="1"/>
  <c r="V2" i="1"/>
  <c r="W2" i="1" s="1"/>
  <c r="V21" i="1"/>
  <c r="W21" i="1" s="1"/>
  <c r="AD17" i="1" l="1"/>
  <c r="AC17" i="1"/>
  <c r="AN17" i="1" s="1" a="1"/>
  <c r="AN17" i="1" s="1"/>
  <c r="AB18" i="1"/>
  <c r="AF33" i="1"/>
  <c r="AF21" i="1"/>
  <c r="AC18" i="1" l="1"/>
  <c r="AN18" i="1" s="1" a="1"/>
  <c r="AN18" i="1" s="1"/>
  <c r="AD18" i="1"/>
  <c r="AB19" i="1"/>
  <c r="AB21" i="1"/>
  <c r="AD21" i="1" l="1"/>
  <c r="AB22" i="1"/>
  <c r="AD19" i="1"/>
  <c r="AB20" i="1"/>
  <c r="AC19" i="1"/>
  <c r="AN19" i="1" s="1" a="1"/>
  <c r="AN19" i="1" s="1"/>
  <c r="AC21" i="1"/>
  <c r="AN21" i="1" s="1" a="1"/>
  <c r="AN21" i="1" s="1"/>
  <c r="AB23" i="1" l="1"/>
  <c r="AC22" i="1"/>
  <c r="AN22" i="1" s="1" a="1"/>
  <c r="AN22" i="1" s="1"/>
  <c r="AD22" i="1"/>
  <c r="AC20" i="1"/>
  <c r="AN20" i="1" s="1" a="1"/>
  <c r="AN20" i="1" s="1"/>
  <c r="AD20" i="1"/>
  <c r="AB33" i="1"/>
  <c r="AD33" i="1" l="1"/>
  <c r="AB34" i="1"/>
  <c r="AC23" i="1"/>
  <c r="AN23" i="1" s="1" a="1"/>
  <c r="AN23" i="1" s="1"/>
  <c r="AD23" i="1"/>
  <c r="AB24" i="1"/>
  <c r="AC33" i="1"/>
  <c r="AN33" i="1" s="1" a="1"/>
  <c r="AN33" i="1" s="1"/>
  <c r="AD24" i="1" l="1"/>
  <c r="AB25" i="1"/>
  <c r="AC24" i="1"/>
  <c r="AN24" i="1" s="1" a="1"/>
  <c r="AN24" i="1" s="1"/>
  <c r="AC34" i="1"/>
  <c r="AN34" i="1" s="1" a="1"/>
  <c r="AN34" i="1" s="1"/>
  <c r="AD34" i="1"/>
  <c r="AB35" i="1"/>
  <c r="AB2" i="1"/>
  <c r="AD2" i="1" s="1"/>
  <c r="AD35" i="1" l="1"/>
  <c r="AC35" i="1"/>
  <c r="AN35" i="1" s="1" a="1"/>
  <c r="AN35" i="1" s="1"/>
  <c r="AB36" i="1"/>
  <c r="AC25" i="1"/>
  <c r="AN25" i="1" s="1" a="1"/>
  <c r="AN25" i="1" s="1"/>
  <c r="AD25" i="1"/>
  <c r="AB26" i="1"/>
  <c r="AC2" i="1"/>
  <c r="AN2" i="1" l="1" a="1"/>
  <c r="AN2" i="1" s="1"/>
  <c r="AD26" i="1"/>
  <c r="AC26" i="1"/>
  <c r="AN26" i="1" s="1" a="1"/>
  <c r="AN26" i="1" s="1"/>
  <c r="AB27" i="1"/>
  <c r="AB37" i="1"/>
  <c r="AC36" i="1"/>
  <c r="AN36" i="1" s="1" a="1"/>
  <c r="AN36" i="1" s="1"/>
  <c r="AD36" i="1"/>
  <c r="AD37" i="1" l="1"/>
  <c r="AB38" i="1"/>
  <c r="AC37" i="1"/>
  <c r="AN37" i="1" s="1" a="1"/>
  <c r="AN37" i="1" s="1"/>
  <c r="AB28" i="1"/>
  <c r="AC27" i="1"/>
  <c r="AD27" i="1"/>
  <c r="AN27" i="1" l="1" a="1"/>
  <c r="AN27" i="1" s="1"/>
  <c r="AD28" i="1"/>
  <c r="AB29" i="1"/>
  <c r="AC28" i="1"/>
  <c r="AN28" i="1" s="1" a="1"/>
  <c r="AN28" i="1" s="1"/>
  <c r="AC38" i="1"/>
  <c r="AN38" i="1" s="1" a="1"/>
  <c r="AN38" i="1" s="1"/>
  <c r="AD38" i="1"/>
  <c r="AB39" i="1"/>
  <c r="AC39" i="1" l="1"/>
  <c r="AN39" i="1" s="1" a="1"/>
  <c r="AN39" i="1" s="1"/>
  <c r="AD39" i="1"/>
  <c r="AB40" i="1"/>
  <c r="AC29" i="1"/>
  <c r="AD29" i="1"/>
  <c r="AB30" i="1"/>
  <c r="AC30" i="1" l="1"/>
  <c r="AN30" i="1" s="1" a="1"/>
  <c r="AN30" i="1" s="1"/>
  <c r="AD30" i="1"/>
  <c r="AB31" i="1"/>
  <c r="AN29" i="1" a="1"/>
  <c r="AN29" i="1" s="1"/>
  <c r="AC40" i="1"/>
  <c r="AN40" i="1" s="1" a="1"/>
  <c r="AN40" i="1" s="1"/>
  <c r="AB41" i="1"/>
  <c r="AD40" i="1"/>
  <c r="AD41" i="1" l="1"/>
  <c r="AB42" i="1"/>
  <c r="AC41" i="1"/>
  <c r="AN41" i="1" s="1" a="1"/>
  <c r="AN41" i="1" s="1"/>
  <c r="AC31" i="1"/>
  <c r="AN31" i="1" s="1" a="1"/>
  <c r="AN31" i="1" s="1"/>
  <c r="AD31" i="1"/>
  <c r="AB32" i="1"/>
  <c r="AD32" i="1" l="1"/>
  <c r="AC32" i="1"/>
  <c r="AN32" i="1" s="1" a="1"/>
  <c r="AN32" i="1" s="1"/>
  <c r="AC42" i="1"/>
  <c r="AN42" i="1" s="1" a="1"/>
  <c r="AN42" i="1" s="1"/>
  <c r="AD42" i="1"/>
  <c r="AB43" i="1"/>
  <c r="AC43" i="1" l="1"/>
  <c r="AN43" i="1" s="1" a="1"/>
  <c r="AN43" i="1" s="1"/>
  <c r="AD43" i="1"/>
  <c r="AB44" i="1"/>
  <c r="AC44" i="1" l="1"/>
  <c r="AN44" i="1" s="1" a="1"/>
  <c r="AN44" i="1" s="1"/>
  <c r="AD44" i="1"/>
  <c r="AB45" i="1"/>
  <c r="AD45" i="1" l="1"/>
  <c r="AB46" i="1"/>
  <c r="AC45" i="1"/>
  <c r="AN45" i="1" s="1" a="1"/>
  <c r="AN45" i="1" s="1"/>
  <c r="AC46" i="1" l="1"/>
  <c r="AN46" i="1" s="1" a="1"/>
  <c r="AN46" i="1" s="1"/>
  <c r="AD46" i="1"/>
  <c r="AB47" i="1"/>
  <c r="AD47" i="1" l="1"/>
  <c r="AC47" i="1"/>
  <c r="AN47" i="1" s="1" a="1"/>
  <c r="AN47" i="1" s="1"/>
  <c r="AB48" i="1"/>
  <c r="AC48" i="1" l="1"/>
  <c r="AN48" i="1" s="1" a="1"/>
  <c r="AN48" i="1" s="1"/>
  <c r="AD48" i="1"/>
  <c r="AB49" i="1"/>
  <c r="AD49" i="1" l="1"/>
  <c r="AB50" i="1"/>
  <c r="AC49" i="1"/>
  <c r="AN49" i="1" s="1" a="1"/>
  <c r="AN49" i="1" s="1"/>
  <c r="AC50" i="1" l="1"/>
  <c r="AN50" i="1" s="1" a="1"/>
  <c r="AN50" i="1" s="1"/>
  <c r="AD50" i="1"/>
  <c r="AB51" i="1"/>
  <c r="AC51" i="1" l="1"/>
  <c r="AN51" i="1" s="1" a="1"/>
  <c r="AN51" i="1" s="1"/>
  <c r="AD51" i="1"/>
  <c r="AB52" i="1"/>
  <c r="AC52" i="1" l="1"/>
  <c r="AN52" i="1" s="1" a="1"/>
  <c r="AN52" i="1" s="1"/>
  <c r="AD52" i="1"/>
  <c r="AB53" i="1"/>
  <c r="AD53" i="1" l="1"/>
  <c r="AB54" i="1"/>
  <c r="AC53" i="1"/>
  <c r="AN53" i="1" s="1" a="1"/>
  <c r="AN53" i="1" s="1"/>
  <c r="AC54" i="1" l="1"/>
  <c r="AN54" i="1" s="1" a="1"/>
  <c r="AN54" i="1" s="1"/>
  <c r="AD54" i="1"/>
  <c r="AB55" i="1"/>
  <c r="AC55" i="1" l="1"/>
  <c r="AN55" i="1" s="1" a="1"/>
  <c r="AN55" i="1" s="1"/>
  <c r="AD55" i="1"/>
  <c r="AB56" i="1"/>
  <c r="AC56" i="1" l="1"/>
  <c r="AN56" i="1" s="1" a="1"/>
  <c r="AN56" i="1" s="1"/>
  <c r="AD56" i="1"/>
  <c r="AB57" i="1"/>
  <c r="AD57" i="1" l="1"/>
  <c r="AB58" i="1"/>
  <c r="AC57" i="1"/>
  <c r="AN57" i="1" s="1" a="1"/>
  <c r="AN57" i="1" s="1"/>
  <c r="AC58" i="1" l="1"/>
  <c r="AN58" i="1" s="1" a="1"/>
  <c r="AN58" i="1" s="1"/>
  <c r="AD58" i="1"/>
  <c r="AB59" i="1"/>
  <c r="AB60" i="1" l="1"/>
  <c r="AC59" i="1"/>
  <c r="AN59" i="1" s="1" a="1"/>
  <c r="AN59" i="1" s="1"/>
  <c r="AD59" i="1"/>
  <c r="AB61" i="1" l="1"/>
  <c r="AC60" i="1"/>
  <c r="AN60" i="1" s="1" a="1"/>
  <c r="AN60" i="1" s="1"/>
  <c r="AD60" i="1"/>
  <c r="AD61" i="1" l="1"/>
  <c r="AB62" i="1"/>
  <c r="AC61" i="1"/>
  <c r="AN61" i="1" s="1" a="1"/>
  <c r="AN61" i="1" s="1"/>
  <c r="AC62" i="1" l="1"/>
  <c r="AN62" i="1" s="1" a="1"/>
  <c r="AN62" i="1" s="1"/>
  <c r="AD62" i="1"/>
  <c r="AB63" i="1"/>
  <c r="AC63" i="1" l="1"/>
  <c r="AN63" i="1" s="1" a="1"/>
  <c r="AN63" i="1" s="1"/>
  <c r="AD63" i="1"/>
  <c r="AB64" i="1"/>
  <c r="AD64" i="1" l="1"/>
  <c r="AB65" i="1"/>
  <c r="AC64" i="1"/>
  <c r="AN64" i="1" s="1" a="1"/>
  <c r="AN64" i="1" s="1"/>
  <c r="AD65" i="1" l="1"/>
  <c r="AC65" i="1"/>
  <c r="AN65" i="1" s="1" a="1"/>
  <c r="AN65" i="1" s="1"/>
  <c r="AB66" i="1"/>
  <c r="AD66" i="1" l="1"/>
  <c r="AC66" i="1"/>
  <c r="AN66" i="1" s="1" a="1"/>
  <c r="AN66" i="1" s="1"/>
  <c r="AB67" i="1"/>
  <c r="AC67" i="1" l="1"/>
  <c r="AN67" i="1" s="1" a="1"/>
  <c r="AN67" i="1" s="1"/>
  <c r="AD67" i="1"/>
  <c r="AB68" i="1"/>
  <c r="AD68" i="1" l="1"/>
  <c r="AB69" i="1"/>
  <c r="AC68" i="1"/>
  <c r="AN68" i="1" s="1" a="1"/>
  <c r="AN68" i="1" s="1"/>
  <c r="AD69" i="1" l="1"/>
  <c r="AC69" i="1"/>
  <c r="AN69" i="1" s="1" a="1"/>
  <c r="AN69" i="1" s="1"/>
  <c r="AB70" i="1"/>
  <c r="AD70" i="1" l="1"/>
  <c r="AC70" i="1"/>
  <c r="AN70" i="1" s="1" a="1"/>
  <c r="AN70" i="1" s="1"/>
  <c r="AB71" i="1"/>
  <c r="AC71" i="1" l="1"/>
  <c r="AN71" i="1" s="1" a="1"/>
  <c r="AN71" i="1" s="1"/>
  <c r="AD71" i="1"/>
  <c r="AB72" i="1"/>
  <c r="AC72" i="1" l="1"/>
  <c r="AN72" i="1" s="1" a="1"/>
  <c r="AN72" i="1" s="1"/>
  <c r="AD72" i="1"/>
  <c r="AB73" i="1"/>
  <c r="AC73" i="1" l="1"/>
  <c r="AN73" i="1" s="1" a="1"/>
  <c r="AN73" i="1" s="1"/>
  <c r="AD73" i="1"/>
  <c r="AB74" i="1"/>
  <c r="AC74" i="1" l="1"/>
  <c r="AN74" i="1" s="1" a="1"/>
  <c r="AN74" i="1" s="1"/>
  <c r="AD74" i="1"/>
  <c r="AB75" i="1"/>
  <c r="AC75" i="1" l="1"/>
  <c r="AN75" i="1" s="1" a="1"/>
  <c r="AN75" i="1" s="1"/>
  <c r="AD75" i="1"/>
  <c r="AB76" i="1"/>
  <c r="AB77" i="1" l="1"/>
  <c r="AC76" i="1"/>
  <c r="AN76" i="1" s="1" a="1"/>
  <c r="AN76" i="1" s="1"/>
  <c r="AD76" i="1"/>
  <c r="AC77" i="1" l="1"/>
  <c r="AN77" i="1" s="1" a="1"/>
  <c r="AN77" i="1" s="1"/>
  <c r="AD77" i="1"/>
  <c r="AB78" i="1"/>
  <c r="AC78" i="1" l="1"/>
  <c r="AN78" i="1" s="1" a="1"/>
  <c r="AN78" i="1" s="1"/>
  <c r="AD78" i="1"/>
  <c r="AB79" i="1"/>
  <c r="AC79" i="1" l="1"/>
  <c r="AN79" i="1" s="1" a="1"/>
  <c r="AN79" i="1" s="1"/>
  <c r="AD79" i="1"/>
  <c r="AB80" i="1"/>
  <c r="AC80" i="1" l="1"/>
  <c r="AN80" i="1" s="1" a="1"/>
  <c r="AN80" i="1" s="1"/>
  <c r="AB81" i="1"/>
  <c r="AD80" i="1"/>
  <c r="AB82" i="1" l="1"/>
  <c r="AC81" i="1"/>
  <c r="AN81" i="1" s="1" a="1"/>
  <c r="AN81" i="1" s="1"/>
  <c r="AD81" i="1"/>
  <c r="AC82" i="1" l="1"/>
  <c r="AN82" i="1" s="1" a="1"/>
  <c r="AN82" i="1" s="1"/>
  <c r="AD82" i="1"/>
  <c r="AB83" i="1"/>
  <c r="AC83" i="1" l="1"/>
  <c r="AN83" i="1" s="1" a="1"/>
  <c r="AN83" i="1" s="1"/>
  <c r="AD83" i="1"/>
  <c r="AB84" i="1"/>
  <c r="AC84" i="1" l="1"/>
  <c r="AN84" i="1" s="1" a="1"/>
  <c r="AN84" i="1" s="1"/>
  <c r="AD84" i="1"/>
  <c r="AB85" i="1"/>
  <c r="AC85" i="1" l="1"/>
  <c r="AN85" i="1" s="1" a="1"/>
  <c r="AN85" i="1" s="1"/>
  <c r="AB86" i="1"/>
  <c r="AD85" i="1"/>
  <c r="AC86" i="1" l="1"/>
  <c r="AN86" i="1" s="1" a="1"/>
  <c r="AN86" i="1" s="1"/>
  <c r="AD86" i="1"/>
  <c r="AB87" i="1"/>
  <c r="AC87" i="1" l="1"/>
  <c r="AN87" i="1" s="1" a="1"/>
  <c r="AN87" i="1" s="1"/>
  <c r="AB88" i="1"/>
  <c r="AD87" i="1"/>
  <c r="AC88" i="1" l="1"/>
  <c r="AN88" i="1" s="1" a="1"/>
  <c r="AN88" i="1" s="1"/>
  <c r="AD88" i="1"/>
  <c r="AB89" i="1"/>
  <c r="AC89" i="1" l="1"/>
  <c r="AN89" i="1" s="1" a="1"/>
  <c r="AN89" i="1" s="1"/>
  <c r="AD89" i="1"/>
  <c r="AB90" i="1"/>
  <c r="AC90" i="1" l="1"/>
  <c r="AN90" i="1" s="1" a="1"/>
  <c r="AN90" i="1" s="1"/>
  <c r="AD90" i="1"/>
  <c r="AB91" i="1"/>
  <c r="AC91" i="1" l="1"/>
  <c r="AN91" i="1" s="1" a="1"/>
  <c r="AN91" i="1" s="1"/>
  <c r="AB92" i="1"/>
  <c r="AD91" i="1"/>
  <c r="AC92" i="1" l="1"/>
  <c r="AN92" i="1" s="1" a="1"/>
  <c r="AN92" i="1" s="1"/>
  <c r="AD92" i="1"/>
  <c r="AB93" i="1"/>
  <c r="AD93" i="1" l="1"/>
  <c r="AB94" i="1"/>
  <c r="AC93" i="1"/>
  <c r="AN93" i="1" s="1" a="1"/>
  <c r="AN93" i="1" s="1"/>
  <c r="AC94" i="1" l="1"/>
  <c r="AN94" i="1" s="1" a="1"/>
  <c r="AN94" i="1" s="1"/>
  <c r="AD94" i="1"/>
  <c r="AB95" i="1"/>
  <c r="AC95" i="1" l="1"/>
  <c r="AN95" i="1" s="1" a="1"/>
  <c r="AN95" i="1" s="1"/>
  <c r="AD95" i="1"/>
  <c r="AB96" i="1"/>
  <c r="AC96" i="1" l="1"/>
  <c r="AN96" i="1" s="1" a="1"/>
  <c r="AN96" i="1" s="1"/>
  <c r="AD96" i="1"/>
  <c r="AB97" i="1"/>
  <c r="AC97" i="1" l="1"/>
  <c r="AN97" i="1" s="1" a="1"/>
  <c r="AN97" i="1" s="1"/>
  <c r="AD97" i="1"/>
  <c r="AB98" i="1"/>
  <c r="AD98" i="1" l="1"/>
  <c r="AC98" i="1"/>
  <c r="AN98" i="1" s="1" a="1"/>
  <c r="AN98" i="1" s="1"/>
  <c r="AB99" i="1"/>
  <c r="AC99" i="1" l="1"/>
  <c r="AN99" i="1" s="1" a="1"/>
  <c r="AN99" i="1" s="1"/>
  <c r="AD99" i="1"/>
  <c r="AB100" i="1"/>
  <c r="AC100" i="1" l="1"/>
  <c r="AN100" i="1" s="1" a="1"/>
  <c r="AN100" i="1" s="1"/>
  <c r="AD100" i="1"/>
  <c r="AB101" i="1"/>
  <c r="AC101" i="1" l="1"/>
  <c r="AN101" i="1" s="1" a="1"/>
  <c r="AN101" i="1" s="1"/>
  <c r="AD101" i="1"/>
  <c r="AB102" i="1"/>
  <c r="AC102" i="1" l="1"/>
  <c r="AN102" i="1" s="1" a="1"/>
  <c r="AN102" i="1" s="1"/>
  <c r="AD102" i="1"/>
  <c r="AB103" i="1"/>
  <c r="AD103" i="1" l="1"/>
  <c r="AC103" i="1"/>
  <c r="AN103" i="1" s="1" a="1"/>
  <c r="AN103" i="1" s="1"/>
  <c r="AB104" i="1"/>
  <c r="AC104" i="1" l="1"/>
  <c r="AN104" i="1" s="1" a="1"/>
  <c r="AN104" i="1" s="1"/>
  <c r="AD104" i="1"/>
  <c r="AB105" i="1"/>
  <c r="AC105" i="1" l="1"/>
  <c r="AN105" i="1" s="1" a="1"/>
  <c r="AN105" i="1" s="1"/>
  <c r="AD105" i="1"/>
  <c r="AB106" i="1"/>
  <c r="AB107" i="1" l="1"/>
  <c r="AC106" i="1"/>
  <c r="AN106" i="1" s="1" a="1"/>
  <c r="AN106" i="1" s="1"/>
  <c r="AD106" i="1"/>
  <c r="AC107" i="1" l="1"/>
  <c r="AN107" i="1" s="1" a="1"/>
  <c r="AN107" i="1" s="1"/>
  <c r="AD107" i="1"/>
  <c r="AB108" i="1"/>
  <c r="AC108" i="1" l="1"/>
  <c r="AN108" i="1" s="1" a="1"/>
  <c r="AN108" i="1" s="1"/>
  <c r="AD108" i="1"/>
  <c r="AB109" i="1"/>
  <c r="AD109" i="1" l="1"/>
  <c r="AC109" i="1"/>
  <c r="AN109" i="1" s="1" a="1"/>
  <c r="AN109" i="1" s="1"/>
  <c r="AB110" i="1"/>
  <c r="AC110" i="1" l="1"/>
  <c r="AN110" i="1" s="1" a="1"/>
  <c r="AN110" i="1" s="1"/>
  <c r="AD110" i="1"/>
  <c r="AB111" i="1"/>
  <c r="AB112" i="1" l="1"/>
  <c r="AD111" i="1"/>
  <c r="AC111" i="1"/>
  <c r="AN111" i="1" s="1" a="1"/>
  <c r="AN111" i="1" s="1"/>
  <c r="AC112" i="1" l="1"/>
  <c r="AN112" i="1" s="1" a="1"/>
  <c r="AN112" i="1" s="1"/>
  <c r="AD112" i="1"/>
  <c r="AB113" i="1"/>
  <c r="AC113" i="1" l="1"/>
  <c r="AN113" i="1" s="1" a="1"/>
  <c r="AN113" i="1" s="1"/>
  <c r="AD113" i="1"/>
  <c r="AB114" i="1"/>
  <c r="AC114" i="1" l="1"/>
  <c r="AN114" i="1" s="1" a="1"/>
  <c r="AN114" i="1" s="1"/>
  <c r="AD114" i="1"/>
  <c r="AB115" i="1"/>
  <c r="AD115" i="1" l="1"/>
  <c r="AC115" i="1"/>
  <c r="AN115" i="1" s="1" a="1"/>
  <c r="AN115" i="1" s="1"/>
  <c r="AB116" i="1"/>
  <c r="AC116" i="1" l="1"/>
  <c r="AN116" i="1" s="1" a="1"/>
  <c r="AN116" i="1" s="1"/>
  <c r="AD116" i="1"/>
  <c r="AB117" i="1"/>
  <c r="AC117" i="1" l="1"/>
  <c r="AN117" i="1" s="1" a="1"/>
  <c r="AN117" i="1" s="1"/>
  <c r="AD117" i="1"/>
  <c r="AB118" i="1"/>
  <c r="AC118" i="1" l="1"/>
  <c r="AN118" i="1" s="1" a="1"/>
  <c r="AN118" i="1" s="1"/>
  <c r="AD118" i="1"/>
  <c r="AB119" i="1"/>
  <c r="AC119" i="1" l="1"/>
  <c r="AN119" i="1" s="1" a="1"/>
  <c r="AN119" i="1" s="1"/>
  <c r="AD119" i="1"/>
  <c r="AB120" i="1"/>
  <c r="AC120" i="1" l="1"/>
  <c r="AN120" i="1" s="1" a="1"/>
  <c r="AN120" i="1" s="1"/>
  <c r="AD120" i="1"/>
  <c r="AB121" i="1"/>
  <c r="AC121" i="1" l="1"/>
  <c r="AN121" i="1" s="1" a="1"/>
  <c r="AN121" i="1" s="1"/>
  <c r="AB122" i="1"/>
  <c r="AD121" i="1"/>
  <c r="AC122" i="1" l="1"/>
  <c r="AN122" i="1" s="1" a="1"/>
  <c r="AN122" i="1" s="1"/>
  <c r="AD122" i="1"/>
  <c r="AB123" i="1"/>
  <c r="AC123" i="1" l="1"/>
  <c r="AN123" i="1" s="1" a="1"/>
  <c r="AN123" i="1" s="1"/>
  <c r="AD123" i="1"/>
  <c r="AB124" i="1"/>
  <c r="AC124" i="1" l="1"/>
  <c r="AN124" i="1" s="1" a="1"/>
  <c r="AN124" i="1" s="1"/>
  <c r="AD124" i="1"/>
  <c r="AB125" i="1"/>
  <c r="AC125" i="1" l="1"/>
  <c r="AN125" i="1" s="1" a="1"/>
  <c r="AN125" i="1" s="1"/>
  <c r="AD125" i="1"/>
  <c r="AB126" i="1"/>
  <c r="AC126" i="1" l="1"/>
  <c r="AN126" i="1" s="1" a="1"/>
  <c r="AN126" i="1" s="1"/>
  <c r="AD126" i="1"/>
  <c r="AB127" i="1"/>
  <c r="AC127" i="1" l="1"/>
  <c r="AN127" i="1" s="1" a="1"/>
  <c r="AN127" i="1" s="1"/>
  <c r="AD127" i="1"/>
  <c r="AB128" i="1"/>
  <c r="AC128" i="1" l="1"/>
  <c r="AN128" i="1" s="1" a="1"/>
  <c r="AN128" i="1" s="1"/>
  <c r="AD128" i="1"/>
  <c r="AB129" i="1"/>
  <c r="AC129" i="1" l="1"/>
  <c r="AN129" i="1" s="1" a="1"/>
  <c r="AN129" i="1" s="1"/>
  <c r="AD129" i="1"/>
  <c r="AB130" i="1"/>
  <c r="AC130" i="1" l="1"/>
  <c r="AN130" i="1" s="1" a="1"/>
  <c r="AN130" i="1" s="1"/>
  <c r="AD130" i="1"/>
  <c r="AB131" i="1"/>
  <c r="AC131" i="1" l="1"/>
  <c r="AN131" i="1" s="1" a="1"/>
  <c r="AN131" i="1" s="1"/>
  <c r="AD131" i="1"/>
  <c r="AB132" i="1"/>
  <c r="AC132" i="1" l="1"/>
  <c r="AN132" i="1" s="1" a="1"/>
  <c r="AN132" i="1" s="1"/>
  <c r="AD132" i="1"/>
  <c r="AB133" i="1"/>
  <c r="AC133" i="1" l="1"/>
  <c r="AN133" i="1" s="1" a="1"/>
  <c r="AN133" i="1" s="1"/>
  <c r="AB134" i="1"/>
  <c r="AD133" i="1"/>
  <c r="AC134" i="1" l="1"/>
  <c r="AN134" i="1" s="1" a="1"/>
  <c r="AN134" i="1" s="1"/>
  <c r="AD134" i="1"/>
  <c r="AB135" i="1"/>
  <c r="AD135" i="1" l="1"/>
  <c r="AC135" i="1"/>
  <c r="AN135" i="1" s="1" a="1"/>
  <c r="AN135" i="1" s="1"/>
  <c r="AB136" i="1"/>
  <c r="AC136" i="1" l="1"/>
  <c r="AN136" i="1" s="1" a="1"/>
  <c r="AN136" i="1" s="1"/>
  <c r="AD136" i="1"/>
  <c r="AB137" i="1"/>
  <c r="AC137" i="1" l="1"/>
  <c r="AN137" i="1" s="1" a="1"/>
  <c r="AN137" i="1" s="1"/>
  <c r="AD137" i="1"/>
  <c r="AB138" i="1"/>
  <c r="AC138" i="1" l="1"/>
  <c r="AN138" i="1" s="1" a="1"/>
  <c r="AN138" i="1" s="1"/>
  <c r="AD138" i="1"/>
  <c r="AB139" i="1"/>
  <c r="AC139" i="1" l="1"/>
  <c r="AN139" i="1" s="1" a="1"/>
  <c r="AN139" i="1" s="1"/>
  <c r="AB140" i="1"/>
  <c r="AD139" i="1"/>
  <c r="AC140" i="1" l="1"/>
  <c r="AN140" i="1" s="1" a="1"/>
  <c r="AN140" i="1" s="1"/>
  <c r="AD140" i="1"/>
  <c r="AB141" i="1"/>
  <c r="AC141" i="1" l="1"/>
  <c r="AN141" i="1" s="1" a="1"/>
  <c r="AN141" i="1" s="1"/>
  <c r="AD141" i="1"/>
  <c r="AB142" i="1"/>
  <c r="AD142" i="1" l="1"/>
  <c r="AB143" i="1"/>
  <c r="AC142" i="1"/>
  <c r="AN142" i="1" s="1" a="1"/>
  <c r="AN142" i="1" s="1"/>
  <c r="AC143" i="1" l="1"/>
  <c r="AN143" i="1" s="1" a="1"/>
  <c r="AN143" i="1" s="1"/>
  <c r="AD143" i="1"/>
  <c r="AB144" i="1"/>
  <c r="AC144" i="1" l="1"/>
  <c r="AN144" i="1" s="1" a="1"/>
  <c r="AN144" i="1" s="1"/>
  <c r="AD144" i="1"/>
  <c r="AB145" i="1"/>
  <c r="AC145" i="1" l="1"/>
  <c r="AN145" i="1" s="1" a="1"/>
  <c r="AN145" i="1" s="1"/>
  <c r="AD145" i="1"/>
  <c r="AB146" i="1"/>
  <c r="AC146" i="1" l="1"/>
  <c r="AN146" i="1" s="1" a="1"/>
  <c r="AN146" i="1" s="1"/>
  <c r="AD146" i="1"/>
  <c r="AB147" i="1"/>
  <c r="AC147" i="1" l="1"/>
  <c r="AN147" i="1" s="1" a="1"/>
  <c r="AN147" i="1" s="1"/>
  <c r="AD147" i="1"/>
  <c r="AB148" i="1"/>
  <c r="AC148" i="1" l="1"/>
  <c r="AN148" i="1" s="1" a="1"/>
  <c r="AN148" i="1" s="1"/>
  <c r="AD148" i="1"/>
  <c r="AB149" i="1"/>
  <c r="AC149" i="1" l="1"/>
  <c r="AN149" i="1" s="1" a="1"/>
  <c r="AN149" i="1" s="1"/>
  <c r="AD149" i="1"/>
  <c r="AB150" i="1"/>
  <c r="AD150" i="1" l="1"/>
  <c r="AC150" i="1"/>
  <c r="AN150" i="1" s="1" a="1"/>
  <c r="AN150" i="1" s="1"/>
  <c r="AB151" i="1"/>
  <c r="AC151" i="1" l="1"/>
  <c r="AN151" i="1" s="1" a="1"/>
  <c r="AN151" i="1" s="1"/>
  <c r="AD151" i="1"/>
  <c r="AB152" i="1"/>
  <c r="AC152" i="1" l="1"/>
  <c r="AN152" i="1" s="1" a="1"/>
  <c r="AN152" i="1" s="1"/>
  <c r="AD152" i="1"/>
  <c r="AB153" i="1"/>
  <c r="AC153" i="1" l="1"/>
  <c r="AN153" i="1" s="1" a="1"/>
  <c r="AN153" i="1" s="1"/>
  <c r="AD153" i="1"/>
  <c r="AB154" i="1"/>
  <c r="AD154" i="1" l="1"/>
  <c r="AB155" i="1"/>
  <c r="AC154" i="1"/>
  <c r="AN154" i="1" s="1" a="1"/>
  <c r="AN154" i="1" s="1"/>
  <c r="AD155" i="1" l="1"/>
  <c r="AC155" i="1"/>
  <c r="AN155" i="1" s="1" a="1"/>
  <c r="AN155" i="1" s="1"/>
  <c r="AB156" i="1"/>
  <c r="AC156" i="1" l="1"/>
  <c r="AN156" i="1" s="1" a="1"/>
  <c r="AN156" i="1" s="1"/>
  <c r="AD156" i="1"/>
  <c r="AB157" i="1"/>
  <c r="AC157" i="1" l="1"/>
  <c r="AN157" i="1" s="1" a="1"/>
  <c r="AN157" i="1" s="1"/>
  <c r="AD157" i="1"/>
  <c r="AB158" i="1"/>
  <c r="AD158" i="1" l="1"/>
  <c r="AC158" i="1"/>
  <c r="AN158" i="1" s="1" a="1"/>
  <c r="AN158" i="1" s="1"/>
  <c r="AB159" i="1"/>
  <c r="AC159" i="1" l="1"/>
  <c r="AN159" i="1" s="1" a="1"/>
  <c r="AN159" i="1" s="1"/>
  <c r="AD159" i="1"/>
  <c r="AB160" i="1"/>
  <c r="AC160" i="1" l="1"/>
  <c r="AN160" i="1" s="1" a="1"/>
  <c r="AN160" i="1" s="1"/>
  <c r="AD160" i="1"/>
  <c r="AB161" i="1"/>
  <c r="AD161" i="1" l="1"/>
  <c r="AC161" i="1"/>
  <c r="AN161" i="1" s="1" a="1"/>
  <c r="AN161" i="1" s="1"/>
  <c r="AB162" i="1"/>
  <c r="AC162" i="1" l="1"/>
  <c r="AN162" i="1" s="1" a="1"/>
  <c r="AN162" i="1" s="1"/>
  <c r="AD162" i="1"/>
  <c r="AB163" i="1"/>
  <c r="AD163" i="1" l="1"/>
  <c r="AC163" i="1"/>
  <c r="AN163" i="1" s="1" a="1"/>
  <c r="AN163" i="1" s="1"/>
  <c r="AB164" i="1"/>
  <c r="AC164" i="1" l="1"/>
  <c r="AN164" i="1" s="1" a="1"/>
  <c r="AN164" i="1" s="1"/>
  <c r="AD164" i="1"/>
  <c r="AB165" i="1"/>
  <c r="AD165" i="1" l="1"/>
  <c r="AC165" i="1"/>
  <c r="AN165" i="1" s="1" a="1"/>
  <c r="AN165" i="1" s="1"/>
  <c r="AB166" i="1"/>
  <c r="AC166" i="1" l="1"/>
  <c r="AN166" i="1" s="1" a="1"/>
  <c r="AN166" i="1" s="1"/>
  <c r="AD166" i="1"/>
  <c r="AB167" i="1"/>
  <c r="AC167" i="1" l="1"/>
  <c r="AN167" i="1" s="1" a="1"/>
  <c r="AN167" i="1" s="1"/>
  <c r="AD167" i="1"/>
  <c r="AB168" i="1"/>
  <c r="AC168" i="1" l="1"/>
  <c r="AN168" i="1" s="1" a="1"/>
  <c r="AN168" i="1" s="1"/>
  <c r="AD168" i="1"/>
  <c r="AB169" i="1"/>
  <c r="AC169" i="1" l="1"/>
  <c r="AN169" i="1" s="1" a="1"/>
  <c r="AN169" i="1" s="1"/>
  <c r="AD169" i="1"/>
  <c r="AB170" i="1"/>
  <c r="AC170" i="1" l="1"/>
  <c r="AN170" i="1" s="1" a="1"/>
  <c r="AN170" i="1" s="1"/>
  <c r="AD170" i="1"/>
  <c r="AB171" i="1"/>
  <c r="AC171" i="1" l="1"/>
  <c r="AN171" i="1" s="1" a="1"/>
  <c r="AN171" i="1" s="1"/>
  <c r="AD171" i="1"/>
  <c r="AB172" i="1"/>
  <c r="AC172" i="1" l="1"/>
  <c r="AN172" i="1" s="1" a="1"/>
  <c r="AN172" i="1" s="1"/>
  <c r="AD172" i="1"/>
  <c r="AB173" i="1"/>
  <c r="AB174" i="1" l="1"/>
  <c r="AC173" i="1"/>
  <c r="AN173" i="1" s="1" a="1"/>
  <c r="AN173" i="1" s="1"/>
  <c r="AD173" i="1"/>
  <c r="AC174" i="1" l="1"/>
  <c r="AN174" i="1" s="1" a="1"/>
  <c r="AN174" i="1" s="1"/>
  <c r="AD174" i="1"/>
  <c r="AB175" i="1"/>
  <c r="AC175" i="1" l="1"/>
  <c r="AN175" i="1" s="1" a="1"/>
  <c r="AN175" i="1" s="1"/>
  <c r="AD175" i="1"/>
  <c r="AB176" i="1"/>
  <c r="AC176" i="1" l="1"/>
  <c r="AN176" i="1" s="1" a="1"/>
  <c r="AN176" i="1" s="1"/>
  <c r="AD176" i="1"/>
  <c r="AB177" i="1"/>
  <c r="AC177" i="1" l="1"/>
  <c r="AN177" i="1" s="1" a="1"/>
  <c r="AN177" i="1" s="1"/>
  <c r="AD177" i="1"/>
  <c r="AB178" i="1"/>
  <c r="AC178" i="1" l="1"/>
  <c r="AN178" i="1" s="1" a="1"/>
  <c r="AN178" i="1" s="1"/>
  <c r="AD178" i="1"/>
  <c r="AB179" i="1"/>
  <c r="AC179" i="1" l="1"/>
  <c r="AN179" i="1" s="1" a="1"/>
  <c r="AN179" i="1" s="1"/>
  <c r="AD179" i="1"/>
  <c r="AB180" i="1"/>
  <c r="AC180" i="1" l="1"/>
  <c r="AN180" i="1" s="1" a="1"/>
  <c r="AN180" i="1" s="1"/>
  <c r="AD180" i="1"/>
  <c r="AB181" i="1"/>
  <c r="AC181" i="1" l="1"/>
  <c r="AN181" i="1" s="1" a="1"/>
  <c r="AN181" i="1" s="1"/>
  <c r="AD181" i="1"/>
  <c r="AB182" i="1"/>
  <c r="AC182" i="1" l="1"/>
  <c r="AN182" i="1" s="1" a="1"/>
  <c r="AN182" i="1" s="1"/>
  <c r="AD182" i="1"/>
  <c r="AB183" i="1"/>
  <c r="AD183" i="1" l="1"/>
  <c r="AC183" i="1"/>
  <c r="AN183" i="1" s="1" a="1"/>
  <c r="AN183" i="1" s="1"/>
  <c r="AB184" i="1"/>
  <c r="AC184" i="1" l="1"/>
  <c r="AN184" i="1" s="1" a="1"/>
  <c r="AN184" i="1" s="1"/>
  <c r="AD184" i="1"/>
  <c r="AB185" i="1"/>
  <c r="AC185" i="1" l="1"/>
  <c r="AN185" i="1" s="1" a="1"/>
  <c r="AN185" i="1" s="1"/>
  <c r="AB186" i="1"/>
  <c r="AD185" i="1"/>
  <c r="AC186" i="1" l="1"/>
  <c r="AN186" i="1" s="1" a="1"/>
  <c r="AN186" i="1" s="1"/>
  <c r="AD186" i="1"/>
  <c r="AB187" i="1"/>
  <c r="AC187" i="1" l="1"/>
  <c r="AN187" i="1" s="1" a="1"/>
  <c r="AN187" i="1" s="1"/>
  <c r="AD187" i="1"/>
  <c r="AB188" i="1"/>
  <c r="AC188" i="1" l="1"/>
  <c r="AN188" i="1" s="1" a="1"/>
  <c r="AN188" i="1" s="1"/>
  <c r="AD188" i="1"/>
  <c r="AB189" i="1"/>
  <c r="AD189" i="1" l="1"/>
  <c r="AB190" i="1"/>
  <c r="AC189" i="1"/>
  <c r="AN189" i="1" s="1" a="1"/>
  <c r="AN189" i="1" s="1"/>
  <c r="AC190" i="1" l="1"/>
  <c r="AN190" i="1" s="1" a="1"/>
  <c r="AN190" i="1" s="1"/>
  <c r="AD190" i="1"/>
  <c r="AB191" i="1"/>
  <c r="AB192" i="1" l="1"/>
  <c r="AC191" i="1"/>
  <c r="AN191" i="1" s="1" a="1"/>
  <c r="AN191" i="1" s="1"/>
  <c r="AD191" i="1"/>
  <c r="AD192" i="1" l="1"/>
  <c r="AC192" i="1"/>
  <c r="AN192" i="1" s="1" a="1"/>
  <c r="AN192" i="1" s="1"/>
  <c r="AB193" i="1"/>
  <c r="AB194" i="1" l="1"/>
  <c r="AC193" i="1"/>
  <c r="AN193" i="1" s="1" a="1"/>
  <c r="AN193" i="1" s="1"/>
  <c r="AD193" i="1"/>
  <c r="AC194" i="1" l="1"/>
  <c r="AN194" i="1" s="1" a="1"/>
  <c r="AN194" i="1" s="1"/>
  <c r="AD194" i="1"/>
  <c r="AB195" i="1"/>
  <c r="AC195" i="1" l="1"/>
  <c r="AN195" i="1" s="1" a="1"/>
  <c r="AN195" i="1" s="1"/>
  <c r="AD195" i="1"/>
  <c r="AB196" i="1"/>
  <c r="AC196" i="1" l="1"/>
  <c r="AN196" i="1" s="1" a="1"/>
  <c r="AN196" i="1" s="1"/>
  <c r="AD196" i="1"/>
  <c r="AB197" i="1"/>
  <c r="AB198" i="1" l="1"/>
  <c r="AC197" i="1"/>
  <c r="AN197" i="1" s="1" a="1"/>
  <c r="AN197" i="1" s="1"/>
  <c r="AD197" i="1"/>
  <c r="AC198" i="1" l="1"/>
  <c r="AN198" i="1" s="1" a="1"/>
  <c r="AN198" i="1" s="1"/>
  <c r="AD198" i="1"/>
  <c r="AB199" i="1"/>
  <c r="AB200" i="1" l="1"/>
  <c r="AC199" i="1"/>
  <c r="AN199" i="1" s="1" a="1"/>
  <c r="AN199" i="1" s="1"/>
  <c r="AD199" i="1"/>
  <c r="AC200" i="1" l="1"/>
  <c r="AN200" i="1" s="1" a="1"/>
  <c r="AN200" i="1" s="1"/>
  <c r="AD200" i="1"/>
  <c r="AB201" i="1"/>
  <c r="AD201" i="1" l="1"/>
  <c r="AC201" i="1"/>
  <c r="AN201" i="1" s="1" a="1"/>
  <c r="AN201" i="1" s="1"/>
  <c r="AB202" i="1"/>
  <c r="AC202" i="1" l="1"/>
  <c r="AN202" i="1" s="1" a="1"/>
  <c r="AN202" i="1" s="1"/>
  <c r="AD202" i="1"/>
  <c r="AB203" i="1"/>
  <c r="AC203" i="1" l="1"/>
  <c r="AN203" i="1" s="1" a="1"/>
  <c r="AN203" i="1" s="1"/>
  <c r="AD203" i="1"/>
  <c r="AB204" i="1"/>
  <c r="AD204" i="1" l="1"/>
  <c r="AC204" i="1"/>
  <c r="AN204" i="1" s="1" a="1"/>
  <c r="AN204" i="1" s="1"/>
  <c r="AB205" i="1"/>
  <c r="AB206" i="1" l="1"/>
  <c r="AC205" i="1"/>
  <c r="AN205" i="1" s="1" a="1"/>
  <c r="AN205" i="1" s="1"/>
  <c r="AD205" i="1"/>
  <c r="AC206" i="1" l="1"/>
  <c r="AN206" i="1" s="1" a="1"/>
  <c r="AN206" i="1" s="1"/>
  <c r="AD206" i="1"/>
  <c r="AB207" i="1"/>
  <c r="AC207" i="1" l="1"/>
  <c r="AN207" i="1" s="1" a="1"/>
  <c r="AN207" i="1" s="1"/>
  <c r="AD207" i="1"/>
  <c r="AB208" i="1"/>
  <c r="AC208" i="1" l="1"/>
  <c r="AN208" i="1" s="1" a="1"/>
  <c r="AN208" i="1" s="1"/>
  <c r="AD208" i="1"/>
  <c r="AB209" i="1"/>
  <c r="AC209" i="1" l="1"/>
  <c r="AN209" i="1" s="1" a="1"/>
  <c r="AN209" i="1" s="1"/>
  <c r="AD209" i="1"/>
  <c r="AB210" i="1"/>
  <c r="AC210" i="1" l="1"/>
  <c r="AN210" i="1" s="1" a="1"/>
  <c r="AN210" i="1" s="1"/>
  <c r="AB211" i="1"/>
  <c r="AD210" i="1"/>
  <c r="AD211" i="1" l="1"/>
  <c r="AC211" i="1"/>
  <c r="AN211" i="1" s="1" a="1"/>
  <c r="AN211" i="1" s="1"/>
  <c r="AB212" i="1"/>
  <c r="AC212" i="1" l="1"/>
  <c r="AN212" i="1" s="1" a="1"/>
  <c r="AN212" i="1" s="1"/>
  <c r="AB213" i="1"/>
  <c r="AD212" i="1"/>
  <c r="AD213" i="1" l="1"/>
  <c r="AC213" i="1"/>
  <c r="AN213" i="1" s="1" a="1"/>
  <c r="AN213" i="1" s="1"/>
  <c r="AB214" i="1"/>
  <c r="AC214" i="1" l="1"/>
  <c r="AN214" i="1" s="1" a="1"/>
  <c r="AN214" i="1" s="1"/>
  <c r="AD214" i="1"/>
  <c r="AB215" i="1"/>
  <c r="AD215" i="1" l="1"/>
  <c r="AC215" i="1"/>
  <c r="AN215" i="1" s="1" a="1"/>
  <c r="AN215" i="1" s="1"/>
  <c r="AB216" i="1"/>
  <c r="AD216" i="1" l="1"/>
  <c r="AC216" i="1"/>
  <c r="AN216" i="1" s="1" a="1"/>
  <c r="AN216" i="1" s="1"/>
  <c r="AB217" i="1"/>
  <c r="AC217" i="1" l="1"/>
  <c r="AN217" i="1" s="1" a="1"/>
  <c r="AN217" i="1" s="1"/>
  <c r="AD217" i="1"/>
  <c r="AB218" i="1"/>
  <c r="AC218" i="1" l="1"/>
  <c r="AN218" i="1" s="1" a="1"/>
  <c r="AN218" i="1" s="1"/>
  <c r="AD218" i="1"/>
  <c r="AB219" i="1"/>
  <c r="AD219" i="1" l="1"/>
  <c r="AC219" i="1"/>
  <c r="AN219" i="1" s="1" a="1"/>
  <c r="AN219" i="1" s="1"/>
  <c r="AB220" i="1"/>
  <c r="AC220" i="1" l="1"/>
  <c r="AN220" i="1" s="1" a="1"/>
  <c r="AN220" i="1" s="1"/>
  <c r="AB221" i="1"/>
  <c r="AD220" i="1"/>
  <c r="AD221" i="1" l="1"/>
  <c r="AC221" i="1"/>
  <c r="AN221" i="1" s="1" a="1"/>
  <c r="AN221" i="1" s="1"/>
  <c r="AB222" i="1"/>
  <c r="AC222" i="1" l="1"/>
  <c r="AN222" i="1" s="1" a="1"/>
  <c r="AN222" i="1" s="1"/>
  <c r="AD222" i="1"/>
  <c r="AB223" i="1"/>
  <c r="AD223" i="1" l="1"/>
  <c r="AC223" i="1"/>
  <c r="AN223" i="1" s="1" a="1"/>
  <c r="AN223" i="1" s="1"/>
  <c r="AB224" i="1"/>
  <c r="AD224" i="1" l="1"/>
  <c r="AB225" i="1"/>
  <c r="AC224" i="1"/>
  <c r="AN224" i="1" s="1" a="1"/>
  <c r="AN224" i="1" s="1"/>
  <c r="AC225" i="1" l="1"/>
  <c r="AN225" i="1" s="1" a="1"/>
  <c r="AN225" i="1" s="1"/>
  <c r="AD225" i="1"/>
  <c r="AB226" i="1"/>
  <c r="AC226" i="1" l="1"/>
  <c r="AN226" i="1" s="1" a="1"/>
  <c r="AN226" i="1" s="1"/>
  <c r="AD226" i="1"/>
  <c r="AB227" i="1"/>
  <c r="AD227" i="1" l="1"/>
  <c r="AB228" i="1"/>
  <c r="AC227" i="1"/>
  <c r="AN227" i="1" s="1" a="1"/>
  <c r="AN227" i="1" s="1"/>
  <c r="AC228" i="1" l="1"/>
  <c r="AN228" i="1" s="1" a="1"/>
  <c r="AN228" i="1" s="1"/>
  <c r="AD228" i="1"/>
  <c r="AB229" i="1"/>
  <c r="AC229" i="1" l="1"/>
  <c r="AN229" i="1" s="1" a="1"/>
  <c r="AN229" i="1" s="1"/>
  <c r="AD229" i="1"/>
  <c r="AB230" i="1"/>
  <c r="AC230" i="1" l="1"/>
  <c r="AN230" i="1" s="1" a="1"/>
  <c r="AN230" i="1" s="1"/>
  <c r="AD230" i="1"/>
  <c r="AB231" i="1"/>
  <c r="AC231" i="1" l="1"/>
  <c r="AN231" i="1" s="1" a="1"/>
  <c r="AN231" i="1" s="1"/>
  <c r="AD231" i="1"/>
  <c r="AB232" i="1"/>
  <c r="AC232" i="1" l="1"/>
  <c r="AN232" i="1" s="1" a="1"/>
  <c r="AN232" i="1" s="1"/>
  <c r="AB233" i="1"/>
  <c r="AD232" i="1"/>
  <c r="AC233" i="1" l="1"/>
  <c r="AN233" i="1" s="1" a="1"/>
  <c r="AN233" i="1" s="1"/>
  <c r="AD233" i="1"/>
  <c r="AB234" i="1"/>
  <c r="AC234" i="1" l="1"/>
  <c r="AN234" i="1" s="1" a="1"/>
  <c r="AN234" i="1" s="1"/>
  <c r="AD234" i="1"/>
  <c r="AB235" i="1"/>
  <c r="AC235" i="1" l="1"/>
  <c r="AN235" i="1" s="1" a="1"/>
  <c r="AN235" i="1" s="1"/>
  <c r="AD235" i="1"/>
  <c r="AB236" i="1"/>
  <c r="AB237" i="1" l="1"/>
  <c r="AC236" i="1"/>
  <c r="AN236" i="1" s="1" a="1"/>
  <c r="AN236" i="1" s="1"/>
  <c r="AD236" i="1"/>
  <c r="AC237" i="1" l="1"/>
  <c r="AN237" i="1" s="1" a="1"/>
  <c r="AN237" i="1" s="1"/>
  <c r="AD237" i="1"/>
  <c r="AB238" i="1"/>
  <c r="AC238" i="1" l="1"/>
  <c r="AN238" i="1" s="1" a="1"/>
  <c r="AN238" i="1" s="1"/>
  <c r="AD238" i="1"/>
  <c r="AB239" i="1"/>
  <c r="AB240" i="1" l="1"/>
  <c r="AC239" i="1"/>
  <c r="AN239" i="1" s="1" a="1"/>
  <c r="AN239" i="1" s="1"/>
  <c r="AD239" i="1"/>
  <c r="AB241" i="1" l="1"/>
  <c r="AC240" i="1"/>
  <c r="AN240" i="1" s="1" a="1"/>
  <c r="AN240" i="1" s="1"/>
  <c r="AD240" i="1"/>
  <c r="AC241" i="1" l="1"/>
  <c r="AN241" i="1" s="1" a="1"/>
  <c r="AN241" i="1" s="1"/>
  <c r="AD241" i="1"/>
  <c r="AB242" i="1"/>
  <c r="AC242" i="1" l="1"/>
  <c r="AN242" i="1" s="1" a="1"/>
  <c r="AN242" i="1" s="1"/>
  <c r="AD242" i="1"/>
  <c r="AB243" i="1"/>
  <c r="AD243" i="1" l="1"/>
  <c r="AB244" i="1"/>
  <c r="AC243" i="1"/>
  <c r="AN243" i="1" s="1" a="1"/>
  <c r="AN243" i="1" s="1"/>
  <c r="AD244" i="1" l="1"/>
  <c r="AB245" i="1"/>
  <c r="AC244" i="1"/>
  <c r="AN244" i="1" s="1" a="1"/>
  <c r="AN244" i="1" s="1"/>
  <c r="AC245" i="1" l="1"/>
  <c r="AN245" i="1" s="1" a="1"/>
  <c r="AN245" i="1" s="1"/>
  <c r="AB246" i="1"/>
  <c r="AD245" i="1"/>
  <c r="AC246" i="1" l="1"/>
  <c r="AN246" i="1" s="1" a="1"/>
  <c r="AN246" i="1" s="1"/>
  <c r="AB247" i="1"/>
  <c r="AD246" i="1"/>
  <c r="AD247" i="1" l="1"/>
  <c r="AC247" i="1"/>
  <c r="AN247" i="1" s="1" a="1"/>
  <c r="AN247" i="1" s="1"/>
  <c r="AB248" i="1"/>
  <c r="AC248" i="1" l="1"/>
  <c r="AN248" i="1" s="1" a="1"/>
  <c r="AN248" i="1" s="1"/>
  <c r="AD248" i="1"/>
  <c r="AB249" i="1"/>
  <c r="AC249" i="1" l="1"/>
  <c r="AN249" i="1" s="1" a="1"/>
  <c r="AN249" i="1" s="1"/>
  <c r="AD249" i="1"/>
  <c r="AB250" i="1"/>
  <c r="AC250" i="1" l="1"/>
  <c r="AN250" i="1" s="1" a="1"/>
  <c r="AN250" i="1" s="1"/>
  <c r="AD250" i="1"/>
  <c r="AB251" i="1"/>
  <c r="AD251" i="1" l="1"/>
  <c r="AC251" i="1"/>
  <c r="AN251" i="1" s="1" a="1"/>
  <c r="AN251" i="1" s="1"/>
  <c r="AB252" i="1"/>
  <c r="AC252" i="1" l="1"/>
  <c r="AN252" i="1" s="1" a="1"/>
  <c r="AN252" i="1" s="1"/>
  <c r="AD252" i="1"/>
  <c r="AB253" i="1"/>
  <c r="AD253" i="1" l="1"/>
  <c r="AC253" i="1"/>
  <c r="AN253" i="1" s="1" a="1"/>
  <c r="AN253" i="1" s="1"/>
  <c r="AB254" i="1"/>
  <c r="AC254" i="1" l="1"/>
  <c r="AN254" i="1" s="1" a="1"/>
  <c r="AN254" i="1" s="1"/>
  <c r="AD254" i="1"/>
  <c r="AB255" i="1"/>
  <c r="AB256" i="1" l="1"/>
  <c r="AC255" i="1"/>
  <c r="AN255" i="1" s="1" a="1"/>
  <c r="AN255" i="1" s="1"/>
  <c r="AD255" i="1"/>
  <c r="AB257" i="1" l="1"/>
  <c r="AC256" i="1"/>
  <c r="AN256" i="1" s="1" a="1"/>
  <c r="AN256" i="1" s="1"/>
  <c r="AD256" i="1"/>
  <c r="AD257" i="1" l="1"/>
  <c r="AC257" i="1"/>
  <c r="AN257" i="1" s="1" a="1"/>
  <c r="AN257" i="1" s="1"/>
  <c r="AB258" i="1"/>
  <c r="AC258" i="1" l="1"/>
  <c r="AN258" i="1" s="1" a="1"/>
  <c r="AN258" i="1" s="1"/>
  <c r="AD258" i="1"/>
  <c r="AB259" i="1"/>
  <c r="AC259" i="1" l="1"/>
  <c r="AN259" i="1" s="1" a="1"/>
  <c r="AN259" i="1" s="1"/>
  <c r="AD259" i="1"/>
  <c r="AB260" i="1"/>
  <c r="AD260" i="1" l="1"/>
  <c r="AC260" i="1"/>
  <c r="AN260" i="1" s="1" a="1"/>
  <c r="AN260" i="1" s="1"/>
  <c r="AB261" i="1"/>
  <c r="AB262" i="1" l="1"/>
  <c r="AC261" i="1"/>
  <c r="AN261" i="1" s="1" a="1"/>
  <c r="AN261" i="1" s="1"/>
  <c r="AD261" i="1"/>
  <c r="AC262" i="1" l="1"/>
  <c r="AN262" i="1" s="1" a="1"/>
  <c r="AN262" i="1" s="1"/>
  <c r="AB263" i="1"/>
  <c r="AD262" i="1"/>
  <c r="AC263" i="1" l="1"/>
  <c r="AN263" i="1" s="1" a="1"/>
  <c r="AN263" i="1" s="1"/>
  <c r="AD263" i="1"/>
  <c r="AB264" i="1"/>
  <c r="AC264" i="1" l="1"/>
  <c r="AN264" i="1" s="1" a="1"/>
  <c r="AN264" i="1" s="1"/>
  <c r="AD264" i="1"/>
  <c r="AB265" i="1"/>
  <c r="AD265" i="1" l="1"/>
  <c r="AB266" i="1"/>
  <c r="AC265" i="1"/>
  <c r="AN265" i="1" s="1" a="1"/>
  <c r="AN265" i="1" s="1"/>
  <c r="AC266" i="1" l="1"/>
  <c r="AN266" i="1" s="1" a="1"/>
  <c r="AN266" i="1" s="1"/>
  <c r="AD266" i="1"/>
  <c r="AB267" i="1"/>
  <c r="AC267" i="1" l="1"/>
  <c r="AN267" i="1" s="1" a="1"/>
  <c r="AN267" i="1" s="1"/>
  <c r="AD267" i="1"/>
  <c r="AB268" i="1"/>
  <c r="AC268" i="1" l="1"/>
  <c r="AN268" i="1" s="1" a="1"/>
  <c r="AN268" i="1" s="1"/>
  <c r="AD268" i="1"/>
  <c r="AB269" i="1"/>
  <c r="AC269" i="1" l="1"/>
  <c r="AN269" i="1" s="1" a="1"/>
  <c r="AN269" i="1" s="1"/>
  <c r="AD269" i="1"/>
  <c r="AB270" i="1"/>
  <c r="AC270" i="1" l="1"/>
  <c r="AN270" i="1" s="1" a="1"/>
  <c r="AN270" i="1" s="1"/>
  <c r="AD270" i="1"/>
  <c r="AB271" i="1"/>
  <c r="AD271" i="1" l="1"/>
  <c r="AB272" i="1"/>
  <c r="AC271" i="1"/>
  <c r="AN271" i="1" s="1" a="1"/>
  <c r="AN271" i="1" s="1"/>
  <c r="AC272" i="1" l="1"/>
  <c r="AN272" i="1" s="1" a="1"/>
  <c r="AN272" i="1" s="1"/>
  <c r="AB273" i="1"/>
  <c r="AD272" i="1"/>
  <c r="AC273" i="1" l="1"/>
  <c r="AN273" i="1" s="1" a="1"/>
  <c r="AN273" i="1" s="1"/>
  <c r="AD273" i="1"/>
  <c r="AB274" i="1"/>
  <c r="AC274" i="1" l="1"/>
  <c r="AN274" i="1" s="1" a="1"/>
  <c r="AN274" i="1" s="1"/>
  <c r="AD274" i="1"/>
  <c r="AB275" i="1"/>
  <c r="AC275" i="1" l="1"/>
  <c r="AN275" i="1" s="1" a="1"/>
  <c r="AN275" i="1" s="1"/>
  <c r="AB276" i="1"/>
  <c r="AD275" i="1"/>
  <c r="AB277" i="1" l="1"/>
  <c r="AC276" i="1"/>
  <c r="AN276" i="1" s="1" a="1"/>
  <c r="AN276" i="1" s="1"/>
  <c r="AD276" i="1"/>
  <c r="AB278" i="1" l="1"/>
  <c r="AC277" i="1"/>
  <c r="AN277" i="1" s="1" a="1"/>
  <c r="AN277" i="1" s="1"/>
  <c r="AD277" i="1"/>
  <c r="AC278" i="1" l="1"/>
  <c r="AN278" i="1" s="1" a="1"/>
  <c r="AN278" i="1" s="1"/>
  <c r="AD278" i="1"/>
  <c r="AB279" i="1"/>
  <c r="AC279" i="1" l="1"/>
  <c r="AN279" i="1" s="1" a="1"/>
  <c r="AN279" i="1" s="1"/>
  <c r="AD279" i="1"/>
  <c r="AB280" i="1"/>
  <c r="AD280" i="1" l="1"/>
  <c r="AC280" i="1"/>
  <c r="AN280" i="1" s="1" a="1"/>
  <c r="AN280" i="1" s="1"/>
  <c r="AB281" i="1"/>
  <c r="AB282" i="1" l="1"/>
  <c r="AC281" i="1"/>
  <c r="AN281" i="1" s="1" a="1"/>
  <c r="AN281" i="1" s="1"/>
  <c r="AD281" i="1"/>
  <c r="AC282" i="1" l="1"/>
  <c r="AN282" i="1" s="1" a="1"/>
  <c r="AN282" i="1" s="1"/>
  <c r="AD282" i="1"/>
  <c r="AB283" i="1"/>
  <c r="AC283" i="1" l="1"/>
  <c r="AN283" i="1" s="1" a="1"/>
  <c r="AN283" i="1" s="1"/>
  <c r="AD283" i="1"/>
  <c r="AB284" i="1"/>
  <c r="AD284" i="1" l="1"/>
  <c r="AB285" i="1"/>
  <c r="AC284" i="1"/>
  <c r="AN284" i="1" s="1" a="1"/>
  <c r="AN284" i="1" s="1"/>
  <c r="AC285" i="1" l="1"/>
  <c r="AN285" i="1" s="1" a="1"/>
  <c r="AN285" i="1" s="1"/>
  <c r="AD285" i="1"/>
  <c r="AB286" i="1"/>
  <c r="AC286" i="1" l="1"/>
  <c r="AN286" i="1" s="1" a="1"/>
  <c r="AN286" i="1" s="1"/>
  <c r="AD286" i="1"/>
  <c r="AB287" i="1"/>
  <c r="AD287" i="1" l="1"/>
  <c r="AC287" i="1"/>
  <c r="AN287" i="1" s="1" a="1"/>
  <c r="AN287" i="1" s="1"/>
  <c r="AB288" i="1"/>
  <c r="AD288" i="1" l="1"/>
  <c r="AC288" i="1"/>
  <c r="AN288" i="1" s="1" a="1"/>
  <c r="AN288" i="1" s="1"/>
  <c r="AB289" i="1"/>
  <c r="AB290" i="1" l="1"/>
  <c r="AC289" i="1"/>
  <c r="AN289" i="1" s="1" a="1"/>
  <c r="AN289" i="1" s="1"/>
  <c r="AD289" i="1"/>
  <c r="AC290" i="1" l="1"/>
  <c r="AN290" i="1" s="1" a="1"/>
  <c r="AN290" i="1" s="1"/>
  <c r="AD290" i="1"/>
  <c r="AB291" i="1"/>
  <c r="AC291" i="1" l="1"/>
  <c r="AN291" i="1" s="1" a="1"/>
  <c r="AN291" i="1" s="1"/>
  <c r="AD291" i="1"/>
  <c r="AB292" i="1"/>
  <c r="AD292" i="1" l="1"/>
  <c r="AB293" i="1"/>
  <c r="AC292" i="1"/>
  <c r="AN292" i="1" s="1" a="1"/>
  <c r="AN292" i="1" s="1"/>
  <c r="AB294" i="1" l="1"/>
  <c r="AC293" i="1"/>
  <c r="AN293" i="1" s="1" a="1"/>
  <c r="AN293" i="1" s="1"/>
  <c r="AD293" i="1"/>
  <c r="AD294" i="1" l="1"/>
  <c r="AC294" i="1"/>
  <c r="AN294" i="1" s="1" a="1"/>
  <c r="AN294" i="1" s="1"/>
  <c r="AB295" i="1"/>
  <c r="AC295" i="1" l="1"/>
  <c r="AN295" i="1" s="1" a="1"/>
  <c r="AN295" i="1" s="1"/>
  <c r="AD295" i="1"/>
  <c r="AB296" i="1"/>
  <c r="AC296" i="1" l="1"/>
  <c r="AN296" i="1" s="1" a="1"/>
  <c r="AN296" i="1" s="1"/>
  <c r="AB297" i="1"/>
  <c r="AD296" i="1"/>
  <c r="AD297" i="1" l="1"/>
  <c r="AC297" i="1"/>
  <c r="AN297" i="1" s="1" a="1"/>
  <c r="AN297" i="1" s="1"/>
  <c r="AB298" i="1"/>
  <c r="AC298" i="1" l="1"/>
  <c r="AN298" i="1" s="1" a="1"/>
  <c r="AN298" i="1" s="1"/>
  <c r="AD298" i="1"/>
  <c r="AB299" i="1"/>
  <c r="AC299" i="1" l="1"/>
  <c r="AN299" i="1" s="1" a="1"/>
  <c r="AN299" i="1" s="1"/>
  <c r="AD299" i="1"/>
  <c r="AB300" i="1"/>
  <c r="AC300" i="1" l="1"/>
  <c r="AN300" i="1" s="1" a="1"/>
  <c r="AN300" i="1" s="1"/>
  <c r="AD300" i="1"/>
  <c r="AB301" i="1"/>
  <c r="AD301" i="1" l="1"/>
  <c r="AC301" i="1"/>
  <c r="AN301" i="1" s="1" a="1"/>
  <c r="AN301" i="1" s="1"/>
  <c r="AB302" i="1"/>
  <c r="AC302" i="1" l="1"/>
  <c r="AN302" i="1" s="1" a="1"/>
  <c r="AN302" i="1" s="1"/>
  <c r="AD302" i="1"/>
  <c r="AB303" i="1"/>
  <c r="AC303" i="1" l="1"/>
  <c r="AN303" i="1" s="1" a="1"/>
  <c r="AN303" i="1" s="1"/>
  <c r="AB304" i="1"/>
  <c r="AD303" i="1"/>
  <c r="AD304" i="1" l="1"/>
  <c r="AC304" i="1"/>
  <c r="AN304" i="1" s="1" a="1"/>
  <c r="AN304" i="1" s="1"/>
  <c r="AB305" i="1"/>
  <c r="AD305" i="1" l="1"/>
  <c r="AC305" i="1"/>
  <c r="AN305" i="1" s="1" a="1"/>
  <c r="AN305" i="1" s="1"/>
  <c r="AB306" i="1"/>
  <c r="AC306" i="1" l="1"/>
  <c r="AN306" i="1" s="1" a="1"/>
  <c r="AN306" i="1" s="1"/>
  <c r="AD306" i="1"/>
  <c r="AB307" i="1"/>
  <c r="AC307" i="1" l="1"/>
  <c r="AN307" i="1" s="1" a="1"/>
  <c r="AN307" i="1" s="1"/>
  <c r="AD307" i="1"/>
  <c r="AB308" i="1"/>
  <c r="AD308" i="1" l="1"/>
  <c r="AC308" i="1"/>
  <c r="AN308" i="1" s="1" a="1"/>
  <c r="AN308" i="1" s="1"/>
  <c r="AB309" i="1"/>
  <c r="AC309" i="1" l="1"/>
  <c r="AN309" i="1" s="1" a="1"/>
  <c r="AN309" i="1" s="1"/>
  <c r="AD309" i="1"/>
  <c r="AB310" i="1"/>
  <c r="AC310" i="1" l="1"/>
  <c r="AN310" i="1" s="1" a="1"/>
  <c r="AN310" i="1" s="1"/>
  <c r="AD310" i="1"/>
  <c r="AB311" i="1"/>
  <c r="AD311" i="1" l="1"/>
  <c r="AC311" i="1"/>
  <c r="AN311" i="1" s="1" a="1"/>
  <c r="AN311" i="1" s="1"/>
  <c r="AB312" i="1"/>
  <c r="AC312" i="1" l="1"/>
  <c r="AN312" i="1" s="1" a="1"/>
  <c r="AN312" i="1" s="1"/>
  <c r="AD312" i="1"/>
  <c r="AB313" i="1"/>
  <c r="AD313" i="1" l="1"/>
  <c r="AC313" i="1"/>
  <c r="AN313" i="1" s="1" a="1"/>
  <c r="AN313" i="1" s="1"/>
  <c r="AB314" i="1"/>
  <c r="AD314" i="1" l="1"/>
  <c r="AC314" i="1"/>
  <c r="AN314" i="1" s="1" a="1"/>
  <c r="AN314" i="1" s="1"/>
  <c r="AB315" i="1"/>
  <c r="AD315" i="1" l="1"/>
  <c r="AB316" i="1"/>
  <c r="AC315" i="1"/>
  <c r="AN315" i="1" s="1" a="1"/>
  <c r="AN315" i="1" s="1"/>
  <c r="AC316" i="1" l="1"/>
  <c r="AN316" i="1" s="1" a="1"/>
  <c r="AN316" i="1" s="1"/>
  <c r="AD316" i="1"/>
  <c r="AB317" i="1"/>
  <c r="AC317" i="1" l="1"/>
  <c r="AN317" i="1" s="1" a="1"/>
  <c r="AN317" i="1" s="1"/>
  <c r="AD317" i="1"/>
  <c r="AB318" i="1"/>
  <c r="AC318" i="1" l="1"/>
  <c r="AN318" i="1" s="1" a="1"/>
  <c r="AN318" i="1" s="1"/>
  <c r="AD318" i="1"/>
  <c r="AB319" i="1"/>
  <c r="AD319" i="1" l="1"/>
  <c r="AB320" i="1"/>
  <c r="AC319" i="1"/>
  <c r="AN319" i="1" s="1" a="1"/>
  <c r="AN319" i="1" s="1"/>
  <c r="AC320" i="1" l="1"/>
  <c r="AN320" i="1" s="1" a="1"/>
  <c r="AN320" i="1" s="1"/>
  <c r="AD320" i="1"/>
  <c r="AB321" i="1"/>
  <c r="AC321" i="1" l="1"/>
  <c r="AN321" i="1" s="1" a="1"/>
  <c r="AN321" i="1" s="1"/>
  <c r="AD321" i="1"/>
  <c r="AB322" i="1"/>
  <c r="AC322" i="1" l="1"/>
  <c r="AN322" i="1" s="1" a="1"/>
  <c r="AN322" i="1" s="1"/>
  <c r="AD322" i="1"/>
  <c r="AB323" i="1"/>
  <c r="AD323" i="1" l="1"/>
  <c r="AB324" i="1"/>
  <c r="AC323" i="1"/>
  <c r="AN323" i="1" s="1" a="1"/>
  <c r="AN323" i="1" s="1"/>
  <c r="AC324" i="1" l="1"/>
  <c r="AN324" i="1" s="1" a="1"/>
  <c r="AN324" i="1" s="1"/>
  <c r="AD324" i="1"/>
  <c r="AB325" i="1"/>
  <c r="AC325" i="1" l="1"/>
  <c r="AN325" i="1" s="1" a="1"/>
  <c r="AN325" i="1" s="1"/>
  <c r="AD325" i="1"/>
  <c r="AB326" i="1"/>
  <c r="AB327" i="1" l="1"/>
  <c r="AC326" i="1"/>
  <c r="AN326" i="1" s="1" a="1"/>
  <c r="AN326" i="1" s="1"/>
  <c r="AD326" i="1"/>
  <c r="AD327" i="1" l="1"/>
  <c r="AC327" i="1"/>
  <c r="AN327" i="1" s="1" a="1"/>
  <c r="AN327" i="1" s="1"/>
  <c r="AB328" i="1"/>
  <c r="AC328" i="1" l="1"/>
  <c r="AN328" i="1" s="1" a="1"/>
  <c r="AN328" i="1" s="1"/>
  <c r="AD328" i="1"/>
  <c r="AB329" i="1"/>
  <c r="AC329" i="1" l="1"/>
  <c r="AN329" i="1" s="1" a="1"/>
  <c r="AN329" i="1" s="1"/>
  <c r="AD329" i="1"/>
  <c r="AB330" i="1"/>
  <c r="AC330" i="1" l="1"/>
  <c r="AN330" i="1" s="1" a="1"/>
  <c r="AN330" i="1" s="1"/>
  <c r="AB331" i="1"/>
  <c r="AD330" i="1"/>
  <c r="AD331" i="1" l="1"/>
  <c r="AC331" i="1"/>
  <c r="AN331" i="1" s="1" a="1"/>
  <c r="AN331" i="1" s="1"/>
  <c r="AB332" i="1"/>
  <c r="AC332" i="1" l="1"/>
  <c r="AN332" i="1" s="1" a="1"/>
  <c r="AN332" i="1" s="1"/>
  <c r="AD332" i="1"/>
  <c r="AB333" i="1"/>
  <c r="AC333" i="1" l="1"/>
  <c r="AN333" i="1" s="1" a="1"/>
  <c r="AN333" i="1" s="1"/>
  <c r="AD333" i="1"/>
  <c r="AB334" i="1"/>
  <c r="AC334" i="1" l="1"/>
  <c r="AN334" i="1" s="1" a="1"/>
  <c r="AN334" i="1" s="1"/>
  <c r="AD334" i="1"/>
  <c r="AB335" i="1"/>
  <c r="AD335" i="1" l="1"/>
  <c r="AC335" i="1"/>
  <c r="AN335" i="1" s="1" a="1"/>
  <c r="AN335" i="1" s="1"/>
  <c r="AB336" i="1"/>
  <c r="AC336" i="1" l="1"/>
  <c r="AN336" i="1" s="1" a="1"/>
  <c r="AN336" i="1" s="1"/>
  <c r="AD336" i="1"/>
  <c r="AB337" i="1"/>
  <c r="AC337" i="1" l="1"/>
  <c r="AN337" i="1" s="1" a="1"/>
  <c r="AN337" i="1" s="1"/>
  <c r="AD337" i="1"/>
  <c r="AB338" i="1"/>
  <c r="AD338" i="1" l="1"/>
  <c r="AC338" i="1"/>
  <c r="AN338" i="1" s="1" a="1"/>
  <c r="AN338" i="1" s="1"/>
  <c r="AB339" i="1"/>
  <c r="AD339" i="1" l="1"/>
  <c r="AC339" i="1"/>
  <c r="AN339" i="1" s="1" a="1"/>
  <c r="AN339" i="1" s="1"/>
  <c r="AB340" i="1"/>
  <c r="AC340" i="1" l="1"/>
  <c r="AN340" i="1" s="1" a="1"/>
  <c r="AN340" i="1" s="1"/>
  <c r="AD340" i="1"/>
  <c r="AB341" i="1"/>
  <c r="AC341" i="1" l="1"/>
  <c r="AN341" i="1" s="1" a="1"/>
  <c r="AN341" i="1" s="1"/>
  <c r="AD341" i="1"/>
  <c r="AB342" i="1"/>
  <c r="AC342" i="1" l="1"/>
  <c r="AN342" i="1" s="1" a="1"/>
  <c r="AN342" i="1" s="1"/>
  <c r="AB343" i="1"/>
  <c r="AD342" i="1"/>
  <c r="AD343" i="1" l="1"/>
  <c r="AC343" i="1"/>
  <c r="AN343" i="1" s="1" a="1"/>
  <c r="AN343" i="1" s="1"/>
  <c r="AB344" i="1"/>
  <c r="AC344" i="1" l="1"/>
  <c r="AN344" i="1" s="1" a="1"/>
  <c r="AN344" i="1" s="1"/>
  <c r="AD344" i="1"/>
  <c r="AB345" i="1"/>
  <c r="AC345" i="1" l="1"/>
  <c r="AN345" i="1" s="1" a="1"/>
  <c r="AN345" i="1" s="1"/>
  <c r="AD345" i="1"/>
  <c r="AB346" i="1"/>
  <c r="AD346" i="1" l="1"/>
  <c r="AC346" i="1"/>
  <c r="AN346" i="1" s="1" a="1"/>
  <c r="AN346" i="1" s="1"/>
  <c r="AB347" i="1"/>
  <c r="AD347" i="1" l="1"/>
  <c r="AC347" i="1"/>
  <c r="AN347" i="1" s="1" a="1"/>
  <c r="AN347" i="1" s="1"/>
  <c r="AB348" i="1"/>
  <c r="AC348" i="1" l="1"/>
  <c r="AN348" i="1" s="1" a="1"/>
  <c r="AN348" i="1" s="1"/>
  <c r="AD348" i="1"/>
  <c r="AB349" i="1"/>
  <c r="AC349" i="1" l="1"/>
  <c r="AN349" i="1" s="1" a="1"/>
  <c r="AN349" i="1" s="1"/>
  <c r="AD349" i="1"/>
  <c r="AB350" i="1"/>
  <c r="AC350" i="1" l="1"/>
  <c r="AN350" i="1" s="1" a="1"/>
  <c r="AN350" i="1" s="1"/>
  <c r="AD350" i="1"/>
  <c r="AB351" i="1"/>
  <c r="AC351" i="1" l="1"/>
  <c r="AN351" i="1" s="1" a="1"/>
  <c r="AN351" i="1" s="1"/>
  <c r="AD351" i="1"/>
  <c r="AB352" i="1"/>
  <c r="AC352" i="1" l="1"/>
  <c r="AN352" i="1" s="1" a="1"/>
  <c r="AN352" i="1" s="1"/>
  <c r="AD352" i="1"/>
  <c r="AB353" i="1"/>
  <c r="AC353" i="1" l="1"/>
  <c r="AN353" i="1" s="1" a="1"/>
  <c r="AN353" i="1" s="1"/>
  <c r="AD353" i="1"/>
  <c r="AB354" i="1"/>
  <c r="AD354" i="1" l="1"/>
  <c r="AC354" i="1"/>
  <c r="AN354" i="1" s="1" a="1"/>
  <c r="AN354" i="1" s="1"/>
  <c r="AB355" i="1"/>
  <c r="AC355" i="1" l="1"/>
  <c r="AN355" i="1" s="1" a="1"/>
  <c r="AN355" i="1" s="1"/>
  <c r="AD355" i="1"/>
  <c r="AB356" i="1"/>
  <c r="AC356" i="1" l="1"/>
  <c r="AN356" i="1" s="1" a="1"/>
  <c r="AN356" i="1" s="1"/>
  <c r="AB357" i="1"/>
  <c r="AD356" i="1"/>
  <c r="AC357" i="1" l="1"/>
  <c r="AN357" i="1" s="1" a="1"/>
  <c r="AN357" i="1" s="1"/>
  <c r="AD357" i="1"/>
  <c r="AB358" i="1"/>
  <c r="AC358" i="1" l="1"/>
  <c r="AN358" i="1" s="1" a="1"/>
  <c r="AN358" i="1" s="1"/>
  <c r="AD358" i="1"/>
  <c r="AB359" i="1"/>
  <c r="AC359" i="1" l="1"/>
  <c r="AN359" i="1" s="1" a="1"/>
  <c r="AN359" i="1" s="1"/>
  <c r="AD359" i="1"/>
  <c r="AB360" i="1"/>
  <c r="AC360" i="1" l="1"/>
  <c r="AN360" i="1" s="1" a="1"/>
  <c r="AN360" i="1" s="1"/>
  <c r="AD360" i="1"/>
  <c r="AB361" i="1"/>
  <c r="AC361" i="1" l="1"/>
  <c r="AN361" i="1" s="1" a="1"/>
  <c r="AN361" i="1" s="1"/>
  <c r="AD361" i="1"/>
  <c r="AB362" i="1"/>
  <c r="AB363" i="1" l="1"/>
  <c r="AD362" i="1"/>
  <c r="AC362" i="1"/>
  <c r="AN362" i="1" s="1" a="1"/>
  <c r="AN362" i="1" s="1"/>
  <c r="AD363" i="1" l="1"/>
  <c r="AC363" i="1"/>
  <c r="AN363" i="1" s="1" a="1"/>
  <c r="AN363" i="1" s="1"/>
  <c r="AB364" i="1"/>
  <c r="AC364" i="1" l="1"/>
  <c r="AN364" i="1" s="1" a="1"/>
  <c r="AN364" i="1" s="1"/>
  <c r="AD364" i="1"/>
  <c r="AB365" i="1"/>
  <c r="AC365" i="1" l="1"/>
  <c r="AN365" i="1" s="1" a="1"/>
  <c r="AN365" i="1" s="1"/>
  <c r="AD365" i="1"/>
  <c r="AB366" i="1"/>
  <c r="AC366" i="1" l="1"/>
  <c r="AN366" i="1" s="1" a="1"/>
  <c r="AN366" i="1" s="1"/>
  <c r="AD366" i="1"/>
  <c r="AB367" i="1"/>
  <c r="AC367" i="1" l="1"/>
  <c r="AN367" i="1" s="1" a="1"/>
  <c r="AN367" i="1" s="1"/>
  <c r="AD367" i="1"/>
  <c r="AB368" i="1"/>
  <c r="AC368" i="1" l="1"/>
  <c r="AN368" i="1" s="1" a="1"/>
  <c r="AN368" i="1" s="1"/>
  <c r="AD368" i="1"/>
  <c r="AB369" i="1"/>
  <c r="AC369" i="1" l="1"/>
  <c r="AN369" i="1" s="1" a="1"/>
  <c r="AN369" i="1" s="1"/>
  <c r="AD369" i="1"/>
  <c r="AB370" i="1"/>
  <c r="AC370" i="1" l="1"/>
  <c r="AN370" i="1" s="1" a="1"/>
  <c r="AN370" i="1" s="1"/>
  <c r="AD370" i="1"/>
  <c r="AB371" i="1"/>
  <c r="AC371" i="1" l="1"/>
  <c r="AN371" i="1" s="1" a="1"/>
  <c r="AN371" i="1" s="1"/>
  <c r="AB372" i="1"/>
  <c r="AD371" i="1"/>
  <c r="AC372" i="1" l="1"/>
  <c r="AN372" i="1" s="1" a="1"/>
  <c r="AN372" i="1" s="1"/>
  <c r="AB373" i="1"/>
  <c r="AD372" i="1"/>
  <c r="AC373" i="1" l="1"/>
  <c r="AN373" i="1" s="1" a="1"/>
  <c r="AN373" i="1" s="1"/>
  <c r="AB374" i="1"/>
  <c r="AD373" i="1"/>
  <c r="AC374" i="1" l="1"/>
  <c r="AN374" i="1" s="1" a="1"/>
  <c r="AN374" i="1" s="1"/>
  <c r="AB375" i="1"/>
  <c r="AD374" i="1"/>
  <c r="AC375" i="1" l="1"/>
  <c r="AN375" i="1" s="1" a="1"/>
  <c r="AN375" i="1" s="1"/>
  <c r="AD375" i="1"/>
  <c r="AB376" i="1"/>
  <c r="AC376" i="1" l="1"/>
  <c r="AN376" i="1" s="1" a="1"/>
  <c r="AN376" i="1" s="1"/>
  <c r="AD376" i="1"/>
  <c r="AB377" i="1"/>
  <c r="AC377" i="1" l="1"/>
  <c r="AN377" i="1" s="1" a="1"/>
  <c r="AN377" i="1" s="1"/>
  <c r="AD377" i="1"/>
  <c r="AB378" i="1"/>
  <c r="AC378" i="1" l="1"/>
  <c r="AN378" i="1" s="1" a="1"/>
  <c r="AN378" i="1" s="1"/>
  <c r="AD378" i="1"/>
  <c r="AB379" i="1"/>
  <c r="AC379" i="1" l="1"/>
  <c r="AN379" i="1" s="1" a="1"/>
  <c r="AN379" i="1" s="1"/>
  <c r="AD379" i="1"/>
  <c r="AB380" i="1"/>
  <c r="AC380" i="1" l="1"/>
  <c r="AN380" i="1" s="1" a="1"/>
  <c r="AN380" i="1" s="1"/>
  <c r="AD380" i="1"/>
  <c r="AB381" i="1"/>
  <c r="AD381" i="1" l="1"/>
  <c r="AC381" i="1"/>
  <c r="AN381" i="1" s="1" a="1"/>
  <c r="AN381" i="1" s="1"/>
  <c r="AB382" i="1"/>
  <c r="AC382" i="1" l="1"/>
  <c r="AN382" i="1" s="1" a="1"/>
  <c r="AN382" i="1" s="1"/>
  <c r="AD382" i="1"/>
  <c r="AB383" i="1"/>
  <c r="AD383" i="1" l="1"/>
  <c r="AC383" i="1"/>
  <c r="AN383" i="1" s="1" a="1"/>
  <c r="AN383" i="1" s="1"/>
  <c r="AB384" i="1"/>
  <c r="AC384" i="1" l="1"/>
  <c r="AN384" i="1" s="1" a="1"/>
  <c r="AN384" i="1" s="1"/>
  <c r="AD384" i="1"/>
  <c r="AB385" i="1"/>
  <c r="AC385" i="1" l="1"/>
  <c r="AN385" i="1" s="1" a="1"/>
  <c r="AN385" i="1" s="1"/>
  <c r="AD385" i="1"/>
  <c r="AB386" i="1"/>
  <c r="AC386" i="1" l="1"/>
  <c r="AN386" i="1" s="1" a="1"/>
  <c r="AN386" i="1" s="1"/>
  <c r="AD386" i="1"/>
  <c r="AB387" i="1"/>
  <c r="AC387" i="1" l="1"/>
  <c r="AN387" i="1" s="1" a="1"/>
  <c r="AN387" i="1" s="1"/>
  <c r="AD387" i="1"/>
  <c r="AB388" i="1"/>
  <c r="AC388" i="1" l="1"/>
  <c r="AN388" i="1" s="1" a="1"/>
  <c r="AN388" i="1" s="1"/>
  <c r="AD388" i="1"/>
  <c r="AB389" i="1"/>
  <c r="AC389" i="1" l="1"/>
  <c r="AN389" i="1" s="1" a="1"/>
  <c r="AN389" i="1" s="1"/>
  <c r="AD389" i="1"/>
  <c r="AB390" i="1"/>
  <c r="AC390" i="1" l="1"/>
  <c r="AN390" i="1" s="1" a="1"/>
  <c r="AN390" i="1" s="1"/>
  <c r="AD390" i="1"/>
  <c r="AB391" i="1"/>
  <c r="AC391" i="1" l="1"/>
  <c r="AN391" i="1" s="1" a="1"/>
  <c r="AN391" i="1" s="1"/>
  <c r="AD391" i="1"/>
  <c r="AB392" i="1"/>
  <c r="AD392" i="1" l="1"/>
  <c r="AC392" i="1"/>
  <c r="AN392" i="1" s="1" a="1"/>
  <c r="AN392" i="1" s="1"/>
  <c r="AB393" i="1"/>
  <c r="AD393" i="1" l="1"/>
  <c r="AC393" i="1"/>
  <c r="AN393" i="1" s="1" a="1"/>
  <c r="AN393" i="1" s="1"/>
  <c r="AB394" i="1"/>
  <c r="AC394" i="1" l="1"/>
  <c r="AN394" i="1" s="1" a="1"/>
  <c r="AN394" i="1" s="1"/>
  <c r="AD394" i="1"/>
  <c r="AB395" i="1"/>
  <c r="AD395" i="1" l="1"/>
  <c r="AB396" i="1"/>
  <c r="AC395" i="1"/>
  <c r="AN395" i="1" s="1" a="1"/>
  <c r="AN395" i="1" s="1"/>
  <c r="AB397" i="1" l="1"/>
  <c r="AC396" i="1"/>
  <c r="AN396" i="1" s="1" a="1"/>
  <c r="AN396" i="1" s="1"/>
  <c r="AD396" i="1"/>
  <c r="AD397" i="1" l="1"/>
  <c r="AC397" i="1"/>
  <c r="AN397" i="1" s="1" a="1"/>
  <c r="AN397" i="1" s="1"/>
  <c r="AB398" i="1"/>
  <c r="AC398" i="1" l="1"/>
  <c r="AN398" i="1" s="1" a="1"/>
  <c r="AN398" i="1" s="1"/>
  <c r="AD398" i="1"/>
  <c r="AB399" i="1"/>
  <c r="AB400" i="1" l="1"/>
  <c r="AC399" i="1"/>
  <c r="AN399" i="1" s="1" a="1"/>
  <c r="AN399" i="1" s="1"/>
  <c r="AD399" i="1"/>
  <c r="AD400" i="1" l="1"/>
  <c r="AC400" i="1"/>
  <c r="AN400" i="1" s="1" a="1"/>
  <c r="AN400" i="1" s="1"/>
  <c r="AB401" i="1"/>
  <c r="AC401" i="1" l="1"/>
  <c r="AN401" i="1" s="1" a="1"/>
  <c r="AN401" i="1" s="1"/>
  <c r="AD401" i="1"/>
  <c r="AB402" i="1"/>
  <c r="AC402" i="1" l="1"/>
  <c r="AN402" i="1" s="1" a="1"/>
  <c r="AN402" i="1" s="1"/>
  <c r="AD402" i="1"/>
  <c r="AB403" i="1"/>
  <c r="AC403" i="1" l="1"/>
  <c r="AN403" i="1" s="1" a="1"/>
  <c r="AN403" i="1" s="1"/>
  <c r="AD403" i="1"/>
  <c r="AB404" i="1"/>
  <c r="AC404" i="1" l="1"/>
  <c r="AN404" i="1" s="1" a="1"/>
  <c r="AN404" i="1" s="1"/>
  <c r="AD404" i="1"/>
  <c r="AB405" i="1"/>
  <c r="AC405" i="1" l="1"/>
  <c r="AN405" i="1" s="1" a="1"/>
  <c r="AN405" i="1" s="1"/>
  <c r="AD405" i="1"/>
  <c r="AB406" i="1"/>
  <c r="AC406" i="1" l="1"/>
  <c r="AN406" i="1" s="1" a="1"/>
  <c r="AN406" i="1" s="1"/>
  <c r="AD406" i="1"/>
  <c r="AB407" i="1"/>
  <c r="AC407" i="1" l="1"/>
  <c r="AN407" i="1" s="1" a="1"/>
  <c r="AN407" i="1" s="1"/>
  <c r="AD407" i="1"/>
  <c r="AB408" i="1"/>
  <c r="AC408" i="1" l="1"/>
  <c r="AN408" i="1" s="1" a="1"/>
  <c r="AN408" i="1" s="1"/>
  <c r="AD408" i="1"/>
  <c r="AB409" i="1"/>
  <c r="AC409" i="1" l="1"/>
  <c r="AN409" i="1" s="1" a="1"/>
  <c r="AN409" i="1" s="1"/>
  <c r="AD409" i="1"/>
  <c r="AB410" i="1"/>
  <c r="AC410" i="1" l="1"/>
  <c r="AN410" i="1" s="1" a="1"/>
  <c r="AN410" i="1" s="1"/>
  <c r="AD410" i="1"/>
  <c r="AB411" i="1"/>
  <c r="AC411" i="1" l="1"/>
  <c r="AN411" i="1" s="1" a="1"/>
  <c r="AN411" i="1" s="1"/>
  <c r="AD411" i="1"/>
  <c r="AB412" i="1"/>
  <c r="AC412" i="1" l="1"/>
  <c r="AN412" i="1" s="1" a="1"/>
  <c r="AN412" i="1" s="1"/>
  <c r="AD412" i="1"/>
  <c r="AB413" i="1"/>
  <c r="AC413" i="1" l="1"/>
  <c r="AN413" i="1" s="1" a="1"/>
  <c r="AN413" i="1" s="1"/>
  <c r="AD413" i="1"/>
  <c r="AB414" i="1"/>
  <c r="AC414" i="1" l="1"/>
  <c r="AN414" i="1" s="1" a="1"/>
  <c r="AN414" i="1" s="1"/>
  <c r="AD414" i="1"/>
  <c r="AB415" i="1"/>
  <c r="AB416" i="1" l="1"/>
  <c r="AC415" i="1"/>
  <c r="AN415" i="1" s="1" a="1"/>
  <c r="AN415" i="1" s="1"/>
  <c r="AD415" i="1"/>
  <c r="AC416" i="1" l="1"/>
  <c r="AN416" i="1" s="1" a="1"/>
  <c r="AN416" i="1" s="1"/>
  <c r="AD416" i="1"/>
  <c r="AB417" i="1"/>
  <c r="AC417" i="1" l="1"/>
  <c r="AN417" i="1" s="1" a="1"/>
  <c r="AN417" i="1" s="1"/>
  <c r="AD417" i="1"/>
  <c r="AB418" i="1"/>
  <c r="AC418" i="1" l="1"/>
  <c r="AN418" i="1" s="1" a="1"/>
  <c r="AN418" i="1" s="1"/>
  <c r="AD418" i="1"/>
  <c r="AB419" i="1"/>
  <c r="AD419" i="1" l="1"/>
  <c r="AB420" i="1"/>
  <c r="AC419" i="1"/>
  <c r="AN419" i="1" s="1" a="1"/>
  <c r="AN419" i="1" s="1"/>
  <c r="AC420" i="1" l="1"/>
  <c r="AN420" i="1" s="1" a="1"/>
  <c r="AN420" i="1" s="1"/>
  <c r="AD420" i="1"/>
  <c r="AB421" i="1"/>
  <c r="AD421" i="1" l="1"/>
  <c r="AC421" i="1"/>
  <c r="AN421" i="1" s="1" a="1"/>
  <c r="AN421" i="1" s="1"/>
  <c r="AB422" i="1"/>
  <c r="AC422" i="1" l="1"/>
  <c r="AN422" i="1" s="1" a="1"/>
  <c r="AN422" i="1" s="1"/>
  <c r="AD422" i="1"/>
  <c r="AB423" i="1"/>
  <c r="AC423" i="1" l="1"/>
  <c r="AN423" i="1" s="1" a="1"/>
  <c r="AN423" i="1" s="1"/>
  <c r="AD423" i="1"/>
  <c r="AB424" i="1"/>
  <c r="AD424" i="1" l="1"/>
  <c r="AC424" i="1"/>
  <c r="AN424" i="1" s="1" a="1"/>
  <c r="AN424" i="1" s="1"/>
  <c r="AB425" i="1"/>
  <c r="AC425" i="1" l="1"/>
  <c r="AN425" i="1" s="1" a="1"/>
  <c r="AN425" i="1" s="1"/>
  <c r="AD425" i="1"/>
  <c r="AB426" i="1"/>
  <c r="AC426" i="1" l="1"/>
  <c r="AN426" i="1" s="1" a="1"/>
  <c r="AN426" i="1" s="1"/>
  <c r="AD426" i="1"/>
  <c r="AB427" i="1"/>
  <c r="AC427" i="1" l="1"/>
  <c r="AN427" i="1" s="1" a="1"/>
  <c r="AN427" i="1" s="1"/>
  <c r="AD427" i="1"/>
  <c r="AB428" i="1"/>
  <c r="AC428" i="1" l="1"/>
  <c r="AN428" i="1" s="1" a="1"/>
  <c r="AN428" i="1" s="1"/>
  <c r="AD428" i="1"/>
  <c r="AB429" i="1"/>
  <c r="AC429" i="1" l="1"/>
  <c r="AN429" i="1" s="1" a="1"/>
  <c r="AN429" i="1" s="1"/>
  <c r="AD429" i="1"/>
  <c r="AB430" i="1"/>
  <c r="AC430" i="1" l="1"/>
  <c r="AN430" i="1" s="1" a="1"/>
  <c r="AN430" i="1" s="1"/>
  <c r="AD430" i="1"/>
  <c r="AB431" i="1"/>
  <c r="AC431" i="1" l="1"/>
  <c r="AN431" i="1" s="1" a="1"/>
  <c r="AN431" i="1" s="1"/>
  <c r="AD431" i="1"/>
  <c r="AB432" i="1"/>
  <c r="AC432" i="1" l="1"/>
  <c r="AN432" i="1" s="1" a="1"/>
  <c r="AN432" i="1" s="1"/>
  <c r="AB433" i="1"/>
  <c r="AD432" i="1"/>
  <c r="AC433" i="1" l="1"/>
  <c r="AN433" i="1" s="1" a="1"/>
  <c r="AN433" i="1" s="1"/>
  <c r="AD433" i="1"/>
  <c r="AB434" i="1"/>
  <c r="AC434" i="1" l="1"/>
  <c r="AN434" i="1" s="1" a="1"/>
  <c r="AN434" i="1" s="1"/>
  <c r="AD434" i="1"/>
  <c r="AB435" i="1"/>
  <c r="AD435" i="1" l="1"/>
  <c r="AB436" i="1"/>
  <c r="AC435" i="1"/>
  <c r="AN435" i="1" s="1" a="1"/>
  <c r="AN435" i="1" s="1"/>
  <c r="AC436" i="1" l="1"/>
  <c r="AN436" i="1" s="1" a="1"/>
  <c r="AN436" i="1" s="1"/>
  <c r="AD436" i="1"/>
  <c r="AB437" i="1"/>
  <c r="AD437" i="1" l="1"/>
  <c r="AC437" i="1"/>
  <c r="AN437" i="1" s="1" a="1"/>
  <c r="AN437" i="1" s="1"/>
  <c r="AB438" i="1"/>
  <c r="AC438" i="1" l="1"/>
  <c r="AN438" i="1" s="1" a="1"/>
  <c r="AN438" i="1" s="1"/>
  <c r="AD438" i="1"/>
  <c r="AB439" i="1"/>
  <c r="AC439" i="1" l="1"/>
  <c r="AN439" i="1" s="1" a="1"/>
  <c r="AN439" i="1" s="1"/>
  <c r="AD439" i="1"/>
  <c r="AB440" i="1"/>
  <c r="AC440" i="1" l="1"/>
  <c r="AN440" i="1" s="1" a="1"/>
  <c r="AN440" i="1" s="1"/>
  <c r="AD440" i="1"/>
  <c r="AB441" i="1"/>
  <c r="AB442" i="1" l="1"/>
  <c r="AC441" i="1"/>
  <c r="AN441" i="1" s="1" a="1"/>
  <c r="AN441" i="1" s="1"/>
  <c r="AD441" i="1"/>
  <c r="AC442" i="1" l="1"/>
  <c r="AN442" i="1" s="1" a="1"/>
  <c r="AN442" i="1" s="1"/>
  <c r="AD442" i="1"/>
  <c r="AB443" i="1"/>
  <c r="AC443" i="1" l="1"/>
  <c r="AN443" i="1" s="1" a="1"/>
  <c r="AN443" i="1" s="1"/>
  <c r="AD443" i="1"/>
  <c r="AB444" i="1"/>
  <c r="AC444" i="1" l="1"/>
  <c r="AN444" i="1" s="1" a="1"/>
  <c r="AN444" i="1" s="1"/>
  <c r="AD444" i="1"/>
  <c r="AB445" i="1"/>
  <c r="AC445" i="1" l="1"/>
  <c r="AN445" i="1" s="1" a="1"/>
  <c r="AN445" i="1" s="1"/>
  <c r="AD445" i="1"/>
  <c r="AB446" i="1"/>
  <c r="AC446" i="1" l="1"/>
  <c r="AN446" i="1" s="1" a="1"/>
  <c r="AN446" i="1" s="1"/>
  <c r="AB447" i="1"/>
  <c r="AD446" i="1"/>
  <c r="AD447" i="1" l="1"/>
  <c r="AB448" i="1"/>
  <c r="AC447" i="1"/>
  <c r="AN447" i="1" s="1" a="1"/>
  <c r="AN447" i="1" s="1"/>
  <c r="AC448" i="1" l="1"/>
  <c r="AN448" i="1" s="1" a="1"/>
  <c r="AN448" i="1" s="1"/>
  <c r="AD448" i="1"/>
  <c r="AB449" i="1"/>
  <c r="AC449" i="1" l="1"/>
  <c r="AN449" i="1" s="1" a="1"/>
  <c r="AN449" i="1" s="1"/>
  <c r="AD449" i="1"/>
  <c r="AB450" i="1"/>
  <c r="AC450" i="1" l="1"/>
  <c r="AN450" i="1" s="1" a="1"/>
  <c r="AN450" i="1" s="1"/>
  <c r="AD450" i="1"/>
  <c r="AB451" i="1"/>
  <c r="AD451" i="1" l="1"/>
  <c r="AB452" i="1"/>
  <c r="AC451" i="1"/>
  <c r="AN451" i="1" s="1" a="1"/>
  <c r="AN451" i="1" s="1"/>
  <c r="AD452" i="1" l="1"/>
  <c r="AC452" i="1"/>
  <c r="AN452" i="1" s="1" a="1"/>
  <c r="AN452" i="1" s="1"/>
  <c r="AB453" i="1"/>
  <c r="AC453" i="1" l="1"/>
  <c r="AN453" i="1" s="1" a="1"/>
  <c r="AN453" i="1" s="1"/>
  <c r="AD453" i="1"/>
  <c r="AB454" i="1"/>
  <c r="AC454" i="1" l="1"/>
  <c r="AN454" i="1" s="1" a="1"/>
  <c r="AN454" i="1" s="1"/>
  <c r="AD454" i="1"/>
  <c r="AB455" i="1"/>
  <c r="AD455" i="1" l="1"/>
  <c r="AB456" i="1"/>
  <c r="AC455" i="1"/>
  <c r="AN455" i="1" s="1" a="1"/>
  <c r="AN455" i="1" s="1"/>
  <c r="AC456" i="1" l="1"/>
  <c r="AN456" i="1" s="1" a="1"/>
  <c r="AN456" i="1" s="1"/>
  <c r="AD456" i="1"/>
  <c r="AB457" i="1"/>
  <c r="AD457" i="1" l="1"/>
  <c r="AC457" i="1"/>
  <c r="AN457" i="1" s="1" a="1"/>
  <c r="AN457" i="1" s="1"/>
  <c r="AB458" i="1"/>
  <c r="AC458" i="1" l="1"/>
  <c r="AN458" i="1" s="1" a="1"/>
  <c r="AN458" i="1" s="1"/>
  <c r="AD458" i="1"/>
  <c r="AB459" i="1"/>
  <c r="AD459" i="1" l="1"/>
  <c r="AB460" i="1"/>
  <c r="AC459" i="1"/>
  <c r="AN459" i="1" s="1" a="1"/>
  <c r="AN459" i="1" s="1"/>
  <c r="AB461" i="1" l="1"/>
  <c r="AC460" i="1"/>
  <c r="AN460" i="1" s="1" a="1"/>
  <c r="AN460" i="1" s="1"/>
  <c r="AD460" i="1"/>
  <c r="AC461" i="1" l="1"/>
  <c r="AN461" i="1" s="1" a="1"/>
  <c r="AN461" i="1" s="1"/>
  <c r="AD461" i="1"/>
  <c r="AB462" i="1"/>
  <c r="AC462" i="1" l="1"/>
  <c r="AN462" i="1" s="1" a="1"/>
  <c r="AN462" i="1" s="1"/>
  <c r="AD462" i="1"/>
  <c r="AB463" i="1"/>
  <c r="AD463" i="1" l="1"/>
  <c r="AB464" i="1"/>
  <c r="AC463" i="1"/>
  <c r="AN463" i="1" s="1" a="1"/>
  <c r="AN463" i="1" s="1"/>
  <c r="AC464" i="1" l="1"/>
  <c r="AN464" i="1" s="1" a="1"/>
  <c r="AN464" i="1" s="1"/>
  <c r="AD464" i="1"/>
  <c r="AB465" i="1"/>
  <c r="AC465" i="1" l="1"/>
  <c r="AN465" i="1" s="1" a="1"/>
  <c r="AN465" i="1" s="1"/>
  <c r="AD465" i="1"/>
  <c r="AB466" i="1"/>
  <c r="AC466" i="1" l="1"/>
  <c r="AN466" i="1" s="1" a="1"/>
  <c r="AN466" i="1" s="1"/>
  <c r="AD466" i="1"/>
  <c r="AB467" i="1"/>
  <c r="AD467" i="1" l="1"/>
  <c r="AB468" i="1"/>
  <c r="AC467" i="1"/>
  <c r="AN467" i="1" s="1" a="1"/>
  <c r="AN467" i="1" s="1"/>
  <c r="AC468" i="1" l="1"/>
  <c r="AN468" i="1" s="1" a="1"/>
  <c r="AN468" i="1" s="1"/>
  <c r="AD468" i="1"/>
  <c r="AB469" i="1"/>
  <c r="AC469" i="1" l="1"/>
  <c r="AN469" i="1" s="1" a="1"/>
  <c r="AN469" i="1" s="1"/>
  <c r="AD469" i="1"/>
  <c r="AB470" i="1"/>
  <c r="AC470" i="1" l="1"/>
  <c r="AN470" i="1" s="1" a="1"/>
  <c r="AN470" i="1" s="1"/>
  <c r="AD470" i="1"/>
  <c r="AB471" i="1"/>
  <c r="AD471" i="1" l="1"/>
  <c r="AB472" i="1"/>
  <c r="AC471" i="1"/>
  <c r="AN471" i="1" s="1" a="1"/>
  <c r="AN471" i="1" s="1"/>
  <c r="AB473" i="1" l="1"/>
  <c r="AC472" i="1"/>
  <c r="AN472" i="1" s="1" a="1"/>
  <c r="AN472" i="1" s="1"/>
  <c r="AD472" i="1"/>
  <c r="AC473" i="1" l="1"/>
  <c r="AN473" i="1" s="1" a="1"/>
  <c r="AN473" i="1" s="1"/>
  <c r="AD473" i="1"/>
  <c r="AB474" i="1"/>
  <c r="AC474" i="1" l="1"/>
  <c r="AN474" i="1" s="1" a="1"/>
  <c r="AN474" i="1" s="1"/>
  <c r="AD474" i="1"/>
  <c r="AB475" i="1"/>
  <c r="AD475" i="1" l="1"/>
  <c r="AB476" i="1"/>
  <c r="AC475" i="1"/>
  <c r="AN475" i="1" s="1" a="1"/>
  <c r="AN475" i="1" s="1"/>
  <c r="AC476" i="1" l="1"/>
  <c r="AN476" i="1" s="1" a="1"/>
  <c r="AN476" i="1" s="1"/>
  <c r="AD476" i="1"/>
  <c r="AB477" i="1"/>
  <c r="AC477" i="1" l="1"/>
  <c r="AN477" i="1" s="1" a="1"/>
  <c r="AN477" i="1" s="1"/>
  <c r="AD477" i="1"/>
  <c r="AB478" i="1"/>
  <c r="AC478" i="1" l="1"/>
  <c r="AN478" i="1" s="1" a="1"/>
  <c r="AN478" i="1" s="1"/>
  <c r="AD478" i="1"/>
  <c r="AB479" i="1"/>
  <c r="AD479" i="1" l="1"/>
  <c r="AC479" i="1"/>
  <c r="AN479" i="1" s="1" a="1"/>
  <c r="AN479" i="1" s="1"/>
  <c r="AB480" i="1"/>
  <c r="AB481" i="1" l="1"/>
  <c r="AC480" i="1"/>
  <c r="AN480" i="1" s="1" a="1"/>
  <c r="AN480" i="1" s="1"/>
  <c r="AD480" i="1"/>
  <c r="AC481" i="1" l="1"/>
  <c r="AN481" i="1" s="1" a="1"/>
  <c r="AN481" i="1" s="1"/>
  <c r="AD481" i="1"/>
  <c r="AB482" i="1"/>
  <c r="AC482" i="1" l="1"/>
  <c r="AN482" i="1" s="1" a="1"/>
  <c r="AN482" i="1" s="1"/>
  <c r="AD482" i="1"/>
  <c r="AB483" i="1"/>
  <c r="AD483" i="1" l="1"/>
  <c r="AC483" i="1"/>
  <c r="AN483" i="1" s="1" a="1"/>
  <c r="AN483" i="1" s="1"/>
  <c r="AB484" i="1"/>
  <c r="AD484" i="1" l="1"/>
  <c r="AB485" i="1"/>
  <c r="AC484" i="1"/>
  <c r="AN484" i="1" s="1" a="1"/>
  <c r="AN484" i="1" s="1"/>
  <c r="AD485" i="1" l="1"/>
  <c r="AC485" i="1"/>
  <c r="AN485" i="1" s="1" a="1"/>
  <c r="AN485" i="1" s="1"/>
  <c r="AB486" i="1"/>
  <c r="AC486" i="1" l="1"/>
  <c r="AN486" i="1" s="1" a="1"/>
  <c r="AN486" i="1" s="1"/>
  <c r="AD486" i="1"/>
  <c r="AB487" i="1"/>
  <c r="AD487" i="1" l="1"/>
  <c r="AB488" i="1"/>
  <c r="AC487" i="1"/>
  <c r="AN487" i="1" s="1" a="1"/>
  <c r="AN487" i="1" s="1"/>
  <c r="AC488" i="1" l="1"/>
  <c r="AN488" i="1" s="1" a="1"/>
  <c r="AN488" i="1" s="1"/>
  <c r="AD488" i="1"/>
  <c r="AB489" i="1"/>
  <c r="AC489" i="1" l="1"/>
  <c r="AN489" i="1" s="1" a="1"/>
  <c r="AN489" i="1" s="1"/>
  <c r="AD489" i="1"/>
  <c r="AB490" i="1"/>
  <c r="AC490" i="1" l="1"/>
  <c r="AN490" i="1" s="1" a="1"/>
  <c r="AN490" i="1" s="1"/>
  <c r="AD490" i="1"/>
  <c r="AB491" i="1"/>
  <c r="AD491" i="1" l="1"/>
  <c r="AB492" i="1"/>
  <c r="AC491" i="1"/>
  <c r="AN491" i="1" s="1" a="1"/>
  <c r="AN491" i="1" s="1"/>
  <c r="AD492" i="1" l="1"/>
  <c r="AC492" i="1"/>
  <c r="AN492" i="1" s="1" a="1"/>
  <c r="AN492" i="1" s="1"/>
  <c r="AB493" i="1"/>
  <c r="AD493" i="1" l="1"/>
  <c r="AC493" i="1"/>
  <c r="AN493" i="1" s="1" a="1"/>
  <c r="AN493" i="1" s="1"/>
  <c r="AB494" i="1"/>
  <c r="AC494" i="1" l="1"/>
  <c r="AN494" i="1" s="1" a="1"/>
  <c r="AN494" i="1" s="1"/>
  <c r="AD494" i="1"/>
  <c r="AB495" i="1"/>
  <c r="AD495" i="1" l="1"/>
  <c r="AB496" i="1"/>
  <c r="AC495" i="1"/>
  <c r="AN495" i="1" s="1" a="1"/>
  <c r="AN495" i="1" s="1"/>
  <c r="AC496" i="1" l="1"/>
  <c r="AN496" i="1" s="1" a="1"/>
  <c r="AN496" i="1" s="1"/>
  <c r="AD496" i="1"/>
  <c r="AB497" i="1"/>
  <c r="AC497" i="1" l="1"/>
  <c r="AN497" i="1" s="1" a="1"/>
  <c r="AN497" i="1" s="1"/>
  <c r="AD497" i="1"/>
  <c r="AB498" i="1"/>
  <c r="AC498" i="1" l="1"/>
  <c r="AN498" i="1" s="1" a="1"/>
  <c r="AN498" i="1" s="1"/>
  <c r="AD498" i="1"/>
  <c r="AB499" i="1"/>
  <c r="AD499" i="1" l="1"/>
  <c r="AC499" i="1"/>
  <c r="AN499" i="1" s="1" a="1"/>
  <c r="AN499" i="1" s="1"/>
  <c r="AB500" i="1"/>
  <c r="AD500" i="1" l="1"/>
  <c r="AC500" i="1"/>
  <c r="AN500" i="1" s="1" a="1"/>
  <c r="AN500" i="1" s="1"/>
  <c r="AB501" i="1"/>
  <c r="AC501" i="1" l="1"/>
  <c r="AN501" i="1" s="1" a="1"/>
  <c r="AN501" i="1" s="1"/>
  <c r="AD501" i="1"/>
  <c r="AB502" i="1"/>
  <c r="AC502" i="1" l="1"/>
  <c r="AN502" i="1" s="1" a="1"/>
  <c r="AN502" i="1" s="1"/>
  <c r="AD502" i="1"/>
  <c r="AB503" i="1"/>
  <c r="AB504" i="1" l="1"/>
  <c r="AC503" i="1"/>
  <c r="AN503" i="1" s="1" a="1"/>
  <c r="AN503" i="1" s="1"/>
  <c r="AD503" i="1"/>
  <c r="AC504" i="1" l="1"/>
  <c r="AN504" i="1" s="1" a="1"/>
  <c r="AN504" i="1" s="1"/>
  <c r="AB505" i="1"/>
  <c r="AD504" i="1"/>
  <c r="AD505" i="1" l="1"/>
  <c r="AC505" i="1"/>
  <c r="AN505" i="1" s="1" a="1"/>
  <c r="AN505" i="1" s="1"/>
  <c r="AB506" i="1"/>
  <c r="AC506" i="1" l="1"/>
  <c r="AN506" i="1" s="1" a="1"/>
  <c r="AN506" i="1" s="1"/>
  <c r="AD506" i="1"/>
  <c r="AB507" i="1"/>
  <c r="AC507" i="1" l="1"/>
  <c r="AN507" i="1" s="1" a="1"/>
  <c r="AN507" i="1" s="1"/>
  <c r="AD507" i="1"/>
  <c r="AB508" i="1"/>
  <c r="AC508" i="1" l="1"/>
  <c r="AN508" i="1" s="1" a="1"/>
  <c r="AN508" i="1" s="1"/>
  <c r="AD508" i="1"/>
  <c r="AB509" i="1"/>
  <c r="AC509" i="1" l="1"/>
  <c r="AN509" i="1" s="1" a="1"/>
  <c r="AN509" i="1" s="1"/>
  <c r="AD509" i="1"/>
  <c r="AB510" i="1"/>
  <c r="AC510" i="1" l="1"/>
  <c r="AN510" i="1" s="1" a="1"/>
  <c r="AN510" i="1" s="1"/>
  <c r="AB511" i="1"/>
  <c r="AD510" i="1"/>
  <c r="AC511" i="1" l="1"/>
  <c r="AN511" i="1" s="1" a="1"/>
  <c r="AN511" i="1" s="1"/>
  <c r="AD511" i="1"/>
  <c r="AB512" i="1"/>
  <c r="AD512" i="1" l="1"/>
  <c r="AC512" i="1"/>
  <c r="AN512" i="1" s="1" a="1"/>
  <c r="AN512" i="1" s="1"/>
  <c r="AB513" i="1"/>
  <c r="AC513" i="1" l="1"/>
  <c r="AN513" i="1" s="1" a="1"/>
  <c r="AN513" i="1" s="1"/>
  <c r="AD513" i="1"/>
  <c r="AB514" i="1"/>
  <c r="AC514" i="1" l="1"/>
  <c r="AN514" i="1" s="1" a="1"/>
  <c r="AN514" i="1" s="1"/>
  <c r="AB515" i="1"/>
  <c r="AD514" i="1"/>
  <c r="AD515" i="1" l="1"/>
  <c r="AB516" i="1"/>
  <c r="AC515" i="1"/>
  <c r="AN515" i="1" s="1" a="1"/>
  <c r="AN515" i="1" s="1"/>
  <c r="AD516" i="1" l="1"/>
  <c r="AB517" i="1"/>
  <c r="AC516" i="1"/>
  <c r="AN516" i="1" s="1" a="1"/>
  <c r="AN516" i="1" s="1"/>
  <c r="AC517" i="1" l="1"/>
  <c r="AN517" i="1" s="1" a="1"/>
  <c r="AN517" i="1" s="1"/>
  <c r="AD517" i="1"/>
  <c r="AB518" i="1"/>
  <c r="AC518" i="1" l="1"/>
  <c r="AN518" i="1" s="1" a="1"/>
  <c r="AN518" i="1" s="1"/>
  <c r="AD518" i="1"/>
  <c r="AB519" i="1"/>
  <c r="AD519" i="1" l="1"/>
  <c r="AB520" i="1"/>
  <c r="AC519" i="1"/>
  <c r="AN519" i="1" s="1" a="1"/>
  <c r="AN519" i="1" s="1"/>
  <c r="AC520" i="1" l="1"/>
  <c r="AN520" i="1" s="1" a="1"/>
  <c r="AN520" i="1" s="1"/>
  <c r="AD520" i="1"/>
  <c r="AB521" i="1"/>
  <c r="AC521" i="1" l="1"/>
  <c r="AN521" i="1" s="1" a="1"/>
  <c r="AN521" i="1" s="1"/>
  <c r="AD521" i="1"/>
  <c r="AB522" i="1"/>
  <c r="AC522" i="1" l="1"/>
  <c r="AN522" i="1" s="1" a="1"/>
  <c r="AN522" i="1" s="1"/>
  <c r="AD522" i="1"/>
  <c r="AB523" i="1"/>
  <c r="AC523" i="1" l="1"/>
  <c r="AN523" i="1" s="1" a="1"/>
  <c r="AN523" i="1" s="1"/>
  <c r="AD523" i="1"/>
  <c r="AB524" i="1"/>
  <c r="AC524" i="1" l="1"/>
  <c r="AN524" i="1" s="1" a="1"/>
  <c r="AN524" i="1" s="1"/>
  <c r="AD524" i="1"/>
  <c r="AB525" i="1"/>
  <c r="AC525" i="1" l="1"/>
  <c r="AN525" i="1" s="1" a="1"/>
  <c r="AN525" i="1" s="1"/>
  <c r="AD525" i="1"/>
  <c r="AB526" i="1"/>
  <c r="AC526" i="1" l="1"/>
  <c r="AN526" i="1" s="1" a="1"/>
  <c r="AN526" i="1" s="1"/>
  <c r="AD526" i="1"/>
  <c r="AB527" i="1"/>
  <c r="AC527" i="1" l="1"/>
  <c r="AN527" i="1" s="1" a="1"/>
  <c r="AN527" i="1" s="1"/>
  <c r="AD527" i="1"/>
  <c r="AB528" i="1"/>
  <c r="AC528" i="1" l="1"/>
  <c r="AN528" i="1" s="1" a="1"/>
  <c r="AN528" i="1" s="1"/>
  <c r="AD528" i="1"/>
  <c r="AB529" i="1"/>
  <c r="AC529" i="1" l="1"/>
  <c r="AN529" i="1" s="1" a="1"/>
  <c r="AN529" i="1" s="1"/>
  <c r="AD529" i="1"/>
  <c r="AB530" i="1"/>
  <c r="AC530" i="1" l="1"/>
  <c r="AN530" i="1" s="1" a="1"/>
  <c r="AN530" i="1" s="1"/>
  <c r="AB531" i="1"/>
  <c r="AD530" i="1"/>
  <c r="AC531" i="1" l="1"/>
  <c r="AN531" i="1" s="1" a="1"/>
  <c r="AN531" i="1" s="1"/>
  <c r="AD531" i="1"/>
  <c r="AB532" i="1"/>
  <c r="AC532" i="1" l="1"/>
  <c r="AN532" i="1" s="1" a="1"/>
  <c r="AN532" i="1" s="1"/>
  <c r="AD532" i="1"/>
  <c r="AB533" i="1"/>
  <c r="AC533" i="1" l="1"/>
  <c r="AN533" i="1" s="1" a="1"/>
  <c r="AN533" i="1" s="1"/>
  <c r="AD533" i="1"/>
  <c r="AB534" i="1"/>
  <c r="AC534" i="1" l="1"/>
  <c r="AN534" i="1" s="1" a="1"/>
  <c r="AN534" i="1" s="1"/>
  <c r="AB535" i="1"/>
  <c r="AD534" i="1"/>
  <c r="AC535" i="1" l="1"/>
  <c r="AN535" i="1" s="1" a="1"/>
  <c r="AN535" i="1" s="1"/>
  <c r="AD535" i="1"/>
  <c r="AB536" i="1"/>
  <c r="AD536" i="1" l="1"/>
  <c r="AB537" i="1"/>
  <c r="AC536" i="1"/>
  <c r="AN536" i="1" s="1" a="1"/>
  <c r="AN536" i="1" s="1"/>
  <c r="AD537" i="1" l="1"/>
  <c r="AC537" i="1"/>
  <c r="AN537" i="1" s="1" a="1"/>
  <c r="AN537" i="1" s="1"/>
  <c r="AB538" i="1"/>
  <c r="AC538" i="1" l="1"/>
  <c r="AN538" i="1" s="1" a="1"/>
  <c r="AN538" i="1" s="1"/>
  <c r="AB539" i="1"/>
  <c r="AD538" i="1"/>
  <c r="AB540" i="1" l="1"/>
  <c r="AC539" i="1"/>
  <c r="AN539" i="1" s="1" a="1"/>
  <c r="AN539" i="1" s="1"/>
  <c r="AD539" i="1"/>
  <c r="AB541" i="1" l="1"/>
  <c r="AC540" i="1"/>
  <c r="AN540" i="1" s="1" a="1"/>
  <c r="AN540" i="1" s="1"/>
  <c r="AD540" i="1"/>
  <c r="AD541" i="1" l="1"/>
  <c r="AC541" i="1"/>
  <c r="AN541" i="1" s="1" a="1"/>
  <c r="AN541" i="1" s="1"/>
  <c r="AB542" i="1"/>
  <c r="AC542" i="1" l="1"/>
  <c r="AN542" i="1" s="1" a="1"/>
  <c r="AN542" i="1" s="1"/>
  <c r="AD542" i="1"/>
  <c r="AB543" i="1"/>
  <c r="AB544" i="1" l="1"/>
  <c r="AC543" i="1"/>
  <c r="AN543" i="1" s="1" a="1"/>
  <c r="AN543" i="1" s="1"/>
  <c r="AD543" i="1"/>
  <c r="AD544" i="1" l="1"/>
  <c r="AC544" i="1"/>
  <c r="AN544" i="1" s="1" a="1"/>
  <c r="AN544" i="1" s="1"/>
  <c r="AB545" i="1"/>
  <c r="AC545" i="1" l="1"/>
  <c r="AN545" i="1" s="1" a="1"/>
  <c r="AN545" i="1" s="1"/>
  <c r="AD545" i="1"/>
  <c r="AB546" i="1"/>
  <c r="AC546" i="1" l="1"/>
  <c r="AN546" i="1" s="1" a="1"/>
  <c r="AN546" i="1" s="1"/>
  <c r="AD546" i="1"/>
  <c r="AB547" i="1"/>
  <c r="AC547" i="1" l="1"/>
  <c r="AN547" i="1" s="1" a="1"/>
  <c r="AN547" i="1" s="1"/>
  <c r="AD547" i="1"/>
  <c r="AB548" i="1"/>
  <c r="AC548" i="1" l="1"/>
  <c r="AN548" i="1" s="1" a="1"/>
  <c r="AN548" i="1" s="1"/>
  <c r="AD548" i="1"/>
  <c r="AB549" i="1"/>
  <c r="AD549" i="1" l="1"/>
  <c r="AC549" i="1"/>
  <c r="AN549" i="1" s="1" a="1"/>
  <c r="AN549" i="1" s="1"/>
  <c r="AB550" i="1"/>
  <c r="AC550" i="1" l="1"/>
  <c r="AN550" i="1" s="1" a="1"/>
  <c r="AN550" i="1" s="1"/>
  <c r="AD550" i="1"/>
  <c r="AB551" i="1"/>
  <c r="AC551" i="1" l="1"/>
  <c r="AN551" i="1" s="1" a="1"/>
  <c r="AN551" i="1" s="1"/>
  <c r="AD551" i="1"/>
  <c r="AB552" i="1"/>
  <c r="AD552" i="1" l="1"/>
  <c r="AC552" i="1"/>
  <c r="AN552" i="1" s="1" a="1"/>
  <c r="AN552" i="1" s="1"/>
  <c r="AB553" i="1"/>
  <c r="AC553" i="1" l="1"/>
  <c r="AN553" i="1" s="1" a="1"/>
  <c r="AN553" i="1" s="1"/>
  <c r="AD553" i="1"/>
  <c r="AB554" i="1"/>
  <c r="AC554" i="1" l="1"/>
  <c r="AN554" i="1" s="1" a="1"/>
  <c r="AN554" i="1" s="1"/>
  <c r="AB555" i="1"/>
  <c r="AD554" i="1"/>
  <c r="AC555" i="1" l="1"/>
  <c r="AN555" i="1" s="1" a="1"/>
  <c r="AN555" i="1" s="1"/>
  <c r="AD555" i="1"/>
  <c r="AB556" i="1"/>
  <c r="AD556" i="1" l="1"/>
  <c r="AB557" i="1"/>
  <c r="AC556" i="1"/>
  <c r="AN556" i="1" s="1" a="1"/>
  <c r="AN556" i="1" s="1"/>
  <c r="AD557" i="1" l="1"/>
  <c r="AC557" i="1"/>
  <c r="AN557" i="1" s="1" a="1"/>
  <c r="AN557" i="1" s="1"/>
  <c r="AB558" i="1"/>
  <c r="AC558" i="1" l="1"/>
  <c r="AN558" i="1" s="1" a="1"/>
  <c r="AN558" i="1" s="1"/>
  <c r="AD558" i="1"/>
  <c r="AB559" i="1"/>
  <c r="AC559" i="1" l="1"/>
  <c r="AN559" i="1" s="1" a="1"/>
  <c r="AN559" i="1" s="1"/>
  <c r="AB560" i="1"/>
  <c r="AD559" i="1"/>
  <c r="AC560" i="1" l="1"/>
  <c r="AN560" i="1" s="1" a="1"/>
  <c r="AN560" i="1" s="1"/>
  <c r="AB561" i="1"/>
  <c r="AD560" i="1"/>
  <c r="AC561" i="1" l="1"/>
  <c r="AN561" i="1" s="1" a="1"/>
  <c r="AN561" i="1" s="1"/>
  <c r="AD561" i="1"/>
  <c r="AB562" i="1"/>
  <c r="AC562" i="1" l="1"/>
  <c r="AN562" i="1" s="1" a="1"/>
  <c r="AN562" i="1" s="1"/>
  <c r="AD562" i="1"/>
  <c r="AB563" i="1"/>
  <c r="AD563" i="1" l="1"/>
  <c r="AC563" i="1"/>
  <c r="AN563" i="1" s="1" a="1"/>
  <c r="AN563" i="1" s="1"/>
  <c r="AB564" i="1"/>
  <c r="AD564" i="1" l="1"/>
  <c r="AC564" i="1"/>
  <c r="AN564" i="1" s="1" a="1"/>
  <c r="AN564" i="1" s="1"/>
  <c r="AB565" i="1"/>
  <c r="AD565" i="1" l="1"/>
  <c r="AC565" i="1"/>
  <c r="AN565" i="1" s="1" a="1"/>
  <c r="AN565" i="1" s="1"/>
  <c r="AB566" i="1"/>
  <c r="AC566" i="1" l="1"/>
  <c r="AN566" i="1" s="1" a="1"/>
  <c r="AN566" i="1" s="1"/>
  <c r="AD566" i="1"/>
  <c r="AB567" i="1"/>
  <c r="AC567" i="1" l="1"/>
  <c r="AN567" i="1" s="1" a="1"/>
  <c r="AN567" i="1" s="1"/>
  <c r="AD567" i="1"/>
  <c r="AB568" i="1"/>
  <c r="AD568" i="1" l="1"/>
  <c r="AC568" i="1"/>
  <c r="AN568" i="1" s="1" a="1"/>
  <c r="AN568" i="1" s="1"/>
  <c r="AB569" i="1"/>
  <c r="AC569" i="1" l="1"/>
  <c r="AN569" i="1" s="1" a="1"/>
  <c r="AN569" i="1" s="1"/>
  <c r="AD569" i="1"/>
  <c r="AB570" i="1"/>
  <c r="AC570" i="1" l="1"/>
  <c r="AN570" i="1" s="1" a="1"/>
  <c r="AN570" i="1" s="1"/>
  <c r="AD570" i="1"/>
  <c r="AB571" i="1"/>
  <c r="AC571" i="1" l="1"/>
  <c r="AN571" i="1" s="1" a="1"/>
  <c r="AN571" i="1" s="1"/>
  <c r="AD571" i="1"/>
  <c r="AB572" i="1"/>
  <c r="AC572" i="1" l="1"/>
  <c r="AN572" i="1" s="1" a="1"/>
  <c r="AN572" i="1" s="1"/>
  <c r="AD572" i="1"/>
  <c r="AB573" i="1"/>
  <c r="AD573" i="1" l="1"/>
  <c r="AC573" i="1"/>
  <c r="AN573" i="1" s="1" a="1"/>
  <c r="AN573" i="1" s="1"/>
  <c r="AB574" i="1"/>
  <c r="AC574" i="1" l="1"/>
  <c r="AN574" i="1" s="1" a="1"/>
  <c r="AN574" i="1" s="1"/>
  <c r="AD574" i="1"/>
  <c r="AB575" i="1"/>
  <c r="AC575" i="1" l="1"/>
  <c r="AN575" i="1" s="1" a="1"/>
  <c r="AN575" i="1" s="1"/>
  <c r="AD575" i="1"/>
  <c r="AB576" i="1"/>
  <c r="AD576" i="1" l="1"/>
  <c r="AC576" i="1"/>
  <c r="AN576" i="1" s="1" a="1"/>
  <c r="AN576" i="1" s="1"/>
  <c r="AB577" i="1"/>
  <c r="AD577" i="1" l="1"/>
  <c r="AC577" i="1"/>
  <c r="AN577" i="1" s="1" a="1"/>
  <c r="AN577" i="1" s="1"/>
  <c r="AB578" i="1"/>
  <c r="AC578" i="1" l="1"/>
  <c r="AN578" i="1" s="1" a="1"/>
  <c r="AN578" i="1" s="1"/>
  <c r="AD578" i="1"/>
  <c r="AB579" i="1"/>
  <c r="AC579" i="1" l="1"/>
  <c r="AN579" i="1" s="1" a="1"/>
  <c r="AN579" i="1" s="1"/>
  <c r="AD579" i="1"/>
  <c r="AB580" i="1"/>
  <c r="AC580" i="1" l="1"/>
  <c r="AN580" i="1" s="1" a="1"/>
  <c r="AN580" i="1" s="1"/>
  <c r="AD580" i="1"/>
  <c r="AB581" i="1"/>
  <c r="AD581" i="1" l="1"/>
  <c r="AC581" i="1"/>
  <c r="AN581" i="1" s="1" a="1"/>
  <c r="AN581" i="1" s="1"/>
  <c r="AB582" i="1"/>
  <c r="AC582" i="1" l="1"/>
  <c r="AN582" i="1" s="1" a="1"/>
  <c r="AN582" i="1" s="1"/>
  <c r="AD582" i="1"/>
  <c r="AB583" i="1"/>
  <c r="AD583" i="1" l="1"/>
  <c r="AB584" i="1"/>
  <c r="AC583" i="1"/>
  <c r="AN583" i="1" s="1" a="1"/>
  <c r="AN583" i="1" s="1"/>
  <c r="AB585" i="1" l="1"/>
  <c r="AD584" i="1"/>
  <c r="AC584" i="1"/>
  <c r="AN584" i="1" s="1" a="1"/>
  <c r="AN584" i="1" s="1"/>
  <c r="AC585" i="1" l="1"/>
  <c r="AN585" i="1" s="1" a="1"/>
  <c r="AN585" i="1" s="1"/>
  <c r="AD585" i="1"/>
  <c r="AB586" i="1"/>
  <c r="AC586" i="1" l="1"/>
  <c r="AN586" i="1" s="1" a="1"/>
  <c r="AN586" i="1" s="1"/>
  <c r="AD586" i="1"/>
  <c r="AB587" i="1"/>
  <c r="AC587" i="1" l="1"/>
  <c r="AN587" i="1" s="1" a="1"/>
  <c r="AN587" i="1" s="1"/>
  <c r="AD587" i="1"/>
  <c r="AB588" i="1"/>
  <c r="AD588" i="1" l="1"/>
  <c r="AC588" i="1"/>
  <c r="AN588" i="1" s="1" a="1"/>
  <c r="AN588" i="1" s="1"/>
  <c r="AB589" i="1"/>
  <c r="AD589" i="1" l="1"/>
  <c r="AC589" i="1"/>
  <c r="AN589" i="1" s="1" a="1"/>
  <c r="AN589" i="1" s="1"/>
  <c r="AB590" i="1"/>
  <c r="AC590" i="1" l="1"/>
  <c r="AN590" i="1" s="1" a="1"/>
  <c r="AN590" i="1" s="1"/>
  <c r="AD590" i="1"/>
  <c r="AB591" i="1"/>
  <c r="AC591" i="1" l="1"/>
  <c r="AN591" i="1" s="1" a="1"/>
  <c r="AN591" i="1" s="1"/>
  <c r="AD591" i="1"/>
  <c r="AB592" i="1"/>
  <c r="AD592" i="1" l="1"/>
  <c r="AC592" i="1"/>
  <c r="AN592" i="1" s="1" a="1"/>
  <c r="AN592" i="1" s="1"/>
  <c r="AB593" i="1"/>
  <c r="AC593" i="1" l="1"/>
  <c r="AN593" i="1" s="1" a="1"/>
  <c r="AN593" i="1" s="1"/>
  <c r="AD593" i="1"/>
  <c r="AB594" i="1"/>
  <c r="AC594" i="1" l="1"/>
  <c r="AN594" i="1" s="1" a="1"/>
  <c r="AN594" i="1" s="1"/>
  <c r="AD594" i="1"/>
  <c r="AB595" i="1"/>
  <c r="AC595" i="1" l="1"/>
  <c r="AN595" i="1" s="1" a="1"/>
  <c r="AN595" i="1" s="1"/>
  <c r="AD595" i="1"/>
  <c r="AB596" i="1"/>
  <c r="AC596" i="1" l="1"/>
  <c r="AN596" i="1" s="1" a="1"/>
  <c r="AN596" i="1" s="1"/>
  <c r="AD596" i="1"/>
  <c r="AB597" i="1"/>
  <c r="AD597" i="1" l="1"/>
  <c r="AC597" i="1"/>
  <c r="AN597" i="1" s="1" a="1"/>
  <c r="AN597" i="1" s="1"/>
  <c r="AB598" i="1"/>
  <c r="AC598" i="1" l="1"/>
  <c r="AN598" i="1" s="1" a="1"/>
  <c r="AN598" i="1" s="1"/>
  <c r="AD598" i="1"/>
  <c r="AB599" i="1"/>
  <c r="AC599" i="1" l="1"/>
  <c r="AN599" i="1" s="1" a="1"/>
  <c r="AN599" i="1" s="1"/>
  <c r="AD599" i="1"/>
  <c r="AB600" i="1"/>
  <c r="AD600" i="1" l="1"/>
  <c r="AC600" i="1"/>
  <c r="AN600" i="1" s="1" a="1"/>
  <c r="AN600" i="1" s="1"/>
  <c r="AB601" i="1"/>
  <c r="AD601" i="1" l="1"/>
  <c r="AC601" i="1"/>
  <c r="AN601" i="1" s="1" a="1"/>
  <c r="AN601" i="1" s="1"/>
  <c r="AB602" i="1"/>
  <c r="AC602" i="1" l="1"/>
  <c r="AN602" i="1" s="1" a="1"/>
  <c r="AN602" i="1" s="1"/>
  <c r="AD602" i="1"/>
  <c r="AB603" i="1"/>
  <c r="AC603" i="1" l="1"/>
  <c r="AN603" i="1" s="1" a="1"/>
  <c r="AN603" i="1" s="1"/>
  <c r="AD603" i="1"/>
  <c r="AB604" i="1"/>
  <c r="AC604" i="1" l="1"/>
  <c r="AN604" i="1" s="1" a="1"/>
  <c r="AN604" i="1" s="1"/>
  <c r="AB605" i="1"/>
  <c r="AD604" i="1"/>
  <c r="AB606" i="1" l="1"/>
  <c r="AC605" i="1"/>
  <c r="AN605" i="1" s="1" a="1"/>
  <c r="AN605" i="1" s="1"/>
  <c r="AD605" i="1"/>
  <c r="AC606" i="1" l="1"/>
  <c r="AN606" i="1" s="1" a="1"/>
  <c r="AN606" i="1" s="1"/>
  <c r="AD606" i="1"/>
  <c r="AB607" i="1"/>
  <c r="AD607" i="1" l="1"/>
  <c r="AC607" i="1"/>
  <c r="AN607" i="1" s="1" a="1"/>
  <c r="AN607" i="1" s="1"/>
  <c r="AB608" i="1"/>
  <c r="AC608" i="1" l="1"/>
  <c r="AN608" i="1" s="1" a="1"/>
  <c r="AN608" i="1" s="1"/>
  <c r="AD608" i="1"/>
  <c r="AB609" i="1"/>
  <c r="AD609" i="1" l="1"/>
  <c r="AB610" i="1"/>
  <c r="AC609" i="1"/>
  <c r="AN609" i="1" s="1" a="1"/>
  <c r="AN609" i="1" s="1"/>
  <c r="AC610" i="1" l="1"/>
  <c r="AN610" i="1" s="1" a="1"/>
  <c r="AN610" i="1" s="1"/>
  <c r="AB611" i="1"/>
  <c r="AD610" i="1"/>
  <c r="AD611" i="1" l="1"/>
  <c r="AB612" i="1"/>
  <c r="AC611" i="1"/>
  <c r="AN611" i="1" s="1" a="1"/>
  <c r="AN611" i="1" s="1"/>
  <c r="AC612" i="1" l="1"/>
  <c r="AN612" i="1" s="1" a="1"/>
  <c r="AN612" i="1" s="1"/>
  <c r="AD612" i="1"/>
  <c r="AB613" i="1"/>
  <c r="AD613" i="1" l="1"/>
  <c r="AC613" i="1"/>
  <c r="AN613" i="1" s="1" a="1"/>
  <c r="AN613" i="1" s="1"/>
  <c r="AB614" i="1"/>
  <c r="AC614" i="1" l="1"/>
  <c r="AN614" i="1" s="1" a="1"/>
  <c r="AN614" i="1" s="1"/>
  <c r="AD614" i="1"/>
  <c r="AB615" i="1"/>
  <c r="AC615" i="1" l="1"/>
  <c r="AN615" i="1" s="1" a="1"/>
  <c r="AN615" i="1" s="1"/>
  <c r="AD615" i="1"/>
  <c r="AB616" i="1"/>
  <c r="AC616" i="1" l="1"/>
  <c r="AN616" i="1" s="1" a="1"/>
  <c r="AN616" i="1" s="1"/>
  <c r="AB617" i="1"/>
  <c r="AD616" i="1"/>
  <c r="AB618" i="1" l="1"/>
  <c r="AC617" i="1"/>
  <c r="AN617" i="1" s="1" a="1"/>
  <c r="AN617" i="1" s="1"/>
  <c r="AD617" i="1"/>
  <c r="AC618" i="1" l="1"/>
  <c r="AN618" i="1" s="1" a="1"/>
  <c r="AN618" i="1" s="1"/>
  <c r="AD618" i="1"/>
  <c r="AB619" i="1"/>
  <c r="AB620" i="1" l="1"/>
  <c r="AD619" i="1"/>
  <c r="AC619" i="1"/>
  <c r="AN619" i="1" s="1" a="1"/>
  <c r="AN619" i="1" s="1"/>
  <c r="AC620" i="1" l="1"/>
  <c r="AN620" i="1" s="1" a="1"/>
  <c r="AN620" i="1" s="1"/>
  <c r="AD620" i="1"/>
  <c r="AB621" i="1"/>
  <c r="AC621" i="1" l="1"/>
  <c r="AN621" i="1" s="1" a="1"/>
  <c r="AN621" i="1" s="1"/>
  <c r="AD621" i="1"/>
  <c r="AB622" i="1"/>
  <c r="AC622" i="1" l="1"/>
  <c r="AN622" i="1" s="1" a="1"/>
  <c r="AN622" i="1" s="1"/>
  <c r="AD622" i="1"/>
  <c r="AB623" i="1"/>
  <c r="AC623" i="1" l="1"/>
  <c r="AN623" i="1" s="1" a="1"/>
  <c r="AN623" i="1" s="1"/>
  <c r="AB624" i="1"/>
  <c r="AD623" i="1"/>
  <c r="AC624" i="1" l="1"/>
  <c r="AN624" i="1" s="1" a="1"/>
  <c r="AN624" i="1" s="1"/>
  <c r="AB625" i="1"/>
  <c r="AD624" i="1"/>
  <c r="AC625" i="1" l="1"/>
  <c r="AN625" i="1" s="1" a="1"/>
  <c r="AN625" i="1" s="1"/>
  <c r="AB626" i="1"/>
  <c r="AD625" i="1"/>
  <c r="AC626" i="1" l="1"/>
  <c r="AN626" i="1" s="1" a="1"/>
  <c r="AN626" i="1" s="1"/>
  <c r="AD626" i="1"/>
  <c r="AB627" i="1"/>
  <c r="AB628" i="1" l="1"/>
  <c r="AC627" i="1"/>
  <c r="AN627" i="1" s="1" a="1"/>
  <c r="AN627" i="1" s="1"/>
  <c r="AD627" i="1"/>
  <c r="AC628" i="1" l="1"/>
  <c r="AN628" i="1" s="1" a="1"/>
  <c r="AN628" i="1" s="1"/>
  <c r="AD628" i="1"/>
  <c r="AB629" i="1"/>
  <c r="AB630" i="1" l="1"/>
  <c r="AC629" i="1"/>
  <c r="AN629" i="1" s="1" a="1"/>
  <c r="AN629" i="1" s="1"/>
  <c r="AD629" i="1"/>
  <c r="AC630" i="1" l="1"/>
  <c r="AN630" i="1" s="1" a="1"/>
  <c r="AN630" i="1" s="1"/>
  <c r="AD630" i="1"/>
  <c r="AB631" i="1"/>
  <c r="AD631" i="1" l="1"/>
  <c r="AC631" i="1"/>
  <c r="AN631" i="1" l="1" a="1"/>
  <c r="AN631" i="1" s="1"/>
  <c r="AF6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<sst xmlns="http://schemas.openxmlformats.org/spreadsheetml/2006/main" count="6665" uniqueCount="1490">
  <si>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</si>
  <si>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</si>
  <si>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</si>
  <si>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</si>
  <si>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</si>
  <si>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</si>
  <si>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</si>
  <si>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</si>
  <si>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</si>
  <si>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</si>
  <si>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</si>
  <si>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</si>
  <si>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</si>
  <si>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</si>
  <si>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</si>
  <si>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</si>
  <si>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</si>
  <si>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</si>
  <si>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</si>
  <si>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</si>
  <si>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</si>
  <si>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</si>
  <si>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</si>
  <si>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</si>
  <si>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</si>
  <si>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</si>
  <si>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</si>
  <si>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</si>
  <si>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</si>
  <si>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</si>
  <si>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</si>
  <si>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</si>
  <si>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</si>
  <si>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</si>
  <si>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</si>
  <si>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</si>
  <si>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</si>
  <si>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</si>
  <si>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</si>
  <si>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</si>
  <si>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</si>
  <si>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</si>
  <si>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</si>
  <si>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</si>
  <si>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</si>
  <si>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</si>
  <si>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</si>
  <si>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</si>
  <si>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</si>
  <si>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</si>
  <si>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</si>
  <si>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</si>
  <si>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</si>
  <si>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</si>
  <si>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</si>
  <si>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</si>
  <si>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</si>
  <si>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</si>
  <si>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</si>
  <si>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</si>
  <si>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</si>
  <si>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</si>
  <si>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</si>
  <si>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</si>
  <si>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</si>
  <si>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</si>
  <si>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</si>
  <si>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</si>
  <si>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</si>
  <si>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</si>
  <si>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</si>
  <si>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</si>
  <si>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</si>
  <si>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</si>
  <si>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</si>
  <si>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</si>
  <si>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</si>
  <si>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</si>
  <si>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</si>
  <si>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</si>
  <si>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</si>
  <si>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</si>
  <si>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</si>
  <si>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</si>
  <si>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</si>
  <si>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</si>
  <si>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</si>
  <si>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</si>
  <si>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</si>
  <si>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</si>
  <si>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</si>
  <si>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</si>
  <si>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</si>
  <si>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</si>
  <si>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</si>
  <si>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</si>
  <si>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</si>
  <si>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</si>
  <si>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</si>
  <si>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</si>
  <si>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</si>
  <si>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</si>
  <si>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</si>
  <si>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</si>
  <si>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</si>
  <si>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</si>
  <si>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</si>
  <si>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</si>
  <si>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</si>
  <si>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</si>
  <si>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</si>
  <si>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</si>
  <si>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</si>
  <si>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</si>
  <si>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</si>
  <si>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</si>
  <si>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</si>
  <si>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</si>
  <si>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</si>
  <si>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</si>
  <si>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</si>
  <si>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</si>
  <si>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</si>
  <si>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</si>
  <si>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</si>
  <si>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</si>
  <si>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</si>
  <si>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</si>
  <si>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</si>
  <si>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</si>
  <si>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</si>
  <si>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</si>
  <si>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</si>
  <si>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</si>
  <si>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</si>
  <si>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</si>
  <si>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</si>
  <si>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</si>
  <si>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</si>
  <si>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</si>
  <si>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</si>
  <si>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</si>
  <si>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</si>
  <si>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</si>
  <si>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</si>
  <si>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</si>
  <si>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</si>
  <si>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</si>
  <si>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</si>
  <si>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</si>
  <si>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</si>
  <si>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</si>
  <si>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</si>
  <si>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</si>
  <si>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</si>
  <si>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</si>
  <si>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</si>
  <si>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</si>
  <si>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</si>
  <si>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</si>
  <si>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</si>
  <si>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</si>
  <si>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</si>
  <si>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</si>
  <si>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</si>
  <si>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</si>
  <si>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</si>
  <si>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</si>
  <si>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</si>
  <si>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</si>
  <si>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</si>
  <si>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</si>
  <si>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</si>
  <si>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</si>
  <si>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</si>
  <si>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</si>
  <si>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</si>
  <si>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</si>
  <si>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</si>
  <si>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</si>
  <si>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</si>
  <si>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</si>
  <si>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</si>
  <si>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</si>
  <si>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</si>
  <si>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</si>
  <si>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</si>
  <si>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</si>
  <si>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</si>
  <si>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</si>
  <si>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</si>
  <si>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</si>
  <si>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</si>
  <si>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</si>
  <si>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</si>
  <si>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</si>
  <si>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</si>
  <si>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</si>
  <si>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</si>
  <si>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</si>
  <si>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</si>
  <si>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</si>
  <si>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</si>
  <si>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</si>
  <si>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</si>
  <si>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</si>
  <si>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</si>
  <si>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</si>
  <si>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</si>
  <si>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</si>
  <si>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</si>
  <si>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</si>
  <si>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</si>
  <si>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</si>
  <si>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</si>
  <si>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</si>
  <si>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</si>
  <si>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</si>
  <si>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</si>
  <si>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</si>
  <si>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</si>
  <si>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</si>
  <si>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</si>
  <si>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</si>
  <si>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</si>
  <si>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</si>
  <si>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</si>
  <si>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</si>
  <si>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</si>
  <si>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</si>
  <si>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</si>
  <si>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</si>
  <si>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</si>
  <si>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</si>
  <si>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</si>
  <si>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</si>
  <si>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</si>
  <si>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</si>
  <si>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</si>
  <si>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</si>
  <si>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</si>
  <si>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</si>
  <si>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</si>
  <si>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</si>
  <si>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</si>
  <si>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</si>
  <si>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</si>
  <si>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</si>
  <si>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</si>
  <si>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</si>
  <si>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</si>
  <si>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</si>
  <si>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</si>
  <si>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</si>
  <si>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</si>
  <si>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</si>
  <si>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</si>
  <si>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</si>
  <si>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</si>
  <si>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</si>
  <si>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</si>
  <si>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</si>
  <si>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</si>
  <si>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</si>
  <si>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</si>
  <si>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</si>
  <si>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</si>
  <si>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</si>
  <si>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</si>
  <si>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</si>
  <si>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</si>
  <si>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</si>
  <si>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</si>
  <si>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</si>
  <si>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</si>
  <si>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</si>
  <si>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</si>
  <si>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</si>
  <si>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</si>
  <si>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</si>
  <si>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</si>
  <si>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</si>
  <si>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</si>
  <si>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</si>
  <si>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</si>
  <si>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</si>
  <si>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</si>
  <si>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</si>
  <si>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</si>
  <si>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</si>
  <si>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</si>
  <si>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</si>
  <si>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</si>
  <si>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</si>
  <si>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</si>
  <si>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</si>
  <si>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</si>
  <si>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</si>
  <si>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</si>
  <si>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</si>
  <si>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</si>
  <si>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</si>
  <si>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</si>
  <si>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</si>
  <si>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</si>
  <si>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</si>
  <si>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</si>
  <si>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</si>
  <si>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</si>
  <si>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</si>
  <si>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</si>
  <si>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</si>
  <si>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</si>
  <si>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</si>
  <si>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</si>
  <si>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</si>
  <si>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</si>
  <si>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</si>
  <si>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</si>
  <si>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</si>
  <si>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</si>
  <si>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</si>
  <si>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</si>
  <si>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</si>
  <si>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</si>
  <si>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</si>
  <si>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</si>
  <si>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</si>
  <si>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</si>
  <si>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</si>
  <si>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</si>
  <si>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</si>
  <si>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</si>
  <si>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</si>
  <si>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</si>
  <si>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</si>
  <si>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</si>
  <si>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</si>
  <si>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</si>
  <si>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</si>
  <si>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</si>
  <si>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</si>
  <si>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</si>
  <si>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</si>
  <si>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</si>
  <si>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</si>
  <si>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</si>
  <si>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</si>
  <si>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</si>
  <si>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</si>
  <si>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</si>
  <si>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</si>
  <si>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</si>
  <si>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</si>
  <si>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</si>
  <si>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</si>
  <si>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</si>
  <si>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</si>
  <si>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</si>
  <si>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</si>
  <si>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</si>
  <si>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</si>
  <si>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</si>
  <si>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</si>
  <si>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</si>
  <si>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</si>
  <si>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</si>
  <si>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</si>
  <si>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</si>
  <si>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</si>
  <si>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</si>
  <si>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</si>
  <si>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</si>
  <si>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</si>
  <si>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</si>
  <si>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</si>
  <si>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</si>
  <si>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</si>
  <si>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</si>
  <si>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</si>
  <si>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</si>
  <si>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</si>
  <si>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</si>
  <si>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</si>
  <si>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</si>
  <si>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</si>
  <si>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</si>
  <si>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</si>
  <si>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</si>
  <si>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</si>
  <si>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</si>
  <si>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</si>
  <si>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</si>
  <si>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</si>
  <si>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</si>
  <si>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</si>
  <si>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</si>
  <si>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</si>
  <si>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</si>
  <si>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</si>
  <si>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</si>
  <si>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</si>
  <si>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</si>
  <si>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</si>
  <si>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</si>
  <si>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</si>
  <si>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</si>
  <si>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</si>
  <si>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</si>
  <si>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</si>
  <si>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</si>
  <si>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</si>
  <si>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</si>
  <si>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</si>
  <si>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</si>
  <si>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</si>
  <si>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</si>
  <si>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</si>
  <si>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</si>
  <si>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</si>
  <si>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</si>
  <si>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</si>
  <si>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</si>
  <si>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</si>
  <si>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</si>
  <si>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</si>
  <si>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</si>
  <si>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</si>
  <si>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</si>
  <si>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</si>
  <si>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</si>
  <si>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</si>
  <si>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</si>
  <si>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</si>
  <si>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</si>
  <si>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</si>
  <si>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</si>
  <si>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</si>
  <si>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</si>
  <si>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</si>
  <si>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</si>
  <si>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</si>
  <si>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</si>
  <si>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</si>
  <si>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</si>
  <si>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</si>
  <si>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</si>
  <si>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</si>
  <si>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</si>
  <si>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</si>
  <si>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</si>
  <si>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</si>
  <si>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</si>
  <si>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</si>
  <si>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</si>
  <si>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</si>
  <si>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</si>
  <si>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</si>
  <si>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</si>
  <si>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</si>
  <si>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</si>
  <si>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</si>
  <si>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</si>
  <si>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</si>
  <si>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</si>
  <si>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</si>
  <si>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</si>
  <si>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</si>
  <si>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</si>
  <si>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</si>
  <si>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</si>
  <si>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</si>
  <si>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</si>
  <si>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</si>
  <si>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</si>
  <si>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</si>
  <si>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</si>
  <si>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</si>
  <si>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</si>
  <si>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</si>
  <si>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</si>
  <si>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</si>
  <si>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</si>
  <si>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</si>
  <si>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</si>
  <si>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</si>
  <si>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</si>
  <si>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</si>
  <si>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</si>
  <si>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</si>
  <si>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</si>
  <si>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</si>
  <si>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</si>
  <si>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</si>
  <si>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</si>
  <si>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</si>
  <si>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</si>
  <si>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</si>
  <si>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</si>
  <si>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</si>
  <si>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</si>
  <si>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</si>
  <si>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</si>
  <si>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</si>
  <si>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</si>
  <si>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</si>
  <si>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</si>
  <si>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</si>
  <si>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</si>
  <si>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</si>
  <si>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</si>
  <si>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</si>
  <si>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</si>
  <si>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</si>
  <si>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</si>
  <si>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</si>
  <si>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</si>
  <si>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</si>
  <si>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</si>
  <si>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</si>
  <si>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</si>
  <si>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</si>
  <si>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</si>
  <si>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</si>
  <si>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</si>
  <si>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</si>
  <si>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</si>
  <si>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</si>
  <si>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</si>
  <si>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</si>
  <si>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</si>
  <si>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</si>
  <si>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</si>
  <si>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</si>
  <si>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</si>
  <si>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</si>
  <si>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</si>
  <si>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</si>
  <si>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</si>
  <si>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</si>
  <si>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</si>
  <si>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</si>
  <si>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</si>
  <si>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</si>
  <si>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</si>
  <si>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</si>
  <si>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</si>
  <si>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</si>
  <si>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</si>
  <si>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</si>
  <si>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</si>
  <si>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</si>
  <si>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</si>
  <si>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</si>
  <si>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</si>
  <si>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</si>
  <si>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</si>
  <si>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</si>
  <si>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</si>
  <si>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</si>
  <si>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</si>
  <si>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</si>
  <si>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</si>
  <si>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</si>
  <si>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</si>
  <si>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</si>
  <si>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</si>
  <si>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</si>
  <si>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</si>
  <si>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</si>
  <si>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</si>
  <si>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</si>
  <si>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</si>
  <si>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</si>
  <si>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</si>
  <si>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</si>
  <si>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</si>
  <si>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</si>
  <si>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</si>
  <si>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</si>
  <si>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</si>
  <si>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</si>
  <si>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</si>
  <si>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</si>
  <si>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</si>
  <si>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</si>
  <si>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</si>
  <si>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</si>
  <si>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</si>
  <si>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</si>
  <si>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</si>
  <si>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</si>
  <si>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</si>
  <si>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</si>
  <si>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</si>
  <si>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</si>
  <si>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</si>
  <si>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</si>
  <si>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</si>
  <si>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</si>
  <si>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</si>
  <si>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</si>
  <si>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</si>
  <si>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</si>
  <si>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</si>
  <si>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</si>
  <si>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</si>
  <si>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</si>
  <si>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</si>
  <si>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</si>
  <si>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</si>
  <si>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</si>
  <si>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</si>
  <si>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</si>
  <si>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</si>
  <si>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</si>
  <si>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</si>
  <si>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</si>
  <si>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</si>
  <si>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</si>
  <si>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</si>
  <si>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</si>
  <si>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</si>
  <si>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</si>
  <si>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</si>
  <si>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</si>
  <si>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</si>
  <si>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</si>
  <si>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</si>
  <si>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</si>
  <si>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</si>
  <si>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</si>
  <si>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</si>
  <si>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</si>
  <si>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</si>
  <si>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</si>
  <si>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</si>
  <si>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</si>
  <si>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</si>
  <si>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</si>
  <si>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</si>
  <si>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</si>
  <si>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</si>
  <si>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</si>
  <si>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</si>
  <si>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</si>
  <si>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</si>
  <si>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</si>
  <si>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</si>
  <si>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</si>
  <si>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</si>
  <si>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</si>
  <si>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</si>
  <si>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</si>
  <si>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</si>
  <si>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</si>
  <si>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</si>
  <si>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</si>
  <si>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</si>
  <si>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</si>
  <si>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</si>
  <si>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</si>
  <si>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</si>
  <si>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</si>
  <si>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</si>
  <si>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</si>
  <si>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</si>
  <si>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</si>
  <si>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</si>
  <si>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</si>
  <si>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</si>
  <si>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</si>
  <si>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</si>
  <si>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</si>
  <si>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</si>
  <si>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</si>
  <si>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</si>
  <si>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</si>
  <si>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</si>
  <si>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</si>
  <si>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</si>
  <si>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</si>
  <si>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</si>
  <si>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</si>
  <si>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</si>
  <si>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</si>
  <si>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</si>
  <si>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</si>
  <si>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</si>
  <si>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</si>
  <si>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</si>
  <si>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</si>
  <si>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</si>
  <si>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</si>
  <si>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</si>
  <si>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</si>
  <si>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</si>
  <si>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</si>
  <si>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</si>
  <si>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</si>
  <si>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</si>
  <si>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</si>
  <si>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</si>
  <si>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</si>
  <si>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</si>
  <si>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</si>
  <si>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</si>
  <si>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</si>
  <si>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</si>
  <si>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</si>
  <si>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</si>
  <si>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</si>
  <si>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</si>
  <si>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</si>
  <si>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</si>
  <si>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</si>
  <si>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</si>
  <si>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</si>
  <si>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</si>
  <si>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</si>
  <si>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</si>
  <si>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</si>
  <si>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</si>
  <si>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</si>
  <si>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</si>
  <si>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</si>
  <si>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</si>
  <si>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</si>
  <si>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</si>
  <si>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</si>
  <si>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</si>
  <si>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</si>
  <si>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</si>
  <si>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</si>
  <si>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</si>
  <si>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</si>
  <si>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</si>
  <si>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</si>
  <si>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</si>
  <si>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</si>
  <si>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</si>
  <si>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</si>
  <si>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</si>
  <si>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</si>
  <si>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</si>
  <si>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</si>
  <si>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</si>
  <si>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</si>
  <si>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</si>
  <si>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</si>
  <si>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</si>
  <si>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</si>
  <si>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</si>
  <si>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</si>
  <si>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</si>
  <si>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</si>
  <si>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</si>
  <si>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</si>
  <si>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</si>
  <si>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</si>
  <si>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</si>
  <si>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</si>
  <si>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</si>
  <si>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</si>
  <si>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</si>
  <si>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</si>
  <si>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</si>
  <si>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</si>
  <si>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</si>
  <si>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</si>
  <si>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</si>
  <si>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</si>
  <si>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</si>
  <si>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</si>
  <si>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</si>
  <si>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</si>
  <si>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</si>
  <si>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</si>
  <si>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</si>
  <si>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</si>
  <si>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</si>
  <si>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</si>
  <si>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</si>
  <si>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</si>
  <si>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</si>
  <si>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</si>
  <si>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</si>
  <si>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</si>
  <si>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</si>
  <si>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</si>
  <si>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</si>
  <si>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</si>
  <si>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</si>
  <si>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</si>
  <si>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</si>
  <si>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</si>
  <si>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</si>
  <si>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</si>
  <si>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</si>
  <si>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</si>
  <si>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</si>
  <si>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</si>
  <si>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</si>
  <si>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</si>
  <si>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</si>
  <si>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</si>
  <si>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</si>
  <si>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</si>
  <si>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</si>
  <si>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</si>
  <si>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</si>
  <si>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</si>
  <si>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</si>
  <si>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</si>
  <si>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</si>
  <si>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</si>
  <si>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</si>
  <si>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</si>
  <si>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</si>
  <si>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</si>
  <si>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</si>
  <si>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</si>
  <si>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</si>
  <si>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</si>
  <si>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</si>
  <si>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</si>
  <si>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</si>
  <si>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</si>
  <si>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</si>
  <si>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</si>
  <si>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</si>
  <si>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</si>
  <si>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</si>
  <si>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</si>
  <si>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</si>
  <si>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</si>
  <si>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</si>
  <si>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</si>
  <si>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</si>
  <si>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</si>
  <si>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</si>
  <si>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</si>
  <si>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</si>
  <si>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</si>
  <si>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</si>
  <si>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</si>
  <si>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</si>
  <si>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</si>
  <si>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</si>
  <si>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</si>
  <si>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</si>
  <si>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</si>
  <si>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</si>
  <si>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</si>
  <si>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</si>
  <si>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</si>
  <si>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</si>
  <si>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</si>
  <si>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</si>
  <si>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</si>
  <si>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</si>
  <si>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</si>
  <si>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</si>
  <si>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</si>
  <si>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</si>
  <si>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</si>
  <si>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</si>
  <si>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</si>
  <si>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</si>
  <si>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</si>
  <si>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</si>
  <si>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</si>
  <si>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</si>
  <si>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</si>
  <si>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</si>
  <si>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</si>
  <si>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</si>
  <si>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</si>
  <si>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</si>
  <si>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</si>
  <si>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</si>
  <si>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</si>
  <si>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</si>
  <si>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</si>
  <si>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</si>
  <si>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</si>
  <si>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</si>
  <si>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</si>
  <si>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</si>
  <si>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</si>
  <si>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</si>
  <si>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</si>
  <si>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</si>
  <si>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</si>
  <si>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</si>
  <si>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</si>
  <si>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</si>
  <si>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</si>
  <si>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</si>
  <si>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</si>
  <si>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</si>
  <si>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</si>
  <si>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</si>
  <si>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</si>
  <si>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</si>
  <si>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</si>
  <si>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</si>
  <si>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</si>
  <si>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</si>
  <si>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</si>
  <si>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</si>
  <si>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</si>
  <si>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</si>
  <si>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</si>
  <si>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</si>
  <si>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</si>
  <si>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</si>
  <si>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</si>
  <si>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</si>
  <si>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</si>
  <si>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</si>
  <si>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</si>
  <si>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</si>
  <si>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</si>
  <si>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</si>
  <si>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</si>
  <si>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</si>
  <si>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</si>
  <si>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</si>
  <si>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</si>
  <si>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</si>
  <si>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</si>
  <si>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</si>
  <si>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</si>
  <si>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</si>
  <si>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</si>
  <si>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</si>
  <si>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</si>
  <si>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</si>
  <si>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</si>
  <si>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</si>
  <si>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</si>
  <si>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</si>
  <si>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</si>
  <si>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</si>
  <si>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</si>
  <si>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</si>
  <si>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</si>
  <si>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</si>
  <si>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</si>
  <si>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</si>
  <si>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</si>
  <si>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</si>
  <si>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</si>
  <si>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</si>
  <si>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</si>
  <si>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</si>
  <si>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</si>
  <si>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</si>
  <si>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</si>
  <si>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</si>
  <si>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</si>
  <si>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</si>
  <si>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</si>
  <si>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</si>
  <si>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</si>
  <si>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</si>
  <si>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</si>
  <si>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</si>
  <si>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</si>
  <si>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</si>
  <si>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</si>
  <si>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</si>
  <si>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</si>
  <si>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</si>
  <si>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</si>
  <si>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</si>
  <si>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</si>
  <si>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</si>
  <si>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</si>
  <si>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</si>
  <si>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</si>
  <si>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</si>
  <si>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</si>
  <si>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</si>
  <si>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</si>
  <si>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</si>
  <si>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</si>
  <si>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</si>
  <si>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</si>
  <si>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</si>
  <si>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</si>
  <si>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</si>
  <si>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</si>
  <si>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</si>
  <si>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</si>
  <si>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</si>
  <si>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</si>
  <si>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</si>
  <si>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</si>
  <si>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</si>
  <si>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</si>
  <si>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</si>
  <si>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</si>
  <si>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</si>
  <si>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</si>
  <si>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</si>
  <si>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</si>
  <si>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</si>
  <si>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</si>
  <si>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</si>
  <si>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</si>
  <si>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</si>
  <si>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</si>
  <si>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</si>
  <si>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</si>
  <si>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</si>
  <si>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</si>
  <si>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</si>
  <si>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</si>
  <si>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</si>
  <si>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</si>
  <si>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</si>
  <si>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</si>
  <si>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</si>
  <si>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</si>
  <si>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</si>
  <si>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</si>
  <si>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</si>
  <si>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</si>
  <si>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</si>
  <si>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</si>
  <si>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</si>
  <si>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</si>
  <si>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</si>
  <si>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</si>
  <si>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</si>
  <si>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</si>
  <si>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</si>
  <si>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</si>
  <si>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</si>
  <si>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</si>
  <si>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</si>
  <si>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</si>
  <si>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</si>
  <si>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</si>
  <si>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</si>
  <si>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</si>
  <si>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</si>
  <si>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</si>
  <si>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</si>
  <si>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</si>
  <si>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</si>
  <si>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</si>
  <si>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</si>
  <si>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</si>
  <si>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</si>
  <si>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</si>
  <si>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</si>
  <si>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</si>
  <si>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</si>
  <si>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</si>
  <si>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</si>
  <si>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</si>
  <si>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</si>
  <si>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</si>
  <si>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</si>
  <si>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</si>
  <si>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</si>
  <si>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</si>
  <si>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</si>
  <si>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</si>
  <si>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</si>
  <si>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</si>
  <si>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</si>
  <si>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</si>
  <si>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</si>
  <si>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</si>
  <si>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</si>
  <si>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</si>
  <si>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</si>
  <si>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</si>
  <si>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</si>
  <si>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</si>
  <si>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</si>
  <si>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</si>
  <si>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</si>
  <si>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</si>
  <si>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</si>
  <si>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</si>
  <si>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</si>
  <si>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</si>
  <si>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</si>
  <si>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</si>
  <si>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</si>
  <si>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</si>
  <si>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</si>
  <si>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</si>
  <si>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</si>
  <si>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</si>
  <si>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</si>
  <si>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</si>
  <si>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</si>
  <si>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</si>
  <si>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</si>
  <si>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</si>
  <si>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</si>
  <si>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</si>
  <si>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</si>
  <si>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</si>
  <si>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</si>
  <si>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</si>
  <si>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</si>
  <si>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</si>
  <si>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</si>
  <si>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</si>
  <si>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</si>
  <si>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</si>
  <si>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</si>
  <si>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</si>
  <si>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</si>
  <si>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</si>
  <si>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</si>
  <si>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</si>
  <si>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</si>
  <si>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</si>
  <si>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</si>
  <si>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</si>
  <si>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</si>
  <si>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</si>
  <si>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</si>
  <si>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</si>
  <si>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</si>
  <si>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</si>
  <si>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</si>
  <si>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</si>
  <si>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</si>
  <si>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</si>
  <si>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</si>
  <si>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</si>
  <si>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</si>
  <si>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</si>
  <si>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</si>
  <si>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</si>
  <si>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</si>
  <si>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</si>
  <si>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</si>
  <si>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</si>
  <si>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</si>
  <si>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</si>
  <si>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</si>
  <si>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</si>
  <si>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</si>
  <si>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</si>
  <si>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</si>
  <si>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</si>
  <si>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</si>
  <si>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</si>
  <si>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</si>
  <si>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</si>
  <si>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</si>
  <si>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</si>
  <si>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</si>
  <si>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</si>
  <si>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</si>
  <si>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</si>
  <si>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</si>
  <si>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</si>
  <si>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</si>
  <si>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</si>
  <si>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</si>
  <si>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</si>
  <si>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</si>
  <si>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</si>
  <si>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</si>
  <si>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</si>
  <si>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</si>
  <si>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</si>
  <si>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</si>
  <si>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</si>
  <si>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</si>
  <si>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</si>
  <si>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</si>
  <si>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</si>
  <si>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</si>
  <si>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</si>
  <si>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</si>
  <si>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</si>
  <si>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</si>
  <si>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</si>
  <si>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</si>
  <si>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</si>
  <si>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</si>
  <si>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</si>
  <si>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</si>
  <si>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</si>
  <si>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</si>
  <si>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</si>
  <si>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</si>
  <si>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</si>
  <si>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</si>
  <si>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</si>
  <si>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</si>
  <si>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</si>
  <si>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</si>
  <si>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</si>
  <si>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</si>
  <si>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</si>
  <si>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</si>
  <si>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</si>
  <si>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</si>
  <si>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</si>
  <si>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</si>
  <si>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</si>
  <si>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</si>
  <si>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</si>
  <si>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</si>
  <si>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</si>
  <si>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</si>
  <si>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</si>
  <si>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</si>
  <si>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</si>
  <si>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</si>
  <si>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</si>
  <si>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</si>
  <si>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</si>
  <si>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</si>
  <si>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</si>
  <si>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</si>
  <si>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</si>
  <si>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</si>
  <si>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</si>
  <si>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</si>
  <si>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</si>
  <si>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</si>
  <si>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</si>
  <si>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</si>
  <si>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</si>
  <si>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</si>
  <si>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</si>
  <si>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</si>
  <si>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</si>
  <si>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</si>
  <si>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</si>
  <si>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</si>
  <si>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</si>
  <si>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</si>
  <si>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</si>
  <si>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</si>
  <si>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</si>
  <si>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</si>
  <si>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</si>
  <si>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</si>
  <si>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</si>
  <si>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</si>
  <si>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</si>
  <si>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</si>
  <si>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</si>
  <si>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</si>
  <si>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</si>
  <si>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</si>
  <si>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</si>
  <si>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</si>
  <si>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</si>
  <si>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</si>
  <si>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</si>
  <si>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</si>
  <si>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</si>
  <si>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</si>
  <si>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</si>
  <si>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</si>
  <si>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</si>
  <si>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</si>
  <si>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</si>
  <si>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</si>
  <si>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</si>
  <si>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</si>
  <si>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</si>
  <si>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</si>
  <si>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</si>
  <si>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</si>
  <si>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</si>
  <si>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</si>
  <si>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</si>
  <si>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</si>
  <si>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</si>
  <si>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</si>
  <si>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</si>
  <si>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</si>
  <si>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</si>
  <si>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</si>
  <si>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</si>
  <si>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</si>
  <si>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</si>
  <si>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</si>
  <si>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</si>
  <si>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</si>
  <si>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</si>
  <si>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</si>
  <si>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</si>
  <si>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</si>
  <si>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</si>
  <si>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</si>
  <si>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</si>
  <si>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</si>
  <si>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</si>
  <si>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</si>
  <si>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</si>
  <si>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</si>
  <si>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</si>
  <si>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</si>
  <si>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</si>
  <si>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</si>
  <si>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</si>
  <si>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</si>
  <si>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</si>
  <si>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</si>
  <si>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</si>
  <si>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</si>
  <si>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</si>
  <si>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</si>
  <si>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</si>
  <si>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</si>
  <si>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</si>
  <si>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</si>
  <si>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</si>
  <si>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</si>
  <si>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</si>
  <si>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</si>
  <si>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</si>
  <si>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</si>
  <si>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</si>
  <si>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</si>
  <si>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</si>
  <si>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</si>
  <si>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</si>
  <si>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</si>
  <si>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</si>
  <si>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</si>
  <si>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</si>
  <si>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</si>
  <si>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</si>
  <si>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</si>
  <si>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</si>
  <si>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</si>
  <si>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</si>
  <si>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</si>
  <si>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</si>
  <si>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</si>
  <si>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</si>
  <si>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</si>
  <si>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</si>
  <si>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</si>
  <si>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</si>
  <si>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</si>
  <si>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</si>
  <si>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</si>
  <si>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</si>
  <si>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</si>
  <si>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</si>
  <si>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</si>
  <si>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</si>
  <si>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</si>
  <si>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</si>
  <si>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</si>
  <si>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</si>
  <si>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</si>
  <si>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</si>
  <si>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</si>
  <si>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</si>
  <si>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</si>
  <si>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</si>
  <si>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</si>
  <si>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</si>
  <si>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</si>
  <si>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</si>
  <si>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</si>
  <si>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</si>
  <si>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</si>
  <si>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</si>
  <si>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</si>
  <si>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</si>
  <si>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</si>
  <si>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</si>
  <si>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</si>
  <si>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</si>
  <si>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</si>
  <si>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</si>
  <si>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</si>
  <si>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</si>
  <si>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</si>
  <si>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</si>
  <si>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</si>
  <si>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</si>
  <si>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</si>
  <si>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</si>
  <si>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</si>
  <si>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</si>
  <si>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</si>
  <si>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</si>
  <si>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</si>
  <si>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</si>
  <si>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</si>
  <si>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</si>
  <si>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</si>
  <si>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</si>
  <si>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</si>
  <si>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</si>
  <si>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</si>
  <si>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</si>
  <si>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</si>
  <si>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</si>
  <si>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</si>
  <si>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</si>
  <si>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</si>
  <si>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</si>
  <si>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</si>
  <si>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</si>
  <si>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</si>
  <si>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I identified my duplicate rows using order ID column</t>
  </si>
  <si>
    <t>I applied conditional formatting to highight rows that were duplicate</t>
  </si>
  <si>
    <t>I found two duplicate rows</t>
  </si>
  <si>
    <t>a)</t>
  </si>
  <si>
    <t>b)</t>
  </si>
  <si>
    <t>c)</t>
  </si>
  <si>
    <t>Done</t>
  </si>
  <si>
    <t>Lead time (Days)</t>
  </si>
  <si>
    <t>Gross Revenue</t>
  </si>
  <si>
    <t>Cost of goods</t>
  </si>
  <si>
    <t>Gross Profit</t>
  </si>
  <si>
    <t>Gross profit margin</t>
  </si>
  <si>
    <t>Margin per unit</t>
  </si>
  <si>
    <t>Price Band</t>
  </si>
  <si>
    <t>Revenue per order</t>
  </si>
  <si>
    <t>Gross profit per order</t>
  </si>
  <si>
    <t>Row Labels</t>
  </si>
  <si>
    <t>Grand Total</t>
  </si>
  <si>
    <t>Jul</t>
  </si>
  <si>
    <t>Aug</t>
  </si>
  <si>
    <t>Count of OrderID</t>
  </si>
  <si>
    <t>Sum of Gross profit per order</t>
  </si>
  <si>
    <t>Sum of Gross Revenue</t>
  </si>
  <si>
    <t>Column Labels</t>
  </si>
  <si>
    <t>Purchase rate</t>
  </si>
  <si>
    <t>Date of first order</t>
  </si>
  <si>
    <t>COHORT</t>
  </si>
  <si>
    <t>Service Level</t>
  </si>
  <si>
    <t>Count</t>
  </si>
  <si>
    <t>Good</t>
  </si>
  <si>
    <t>Poor</t>
  </si>
  <si>
    <t>Product Category</t>
  </si>
  <si>
    <t>Total</t>
  </si>
  <si>
    <t>pct of meeting 7 days target</t>
  </si>
  <si>
    <t>Sum of pct of meeting 7 days target</t>
  </si>
  <si>
    <t xml:space="preserve"> </t>
  </si>
  <si>
    <t>Discount</t>
  </si>
  <si>
    <t>Discount &gt; 20%</t>
  </si>
  <si>
    <t>Disc Scenario</t>
  </si>
  <si>
    <t>Revenue Scenario 1</t>
  </si>
  <si>
    <t>Quantity Up 20%</t>
  </si>
  <si>
    <t>Cost of sales</t>
  </si>
  <si>
    <t>Revenue Scenarios</t>
  </si>
  <si>
    <t>Base Case</t>
  </si>
  <si>
    <t>Global Disc cap @25%</t>
  </si>
  <si>
    <t>Cost of sales Scenarios</t>
  </si>
  <si>
    <t>Unit Cost inflation@ 15%</t>
  </si>
  <si>
    <t>Choose Scenario --&gt;</t>
  </si>
  <si>
    <t>Revenue On increase in quantity by 20%</t>
  </si>
  <si>
    <t>Quantity increase by 20%</t>
  </si>
  <si>
    <t>Cost of unit by inflation 15%</t>
  </si>
  <si>
    <t>Cost of sales Increase by 15%</t>
  </si>
  <si>
    <t>Gross Profit Margin</t>
  </si>
  <si>
    <t>2025</t>
  </si>
  <si>
    <t>Apr</t>
  </si>
  <si>
    <t>May</t>
  </si>
  <si>
    <t>Jun</t>
  </si>
  <si>
    <t>Order by Quarter</t>
  </si>
  <si>
    <t>Jan</t>
  </si>
  <si>
    <t>Feb</t>
  </si>
  <si>
    <t>Mar</t>
  </si>
  <si>
    <t>Sept</t>
  </si>
  <si>
    <t>Oct</t>
  </si>
  <si>
    <t>Nov</t>
  </si>
  <si>
    <t>Dec</t>
  </si>
  <si>
    <t>2023</t>
  </si>
  <si>
    <t>2024</t>
  </si>
  <si>
    <t>Sep</t>
  </si>
  <si>
    <t>No. of occurences for each country</t>
  </si>
  <si>
    <t>Column1</t>
  </si>
  <si>
    <t>Age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</si>
</sst>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mmm\-yyyy"/>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ptos Narrow"/>
      <family val="2"/>
    </font>
    <font>
      <sz val="14"/>
      <color theme="1"/>
      <name val="Aptos Narrow"/>
      <family val="2"/>
    </font>
    <font>
      <b/>
      <sz val="11"/>
      <color theme="0"/>
      <name val="Calibri"/>
      <family val="2"/>
      <scheme val="minor"/>
    </font>
  </fonts>
  <fills count="6">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8">
    <border>
      <left/>
      <right/>
      <top/>
      <bottom/>
      <diagonal/>
    </border>
    <border>
      <left style="thin">
        <color auto="1"/>
      </left>
      <right style="thin">
        <color auto="1"/>
      </right>
      <top style="thin">
        <color auto="1"/>
      </top>
      <bottom style="thin">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60">
    <xf numFmtId="0" fontId="0" fillId="0" borderId="0" xfId="0"/>
    <xf numFmtId="0" fontId="3" fillId="0" borderId="1" xfId="0" applyFont="1" applyBorder="1" applyAlignment="1">
      <alignment horizontal="center" vertical="top"/>
    </xf>
    <xf numFmtId="0" fontId="4" fillId="0" borderId="0" xfId="0" applyFont="1"/>
    <xf numFmtId="2" fontId="0" fillId="0" borderId="0" xfId="0" applyNumberFormat="1"/>
    <xf numFmtId="9" fontId="0" fillId="0" borderId="0" xfId="1" applyFont="1"/>
    <xf numFmtId="1" fontId="0" fillId="0" borderId="0" xfId="0" applyNumberFormat="1"/>
    <xf numFmtId="9" fontId="0" fillId="0" borderId="0" xfId="1" applyFont="1" applyFill="1"/>
    <xf numFmtId="43" fontId="0" fillId="0" borderId="0" xfId="2" applyFont="1"/>
    <xf numFmtId="43" fontId="0" fillId="0" borderId="0" xfId="2" applyFont="1" applyFill="1"/>
    <xf numFmtId="43" fontId="0" fillId="0" borderId="0" xfId="0" applyNumberFormat="1"/>
    <xf numFmtId="165" fontId="0" fillId="0" borderId="0" xfId="0" applyNumberFormat="1"/>
    <xf numFmtId="43" fontId="1" fillId="0" borderId="0" xfId="2" applyFont="1" applyAlignment="1">
      <alignment vertical="center" wrapText="1"/>
    </xf>
    <xf numFmtId="0" fontId="1" fillId="0" borderId="0" xfId="0" applyFont="1" applyAlignment="1">
      <alignment horizontal="center" vertical="center" wrapText="1"/>
    </xf>
    <xf numFmtId="165" fontId="1"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0" fontId="1" fillId="0" borderId="0" xfId="0" applyFont="1" applyAlignment="1">
      <alignment vertical="center" wrapText="1"/>
    </xf>
    <xf numFmtId="43" fontId="1" fillId="0" borderId="0" xfId="2" applyFont="1" applyAlignment="1">
      <alignment horizontal="center" vertical="center" wrapText="1"/>
    </xf>
    <xf numFmtId="1" fontId="1" fillId="0" borderId="0" xfId="0" applyNumberFormat="1"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4" fontId="1" fillId="0" borderId="0" xfId="0" applyNumberFormat="1" applyFont="1" applyAlignment="1">
      <alignment vertical="center" wrapText="1"/>
    </xf>
    <xf numFmtId="0" fontId="1" fillId="0" borderId="0" xfId="0" applyFont="1"/>
    <xf numFmtId="0" fontId="1" fillId="0" borderId="0" xfId="0" applyFont="1" applyAlignment="1">
      <alignment wrapText="1"/>
    </xf>
    <xf numFmtId="9" fontId="0" fillId="0" borderId="0" xfId="0" applyNumberFormat="1"/>
    <xf numFmtId="0" fontId="0" fillId="0" borderId="0" xfId="0" applyAlignment="1">
      <alignment horizontal="left" indent="2"/>
    </xf>
    <xf numFmtId="164" fontId="0" fillId="0" borderId="0" xfId="0" applyNumberFormat="1"/>
    <xf numFmtId="0" fontId="0" fillId="2" borderId="0" xfId="0" applyFill="1"/>
    <xf numFmtId="0" fontId="0" fillId="5" borderId="4" xfId="0" applyFill="1" applyBorder="1"/>
    <xf numFmtId="0" fontId="0" fillId="5" borderId="5" xfId="0" applyFill="1" applyBorder="1"/>
    <xf numFmtId="0" fontId="0" fillId="3" borderId="4" xfId="0" applyFill="1" applyBorder="1"/>
    <xf numFmtId="0" fontId="0" fillId="3" borderId="5" xfId="0" applyFill="1" applyBorder="1"/>
    <xf numFmtId="0" fontId="5" fillId="4" borderId="2" xfId="0" applyFont="1" applyFill="1" applyBorder="1" applyAlignment="1">
      <alignment horizontal="center" vertical="center" wrapText="1"/>
    </xf>
    <xf numFmtId="165" fontId="5" fillId="4" borderId="3" xfId="0" applyNumberFormat="1" applyFont="1" applyFill="1" applyBorder="1" applyAlignment="1">
      <alignment horizontal="center" vertical="center" wrapText="1"/>
    </xf>
    <xf numFmtId="2" fontId="5"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3" xfId="0" applyFont="1" applyFill="1" applyBorder="1" applyAlignment="1">
      <alignment vertical="center" wrapText="1"/>
    </xf>
    <xf numFmtId="43" fontId="5" fillId="4" borderId="3" xfId="2" applyFont="1" applyFill="1" applyBorder="1" applyAlignment="1">
      <alignment horizontal="center" vertical="center" wrapText="1"/>
    </xf>
    <xf numFmtId="1" fontId="5" fillId="4" borderId="3" xfId="0" applyNumberFormat="1" applyFont="1" applyFill="1" applyBorder="1" applyAlignment="1">
      <alignment horizontal="center" vertical="center" wrapText="1"/>
    </xf>
    <xf numFmtId="43" fontId="5" fillId="4" borderId="3" xfId="2" applyFont="1" applyFill="1" applyBorder="1" applyAlignment="1">
      <alignment vertical="center" wrapText="1"/>
    </xf>
    <xf numFmtId="14" fontId="5" fillId="4" borderId="3" xfId="0" applyNumberFormat="1" applyFont="1" applyFill="1" applyBorder="1" applyAlignment="1">
      <alignment vertical="center" wrapText="1"/>
    </xf>
    <xf numFmtId="0" fontId="5" fillId="4" borderId="6" xfId="0" applyFont="1" applyFill="1" applyBorder="1" applyAlignment="1">
      <alignment vertical="center" wrapText="1"/>
    </xf>
    <xf numFmtId="165" fontId="0" fillId="5" borderId="5" xfId="0" applyNumberFormat="1" applyFill="1" applyBorder="1"/>
    <xf numFmtId="2" fontId="0" fillId="5" borderId="5" xfId="0" applyNumberFormat="1" applyFill="1" applyBorder="1"/>
    <xf numFmtId="9" fontId="0" fillId="5" borderId="5" xfId="1" applyFont="1" applyFill="1" applyBorder="1"/>
    <xf numFmtId="1" fontId="0" fillId="5" borderId="5" xfId="0" applyNumberFormat="1" applyFill="1" applyBorder="1"/>
    <xf numFmtId="43" fontId="0" fillId="5" borderId="5" xfId="2" applyFont="1" applyFill="1" applyBorder="1"/>
    <xf numFmtId="43" fontId="0" fillId="5" borderId="5" xfId="0" applyNumberFormat="1" applyFill="1" applyBorder="1"/>
    <xf numFmtId="14" fontId="0" fillId="5" borderId="5" xfId="0" applyNumberFormat="1" applyFill="1" applyBorder="1"/>
    <xf numFmtId="43" fontId="0" fillId="5" borderId="7" xfId="0" applyNumberFormat="1" applyFill="1" applyBorder="1"/>
    <xf numFmtId="165" fontId="0" fillId="3" borderId="5" xfId="0" applyNumberFormat="1" applyFill="1" applyBorder="1"/>
    <xf numFmtId="2" fontId="0" fillId="3" borderId="5" xfId="0" applyNumberFormat="1" applyFill="1" applyBorder="1"/>
    <xf numFmtId="9" fontId="0" fillId="3" borderId="5" xfId="1" applyFont="1" applyFill="1" applyBorder="1"/>
    <xf numFmtId="1" fontId="0" fillId="3" borderId="5" xfId="0" applyNumberFormat="1" applyFill="1" applyBorder="1"/>
    <xf numFmtId="43" fontId="0" fillId="3" borderId="5" xfId="2" applyFont="1" applyFill="1" applyBorder="1"/>
    <xf numFmtId="43" fontId="0" fillId="3" borderId="5" xfId="0" applyNumberFormat="1" applyFill="1" applyBorder="1"/>
    <xf numFmtId="14" fontId="0" fillId="3" borderId="5" xfId="0" applyNumberFormat="1" applyFill="1" applyBorder="1"/>
    <xf numFmtId="43" fontId="0" fillId="3" borderId="7" xfId="0" applyNumberFormat="1" applyFill="1" applyBorder="1"/>
    <xf numFmtId="0" fontId="0" fillId="0" borderId="0" xfId="0" applyNumberFormat="1"/>
  </cellXfs>
  <cellStyles count="3">
    <cellStyle name="Comma" xfId="2" builtinId="3"/>
    <cellStyle name="Normal" xfId="0" builtinId="0"/>
    <cellStyle name="Percent" xfId="1" builtinId="5"/>
  </cellStyles>
  <dxfs count="30">
    <dxf>
      <fill>
        <patternFill>
          <bgColor theme="4"/>
        </patternFill>
      </fill>
    </dxf>
    <dxf>
      <numFmt numFmtId="166" formatCode="dd/mm/yyyy"/>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
      <numFmt numFmtId="19" formatCode="m/d/yyyy"/>
    </dxf>
    <dxf>
      <numFmt numFmtId="0" formatCode="General"/>
    </dxf>
    <dxf>
      <numFmt numFmtId="35" formatCode="_(* #,##0.00_);_(* \(#,##0.00\);_(* &quot;-&quot;??_);_(@_)"/>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35" formatCode="_(* #,##0.00_);_(* \(#,##0.00\);_(* &quot;-&quot;??_);_(@_)"/>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 formatCode="0"/>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2" formatCode="0.00"/>
    </dxf>
    <dxf>
      <numFmt numFmtId="2" formatCode="0.00"/>
    </dxf>
    <dxf>
      <numFmt numFmtId="165" formatCode="mmm\-yyyy"/>
    </dxf>
    <dxf>
      <numFmt numFmtId="2" formatCode="0.00"/>
    </dxf>
    <dxf>
      <numFmt numFmtId="165" formatCode="mmm\-yyyy"/>
    </dxf>
    <dxf>
      <numFmt numFmtId="166" formatCode="dd/mm/yyyy"/>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5.xml"/><Relationship Id="rId21" Type="http://schemas.openxmlformats.org/officeDocument/2006/relationships/pivotCacheDefinition" Target="pivotCache/pivotCacheDefinition4.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theme" Target="theme/theme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Brief_1.1.xlsx]Revenue_By_Country!PivotTable1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Revenue_By_Country!$C$3</c:f>
              <c:strCache>
                <c:ptCount val="1"/>
                <c:pt idx="0">
                  <c:v>Total</c:v>
                </c:pt>
              </c:strCache>
            </c:strRef>
          </c:tx>
          <c:spPr>
            <a:solidFill>
              <a:schemeClr val="accent1"/>
            </a:solidFill>
            <a:ln>
              <a:noFill/>
            </a:ln>
            <a:effectLst/>
          </c:spPr>
          <c:invertIfNegative val="0"/>
          <c:cat>
            <c:strRef>
              <c:f>Revenue_By_Country!$B$4:$B$16</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Revenue_By_Country!$C$4:$C$16</c:f>
              <c:numCache>
                <c:formatCode>_(* #,##0.00_);_(* \(#,##0.00\);_(* "-"??_);_(@_)</c:formatCode>
                <c:ptCount val="12"/>
                <c:pt idx="0">
                  <c:v>1114399.1290530004</c:v>
                </c:pt>
                <c:pt idx="1">
                  <c:v>919877.99783499993</c:v>
                </c:pt>
                <c:pt idx="2">
                  <c:v>965704.65219440009</c:v>
                </c:pt>
                <c:pt idx="3">
                  <c:v>903660.05539599981</c:v>
                </c:pt>
                <c:pt idx="4">
                  <c:v>939154.91640650015</c:v>
                </c:pt>
                <c:pt idx="5">
                  <c:v>1163097.3415347999</c:v>
                </c:pt>
                <c:pt idx="6">
                  <c:v>888636.53039419977</c:v>
                </c:pt>
                <c:pt idx="7">
                  <c:v>1015941.9619468</c:v>
                </c:pt>
                <c:pt idx="8">
                  <c:v>944211.11437259987</c:v>
                </c:pt>
                <c:pt idx="9">
                  <c:v>803173.10077049967</c:v>
                </c:pt>
                <c:pt idx="10">
                  <c:v>1240365.0545159006</c:v>
                </c:pt>
                <c:pt idx="11">
                  <c:v>764638.10100559995</c:v>
                </c:pt>
              </c:numCache>
            </c:numRef>
          </c:val>
          <c:extLst>
            <c:ext xmlns:c16="http://schemas.microsoft.com/office/drawing/2014/chart" uri="{C3380CC4-5D6E-409C-BE32-E72D297353CC}">
              <c16:uniqueId val="{00000000-F513-4473-A99C-E5044ECBF18D}"/>
            </c:ext>
          </c:extLst>
        </c:ser>
        <c:dLbls>
          <c:showLegendKey val="0"/>
          <c:showVal val="0"/>
          <c:showCatName val="0"/>
          <c:showSerName val="0"/>
          <c:showPercent val="0"/>
          <c:showBubbleSize val="0"/>
        </c:dLbls>
        <c:gapWidth val="150"/>
        <c:axId val="393268256"/>
        <c:axId val="393272096"/>
      </c:barChart>
      <c:catAx>
        <c:axId val="39326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72096"/>
        <c:crosses val="autoZero"/>
        <c:auto val="1"/>
        <c:lblAlgn val="ctr"/>
        <c:lblOffset val="100"/>
        <c:noMultiLvlLbl val="0"/>
      </c:catAx>
      <c:valAx>
        <c:axId val="3932720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6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Region'!$B$3</c:f>
              <c:strCache>
                <c:ptCount val="1"/>
                <c:pt idx="0">
                  <c:v>Total</c:v>
                </c:pt>
              </c:strCache>
            </c:strRef>
          </c:tx>
          <c:spPr>
            <a:solidFill>
              <a:schemeClr val="accent1"/>
            </a:solidFill>
            <a:ln>
              <a:noFill/>
            </a:ln>
            <a:effectLst/>
          </c:spPr>
          <c:invertIfNegative val="0"/>
          <c:cat>
            <c:strRef>
              <c:f>'Total Revenue by Region'!$A$4:$A$8</c:f>
              <c:strCache>
                <c:ptCount val="4"/>
                <c:pt idx="0">
                  <c:v>Africa</c:v>
                </c:pt>
                <c:pt idx="1">
                  <c:v>Americas</c:v>
                </c:pt>
                <c:pt idx="2">
                  <c:v>Asia</c:v>
                </c:pt>
                <c:pt idx="3">
                  <c:v>Europe</c:v>
                </c:pt>
              </c:strCache>
            </c:strRef>
          </c:cat>
          <c:val>
            <c:numRef>
              <c:f>'Total Revenue by Region'!$B$4:$B$8</c:f>
              <c:numCache>
                <c:formatCode>_(* #,##0.00_);_(* \(#,##0.00\);_(* "-"??_);_(@_)</c:formatCode>
                <c:ptCount val="4"/>
                <c:pt idx="0">
                  <c:v>2763326.1770899007</c:v>
                </c:pt>
                <c:pt idx="1">
                  <c:v>2798915.2278935979</c:v>
                </c:pt>
                <c:pt idx="2">
                  <c:v>3017438.5241233986</c:v>
                </c:pt>
                <c:pt idx="3">
                  <c:v>3083180.0263184006</c:v>
                </c:pt>
              </c:numCache>
            </c:numRef>
          </c:val>
          <c:extLst>
            <c:ext xmlns:c16="http://schemas.microsoft.com/office/drawing/2014/chart" uri="{C3380CC4-5D6E-409C-BE32-E72D297353CC}">
              <c16:uniqueId val="{00000000-54FA-4002-BBAF-FAE3A78F27C5}"/>
            </c:ext>
          </c:extLst>
        </c:ser>
        <c:dLbls>
          <c:showLegendKey val="0"/>
          <c:showVal val="0"/>
          <c:showCatName val="0"/>
          <c:showSerName val="0"/>
          <c:showPercent val="0"/>
          <c:showBubbleSize val="0"/>
        </c:dLbls>
        <c:gapWidth val="219"/>
        <c:overlap val="-27"/>
        <c:axId val="1679036687"/>
        <c:axId val="1679037167"/>
      </c:barChart>
      <c:catAx>
        <c:axId val="167903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7167"/>
        <c:crosses val="autoZero"/>
        <c:auto val="1"/>
        <c:lblAlgn val="ctr"/>
        <c:lblOffset val="100"/>
        <c:noMultiLvlLbl val="0"/>
      </c:catAx>
      <c:valAx>
        <c:axId val="1679037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channel!PivotTable2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channel'!$C$3</c:f>
              <c:strCache>
                <c:ptCount val="1"/>
                <c:pt idx="0">
                  <c:v>Total</c:v>
                </c:pt>
              </c:strCache>
            </c:strRef>
          </c:tx>
          <c:spPr>
            <a:solidFill>
              <a:schemeClr val="accent1"/>
            </a:solidFill>
            <a:ln>
              <a:noFill/>
            </a:ln>
            <a:effectLst/>
          </c:spPr>
          <c:invertIfNegative val="0"/>
          <c:cat>
            <c:strRef>
              <c:f>'Total Revenue by channel'!$B$4:$B$9</c:f>
              <c:strCache>
                <c:ptCount val="5"/>
                <c:pt idx="0">
                  <c:v>Direct</c:v>
                </c:pt>
                <c:pt idx="1">
                  <c:v>Distributor</c:v>
                </c:pt>
                <c:pt idx="2">
                  <c:v>Marketplace</c:v>
                </c:pt>
                <c:pt idx="3">
                  <c:v>Online</c:v>
                </c:pt>
                <c:pt idx="4">
                  <c:v>Retail</c:v>
                </c:pt>
              </c:strCache>
            </c:strRef>
          </c:cat>
          <c:val>
            <c:numRef>
              <c:f>'Total Revenue by channel'!$C$4:$C$9</c:f>
              <c:numCache>
                <c:formatCode>_(* #,##0.00_);_(* \(#,##0.00\);_(* "-"??_);_(@_)</c:formatCode>
                <c:ptCount val="5"/>
                <c:pt idx="0">
                  <c:v>2832838.3674197984</c:v>
                </c:pt>
                <c:pt idx="1">
                  <c:v>2146576.0028109998</c:v>
                </c:pt>
                <c:pt idx="2">
                  <c:v>2327736.514795199</c:v>
                </c:pt>
                <c:pt idx="3">
                  <c:v>2157247.7033222998</c:v>
                </c:pt>
                <c:pt idx="4">
                  <c:v>2198461.367077</c:v>
                </c:pt>
              </c:numCache>
            </c:numRef>
          </c:val>
          <c:extLst>
            <c:ext xmlns:c16="http://schemas.microsoft.com/office/drawing/2014/chart" uri="{C3380CC4-5D6E-409C-BE32-E72D297353CC}">
              <c16:uniqueId val="{00000000-10C7-4E8E-AB35-F6C11D0A3A98}"/>
            </c:ext>
          </c:extLst>
        </c:ser>
        <c:dLbls>
          <c:showLegendKey val="0"/>
          <c:showVal val="0"/>
          <c:showCatName val="0"/>
          <c:showSerName val="0"/>
          <c:showPercent val="0"/>
          <c:showBubbleSize val="0"/>
        </c:dLbls>
        <c:gapWidth val="219"/>
        <c:overlap val="-27"/>
        <c:axId val="1585792911"/>
        <c:axId val="1585781391"/>
      </c:barChart>
      <c:catAx>
        <c:axId val="1585792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81391"/>
        <c:crosses val="autoZero"/>
        <c:auto val="1"/>
        <c:lblAlgn val="ctr"/>
        <c:lblOffset val="100"/>
        <c:noMultiLvlLbl val="0"/>
      </c:catAx>
      <c:valAx>
        <c:axId val="158578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9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category!PivotTable3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category'!$C$3</c:f>
              <c:strCache>
                <c:ptCount val="1"/>
                <c:pt idx="0">
                  <c:v>Total</c:v>
                </c:pt>
              </c:strCache>
            </c:strRef>
          </c:tx>
          <c:spPr>
            <a:solidFill>
              <a:schemeClr val="accent1"/>
            </a:solidFill>
            <a:ln>
              <a:noFill/>
            </a:ln>
            <a:effectLst/>
          </c:spPr>
          <c:invertIfNegative val="0"/>
          <c:cat>
            <c:strRef>
              <c:f>'Total Revenue by category'!$B$4:$B$11</c:f>
              <c:strCache>
                <c:ptCount val="7"/>
                <c:pt idx="0">
                  <c:v>Accessories</c:v>
                </c:pt>
                <c:pt idx="1">
                  <c:v>Components</c:v>
                </c:pt>
                <c:pt idx="2">
                  <c:v>Laptops</c:v>
                </c:pt>
                <c:pt idx="3">
                  <c:v>Monitors</c:v>
                </c:pt>
                <c:pt idx="4">
                  <c:v>Networking</c:v>
                </c:pt>
                <c:pt idx="5">
                  <c:v>Phones</c:v>
                </c:pt>
                <c:pt idx="6">
                  <c:v>Printers</c:v>
                </c:pt>
              </c:strCache>
            </c:strRef>
          </c:cat>
          <c:val>
            <c:numRef>
              <c:f>'Total Revenue by category'!$C$4:$C$11</c:f>
              <c:numCache>
                <c:formatCode>_(* #,##0.00_);_(* \(#,##0.00\);_(* "-"??_);_(@_)</c:formatCode>
                <c:ptCount val="7"/>
                <c:pt idx="0">
                  <c:v>1499651.9187534009</c:v>
                </c:pt>
                <c:pt idx="1">
                  <c:v>1631350.508349</c:v>
                </c:pt>
                <c:pt idx="2">
                  <c:v>1808891.2202314993</c:v>
                </c:pt>
                <c:pt idx="3">
                  <c:v>1623141.2818553008</c:v>
                </c:pt>
                <c:pt idx="4">
                  <c:v>1848488.8110944</c:v>
                </c:pt>
                <c:pt idx="5">
                  <c:v>1517164.9927628001</c:v>
                </c:pt>
                <c:pt idx="6">
                  <c:v>1734171.2223789005</c:v>
                </c:pt>
              </c:numCache>
            </c:numRef>
          </c:val>
          <c:extLst>
            <c:ext xmlns:c16="http://schemas.microsoft.com/office/drawing/2014/chart" uri="{C3380CC4-5D6E-409C-BE32-E72D297353CC}">
              <c16:uniqueId val="{00000000-5DE7-4647-989F-30AA74D56368}"/>
            </c:ext>
          </c:extLst>
        </c:ser>
        <c:dLbls>
          <c:showLegendKey val="0"/>
          <c:showVal val="0"/>
          <c:showCatName val="0"/>
          <c:showSerName val="0"/>
          <c:showPercent val="0"/>
          <c:showBubbleSize val="0"/>
        </c:dLbls>
        <c:gapWidth val="219"/>
        <c:overlap val="-27"/>
        <c:axId val="1232081359"/>
        <c:axId val="1232088079"/>
      </c:barChart>
      <c:catAx>
        <c:axId val="1232081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8079"/>
        <c:crosses val="autoZero"/>
        <c:auto val="1"/>
        <c:lblAlgn val="ctr"/>
        <c:lblOffset val="100"/>
        <c:noMultiLvlLbl val="0"/>
      </c:catAx>
      <c:valAx>
        <c:axId val="123208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sales person!PivotTable5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sales person'!$C$3</c:f>
              <c:strCache>
                <c:ptCount val="1"/>
                <c:pt idx="0">
                  <c:v>Total</c:v>
                </c:pt>
              </c:strCache>
            </c:strRef>
          </c:tx>
          <c:spPr>
            <a:solidFill>
              <a:schemeClr val="accent1"/>
            </a:solidFill>
            <a:ln>
              <a:noFill/>
            </a:ln>
            <a:effectLst/>
          </c:spPr>
          <c:invertIfNegative val="0"/>
          <c:cat>
            <c:strRef>
              <c:f>'Total revenue by sales person'!$B$4:$B$19</c:f>
              <c:strCache>
                <c:ptCount val="15"/>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strCache>
            </c:strRef>
          </c:cat>
          <c:val>
            <c:numRef>
              <c:f>'Total revenue by sales person'!$C$4:$C$19</c:f>
              <c:numCache>
                <c:formatCode>_(* #,##0.00_);_(* \(#,##0.00\);_(* "-"??_);_(@_)</c:formatCode>
                <c:ptCount val="15"/>
                <c:pt idx="0">
                  <c:v>933738.58026019996</c:v>
                </c:pt>
                <c:pt idx="1">
                  <c:v>914496.64703420014</c:v>
                </c:pt>
                <c:pt idx="2">
                  <c:v>743278.35460930003</c:v>
                </c:pt>
                <c:pt idx="3">
                  <c:v>653956.51235520002</c:v>
                </c:pt>
                <c:pt idx="4">
                  <c:v>559840.40156679996</c:v>
                </c:pt>
                <c:pt idx="5">
                  <c:v>909249.11503330001</c:v>
                </c:pt>
                <c:pt idx="6">
                  <c:v>515352.02875560004</c:v>
                </c:pt>
                <c:pt idx="7">
                  <c:v>910648.58562589972</c:v>
                </c:pt>
                <c:pt idx="8">
                  <c:v>628997.54985959991</c:v>
                </c:pt>
                <c:pt idx="9">
                  <c:v>967009.84048989974</c:v>
                </c:pt>
                <c:pt idx="10">
                  <c:v>904712.7123424001</c:v>
                </c:pt>
                <c:pt idx="11">
                  <c:v>881208.01369639987</c:v>
                </c:pt>
                <c:pt idx="12">
                  <c:v>1044239.2211887998</c:v>
                </c:pt>
                <c:pt idx="13">
                  <c:v>429240.0672159</c:v>
                </c:pt>
                <c:pt idx="14">
                  <c:v>666892.32539180003</c:v>
                </c:pt>
              </c:numCache>
            </c:numRef>
          </c:val>
          <c:extLst>
            <c:ext xmlns:c16="http://schemas.microsoft.com/office/drawing/2014/chart" uri="{C3380CC4-5D6E-409C-BE32-E72D297353CC}">
              <c16:uniqueId val="{00000000-27FA-40ED-97E9-FB2DA8538BCA}"/>
            </c:ext>
          </c:extLst>
        </c:ser>
        <c:dLbls>
          <c:showLegendKey val="0"/>
          <c:showVal val="0"/>
          <c:showCatName val="0"/>
          <c:showSerName val="0"/>
          <c:showPercent val="0"/>
          <c:showBubbleSize val="0"/>
        </c:dLbls>
        <c:gapWidth val="219"/>
        <c:overlap val="-27"/>
        <c:axId val="553283519"/>
        <c:axId val="553288319"/>
      </c:barChart>
      <c:catAx>
        <c:axId val="55328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8319"/>
        <c:crosses val="autoZero"/>
        <c:auto val="1"/>
        <c:lblAlgn val="ctr"/>
        <c:lblOffset val="100"/>
        <c:noMultiLvlLbl val="0"/>
      </c:catAx>
      <c:valAx>
        <c:axId val="553288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orders per month!PivotTable4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of monthly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orders per month'!$C$3</c:f>
              <c:strCache>
                <c:ptCount val="1"/>
                <c:pt idx="0">
                  <c:v>Total</c:v>
                </c:pt>
              </c:strCache>
            </c:strRef>
          </c:tx>
          <c:spPr>
            <a:ln w="28575" cap="rnd">
              <a:solidFill>
                <a:schemeClr val="accent1"/>
              </a:solidFill>
              <a:round/>
            </a:ln>
            <a:effectLst/>
          </c:spPr>
          <c:marker>
            <c:symbol val="none"/>
          </c:marker>
          <c:cat>
            <c:multiLvlStrRef>
              <c:f>'Total orders per month'!$B$4:$B$40</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'Total orders per month'!$C$4:$C$40</c:f>
              <c:numCache>
                <c:formatCode>General</c:formatCode>
                <c:ptCount val="33"/>
                <c:pt idx="0">
                  <c:v>13</c:v>
                </c:pt>
                <c:pt idx="1">
                  <c:v>17</c:v>
                </c:pt>
                <c:pt idx="2">
                  <c:v>15</c:v>
                </c:pt>
                <c:pt idx="3">
                  <c:v>24</c:v>
                </c:pt>
                <c:pt idx="4">
                  <c:v>26</c:v>
                </c:pt>
                <c:pt idx="5">
                  <c:v>21</c:v>
                </c:pt>
                <c:pt idx="6">
                  <c:v>23</c:v>
                </c:pt>
                <c:pt idx="7">
                  <c:v>24</c:v>
                </c:pt>
                <c:pt idx="8">
                  <c:v>12</c:v>
                </c:pt>
                <c:pt idx="9">
                  <c:v>18</c:v>
                </c:pt>
                <c:pt idx="10">
                  <c:v>10</c:v>
                </c:pt>
                <c:pt idx="11">
                  <c:v>21</c:v>
                </c:pt>
                <c:pt idx="12">
                  <c:v>23</c:v>
                </c:pt>
                <c:pt idx="13">
                  <c:v>19</c:v>
                </c:pt>
                <c:pt idx="14">
                  <c:v>22</c:v>
                </c:pt>
                <c:pt idx="15">
                  <c:v>14</c:v>
                </c:pt>
                <c:pt idx="16">
                  <c:v>23</c:v>
                </c:pt>
                <c:pt idx="17">
                  <c:v>23</c:v>
                </c:pt>
                <c:pt idx="18">
                  <c:v>14</c:v>
                </c:pt>
                <c:pt idx="19">
                  <c:v>20</c:v>
                </c:pt>
                <c:pt idx="20">
                  <c:v>18</c:v>
                </c:pt>
                <c:pt idx="21">
                  <c:v>21</c:v>
                </c:pt>
                <c:pt idx="22">
                  <c:v>20</c:v>
                </c:pt>
                <c:pt idx="23">
                  <c:v>21</c:v>
                </c:pt>
                <c:pt idx="24">
                  <c:v>16</c:v>
                </c:pt>
                <c:pt idx="25">
                  <c:v>16</c:v>
                </c:pt>
                <c:pt idx="26">
                  <c:v>20</c:v>
                </c:pt>
                <c:pt idx="27">
                  <c:v>25</c:v>
                </c:pt>
                <c:pt idx="28">
                  <c:v>18</c:v>
                </c:pt>
                <c:pt idx="29">
                  <c:v>24</c:v>
                </c:pt>
                <c:pt idx="30">
                  <c:v>16</c:v>
                </c:pt>
                <c:pt idx="31">
                  <c:v>21</c:v>
                </c:pt>
                <c:pt idx="32">
                  <c:v>12</c:v>
                </c:pt>
              </c:numCache>
            </c:numRef>
          </c:val>
          <c:smooth val="0"/>
          <c:extLst>
            <c:ext xmlns:c16="http://schemas.microsoft.com/office/drawing/2014/chart" uri="{C3380CC4-5D6E-409C-BE32-E72D297353CC}">
              <c16:uniqueId val="{00000000-E22A-4ED0-AE4A-429BE8FE7550}"/>
            </c:ext>
          </c:extLst>
        </c:ser>
        <c:dLbls>
          <c:showLegendKey val="0"/>
          <c:showVal val="0"/>
          <c:showCatName val="0"/>
          <c:showSerName val="0"/>
          <c:showPercent val="0"/>
          <c:showBubbleSize val="0"/>
        </c:dLbls>
        <c:smooth val="0"/>
        <c:axId val="2116214128"/>
        <c:axId val="2116217008"/>
      </c:lineChart>
      <c:catAx>
        <c:axId val="211621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7008"/>
        <c:crosses val="autoZero"/>
        <c:auto val="1"/>
        <c:lblAlgn val="ctr"/>
        <c:lblOffset val="100"/>
        <c:noMultiLvlLbl val="0"/>
      </c:catAx>
      <c:valAx>
        <c:axId val="211621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monthly orders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Brief_1.1.xlsx]Sheet7!PivotTable7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Sheet7!$G$17</c:f>
              <c:strCache>
                <c:ptCount val="1"/>
                <c:pt idx="0">
                  <c:v>Total</c:v>
                </c:pt>
              </c:strCache>
            </c:strRef>
          </c:tx>
          <c:spPr>
            <a:solidFill>
              <a:schemeClr val="accent1"/>
            </a:solidFill>
            <a:ln>
              <a:noFill/>
            </a:ln>
            <a:effectLst/>
          </c:spPr>
          <c:invertIfNegative val="0"/>
          <c:cat>
            <c:strRef>
              <c:f>Sheet7!$F$18:$F$26</c:f>
              <c:strCache>
                <c:ptCount val="8"/>
                <c:pt idx="0">
                  <c:v>ACC-1770</c:v>
                </c:pt>
                <c:pt idx="1">
                  <c:v>CMP-3938</c:v>
                </c:pt>
                <c:pt idx="2">
                  <c:v>CMP-8851</c:v>
                </c:pt>
                <c:pt idx="3">
                  <c:v>LAP-3904</c:v>
                </c:pt>
                <c:pt idx="4">
                  <c:v>LAP-8910</c:v>
                </c:pt>
                <c:pt idx="5">
                  <c:v>MON-2266</c:v>
                </c:pt>
                <c:pt idx="6">
                  <c:v>MON-6699</c:v>
                </c:pt>
                <c:pt idx="7">
                  <c:v>MON-6962</c:v>
                </c:pt>
              </c:strCache>
            </c:strRef>
          </c:cat>
          <c:val>
            <c:numRef>
              <c:f>Sheet7!$G$18:$G$26</c:f>
              <c:numCache>
                <c:formatCode>_(* #,##0.00_);_(* \(#,##0.00\);_(* "-"??_);_(@_)</c:formatCode>
                <c:ptCount val="8"/>
                <c:pt idx="0">
                  <c:v>110456.766</c:v>
                </c:pt>
                <c:pt idx="1">
                  <c:v>84136.119600000005</c:v>
                </c:pt>
                <c:pt idx="2">
                  <c:v>139277.83032000001</c:v>
                </c:pt>
                <c:pt idx="3">
                  <c:v>82514.711519999997</c:v>
                </c:pt>
                <c:pt idx="4">
                  <c:v>102122.94203999999</c:v>
                </c:pt>
                <c:pt idx="5">
                  <c:v>87404.929919999995</c:v>
                </c:pt>
                <c:pt idx="6">
                  <c:v>85637.740319999997</c:v>
                </c:pt>
                <c:pt idx="7">
                  <c:v>92715.25</c:v>
                </c:pt>
              </c:numCache>
            </c:numRef>
          </c:val>
          <c:extLst>
            <c:ext xmlns:c16="http://schemas.microsoft.com/office/drawing/2014/chart" uri="{C3380CC4-5D6E-409C-BE32-E72D297353CC}">
              <c16:uniqueId val="{00000000-0B9E-444A-BD07-75FE31B98DA5}"/>
            </c:ext>
          </c:extLst>
        </c:ser>
        <c:dLbls>
          <c:showLegendKey val="0"/>
          <c:showVal val="0"/>
          <c:showCatName val="0"/>
          <c:showSerName val="0"/>
          <c:showPercent val="0"/>
          <c:showBubbleSize val="0"/>
        </c:dLbls>
        <c:gapWidth val="219"/>
        <c:overlap val="-27"/>
        <c:axId val="597505407"/>
        <c:axId val="597497247"/>
      </c:barChart>
      <c:catAx>
        <c:axId val="597505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497247"/>
        <c:crosses val="autoZero"/>
        <c:auto val="1"/>
        <c:lblAlgn val="ctr"/>
        <c:lblOffset val="100"/>
        <c:noMultiLvlLbl val="0"/>
      </c:catAx>
      <c:valAx>
        <c:axId val="59749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5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Brief_1.1.xlsx]Sheet7!PivotTable7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Sheet7!$G$17</c:f>
              <c:strCache>
                <c:ptCount val="1"/>
                <c:pt idx="0">
                  <c:v>Total</c:v>
                </c:pt>
              </c:strCache>
            </c:strRef>
          </c:tx>
          <c:spPr>
            <a:solidFill>
              <a:schemeClr val="accent1"/>
            </a:solidFill>
            <a:ln>
              <a:noFill/>
            </a:ln>
            <a:effectLst/>
          </c:spPr>
          <c:invertIfNegative val="0"/>
          <c:cat>
            <c:strRef>
              <c:f>Sheet7!$F$18:$F$26</c:f>
              <c:strCache>
                <c:ptCount val="8"/>
                <c:pt idx="0">
                  <c:v>ACC-1770</c:v>
                </c:pt>
                <c:pt idx="1">
                  <c:v>CMP-3938</c:v>
                </c:pt>
                <c:pt idx="2">
                  <c:v>CMP-8851</c:v>
                </c:pt>
                <c:pt idx="3">
                  <c:v>LAP-3904</c:v>
                </c:pt>
                <c:pt idx="4">
                  <c:v>LAP-8910</c:v>
                </c:pt>
                <c:pt idx="5">
                  <c:v>MON-2266</c:v>
                </c:pt>
                <c:pt idx="6">
                  <c:v>MON-6699</c:v>
                </c:pt>
                <c:pt idx="7">
                  <c:v>MON-6962</c:v>
                </c:pt>
              </c:strCache>
            </c:strRef>
          </c:cat>
          <c:val>
            <c:numRef>
              <c:f>Sheet7!$G$18:$G$26</c:f>
              <c:numCache>
                <c:formatCode>_(* #,##0.00_);_(* \(#,##0.00\);_(* "-"??_);_(@_)</c:formatCode>
                <c:ptCount val="8"/>
                <c:pt idx="0">
                  <c:v>110456.766</c:v>
                </c:pt>
                <c:pt idx="1">
                  <c:v>84136.119600000005</c:v>
                </c:pt>
                <c:pt idx="2">
                  <c:v>139277.83032000001</c:v>
                </c:pt>
                <c:pt idx="3">
                  <c:v>82514.711519999997</c:v>
                </c:pt>
                <c:pt idx="4">
                  <c:v>102122.94203999999</c:v>
                </c:pt>
                <c:pt idx="5">
                  <c:v>87404.929919999995</c:v>
                </c:pt>
                <c:pt idx="6">
                  <c:v>85637.740319999997</c:v>
                </c:pt>
                <c:pt idx="7">
                  <c:v>92715.25</c:v>
                </c:pt>
              </c:numCache>
            </c:numRef>
          </c:val>
          <c:extLst>
            <c:ext xmlns:c16="http://schemas.microsoft.com/office/drawing/2014/chart" uri="{C3380CC4-5D6E-409C-BE32-E72D297353CC}">
              <c16:uniqueId val="{00000000-7F3A-436A-8E47-3E541DBAF5BF}"/>
            </c:ext>
          </c:extLst>
        </c:ser>
        <c:dLbls>
          <c:showLegendKey val="0"/>
          <c:showVal val="0"/>
          <c:showCatName val="0"/>
          <c:showSerName val="0"/>
          <c:showPercent val="0"/>
          <c:showBubbleSize val="0"/>
        </c:dLbls>
        <c:gapWidth val="219"/>
        <c:overlap val="-27"/>
        <c:axId val="597505407"/>
        <c:axId val="597497247"/>
      </c:barChart>
      <c:catAx>
        <c:axId val="5975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497247"/>
        <c:crosses val="autoZero"/>
        <c:auto val="1"/>
        <c:lblAlgn val="ctr"/>
        <c:lblOffset val="100"/>
        <c:noMultiLvlLbl val="0"/>
      </c:catAx>
      <c:valAx>
        <c:axId val="5974972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5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Brief_1.1.xlsx]Revenue_By_Country!PivotTable1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Revenue_By_Country!$C$3</c:f>
              <c:strCache>
                <c:ptCount val="1"/>
                <c:pt idx="0">
                  <c:v>Total</c:v>
                </c:pt>
              </c:strCache>
            </c:strRef>
          </c:tx>
          <c:spPr>
            <a:solidFill>
              <a:schemeClr val="accent1"/>
            </a:solidFill>
            <a:ln>
              <a:noFill/>
            </a:ln>
            <a:effectLst/>
          </c:spPr>
          <c:invertIfNegative val="0"/>
          <c:cat>
            <c:strRef>
              <c:f>Revenue_By_Country!$B$4:$B$16</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Revenue_By_Country!$C$4:$C$16</c:f>
              <c:numCache>
                <c:formatCode>_(* #,##0.00_);_(* \(#,##0.00\);_(* "-"??_);_(@_)</c:formatCode>
                <c:ptCount val="12"/>
                <c:pt idx="0">
                  <c:v>1114399.1290530004</c:v>
                </c:pt>
                <c:pt idx="1">
                  <c:v>919877.99783499993</c:v>
                </c:pt>
                <c:pt idx="2">
                  <c:v>965704.65219440009</c:v>
                </c:pt>
                <c:pt idx="3">
                  <c:v>903660.05539599981</c:v>
                </c:pt>
                <c:pt idx="4">
                  <c:v>939154.91640650015</c:v>
                </c:pt>
                <c:pt idx="5">
                  <c:v>1163097.3415347999</c:v>
                </c:pt>
                <c:pt idx="6">
                  <c:v>888636.53039419977</c:v>
                </c:pt>
                <c:pt idx="7">
                  <c:v>1015941.9619468</c:v>
                </c:pt>
                <c:pt idx="8">
                  <c:v>944211.11437259987</c:v>
                </c:pt>
                <c:pt idx="9">
                  <c:v>803173.10077049967</c:v>
                </c:pt>
                <c:pt idx="10">
                  <c:v>1240365.0545159006</c:v>
                </c:pt>
                <c:pt idx="11">
                  <c:v>764638.10100559995</c:v>
                </c:pt>
              </c:numCache>
            </c:numRef>
          </c:val>
          <c:extLst>
            <c:ext xmlns:c16="http://schemas.microsoft.com/office/drawing/2014/chart" uri="{C3380CC4-5D6E-409C-BE32-E72D297353CC}">
              <c16:uniqueId val="{00000000-4E4B-4CCD-851C-CCD58BC13429}"/>
            </c:ext>
          </c:extLst>
        </c:ser>
        <c:dLbls>
          <c:showLegendKey val="0"/>
          <c:showVal val="0"/>
          <c:showCatName val="0"/>
          <c:showSerName val="0"/>
          <c:showPercent val="0"/>
          <c:showBubbleSize val="0"/>
        </c:dLbls>
        <c:gapWidth val="150"/>
        <c:axId val="393268256"/>
        <c:axId val="393272096"/>
      </c:barChart>
      <c:catAx>
        <c:axId val="39326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72096"/>
        <c:crosses val="autoZero"/>
        <c:auto val="1"/>
        <c:lblAlgn val="ctr"/>
        <c:lblOffset val="100"/>
        <c:noMultiLvlLbl val="0"/>
      </c:catAx>
      <c:valAx>
        <c:axId val="3932720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326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Region'!$B$3</c:f>
              <c:strCache>
                <c:ptCount val="1"/>
                <c:pt idx="0">
                  <c:v>Total</c:v>
                </c:pt>
              </c:strCache>
            </c:strRef>
          </c:tx>
          <c:spPr>
            <a:solidFill>
              <a:schemeClr val="accent1"/>
            </a:solidFill>
            <a:ln>
              <a:noFill/>
            </a:ln>
            <a:effectLst/>
          </c:spPr>
          <c:invertIfNegative val="0"/>
          <c:cat>
            <c:strRef>
              <c:f>'Total Revenue by Region'!$A$4:$A$8</c:f>
              <c:strCache>
                <c:ptCount val="4"/>
                <c:pt idx="0">
                  <c:v>Africa</c:v>
                </c:pt>
                <c:pt idx="1">
                  <c:v>Americas</c:v>
                </c:pt>
                <c:pt idx="2">
                  <c:v>Asia</c:v>
                </c:pt>
                <c:pt idx="3">
                  <c:v>Europe</c:v>
                </c:pt>
              </c:strCache>
            </c:strRef>
          </c:cat>
          <c:val>
            <c:numRef>
              <c:f>'Total Revenue by Region'!$B$4:$B$8</c:f>
              <c:numCache>
                <c:formatCode>_(* #,##0.00_);_(* \(#,##0.00\);_(* "-"??_);_(@_)</c:formatCode>
                <c:ptCount val="4"/>
                <c:pt idx="0">
                  <c:v>2763326.1770899007</c:v>
                </c:pt>
                <c:pt idx="1">
                  <c:v>2798915.2278935979</c:v>
                </c:pt>
                <c:pt idx="2">
                  <c:v>3017438.5241233986</c:v>
                </c:pt>
                <c:pt idx="3">
                  <c:v>3083180.0263184006</c:v>
                </c:pt>
              </c:numCache>
            </c:numRef>
          </c:val>
          <c:extLst>
            <c:ext xmlns:c16="http://schemas.microsoft.com/office/drawing/2014/chart" uri="{C3380CC4-5D6E-409C-BE32-E72D297353CC}">
              <c16:uniqueId val="{00000000-08BE-4510-8544-9DA37584CD96}"/>
            </c:ext>
          </c:extLst>
        </c:ser>
        <c:dLbls>
          <c:showLegendKey val="0"/>
          <c:showVal val="0"/>
          <c:showCatName val="0"/>
          <c:showSerName val="0"/>
          <c:showPercent val="0"/>
          <c:showBubbleSize val="0"/>
        </c:dLbls>
        <c:gapWidth val="219"/>
        <c:overlap val="-27"/>
        <c:axId val="1679036687"/>
        <c:axId val="1679037167"/>
      </c:barChart>
      <c:catAx>
        <c:axId val="167903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7167"/>
        <c:crosses val="autoZero"/>
        <c:auto val="1"/>
        <c:lblAlgn val="ctr"/>
        <c:lblOffset val="100"/>
        <c:noMultiLvlLbl val="0"/>
      </c:catAx>
      <c:valAx>
        <c:axId val="167903716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03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channel!PivotTable2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channel'!$C$3</c:f>
              <c:strCache>
                <c:ptCount val="1"/>
                <c:pt idx="0">
                  <c:v>Total</c:v>
                </c:pt>
              </c:strCache>
            </c:strRef>
          </c:tx>
          <c:spPr>
            <a:solidFill>
              <a:schemeClr val="accent1"/>
            </a:solidFill>
            <a:ln>
              <a:noFill/>
            </a:ln>
            <a:effectLst/>
          </c:spPr>
          <c:invertIfNegative val="0"/>
          <c:cat>
            <c:strRef>
              <c:f>'Total Revenue by channel'!$B$4:$B$9</c:f>
              <c:strCache>
                <c:ptCount val="5"/>
                <c:pt idx="0">
                  <c:v>Direct</c:v>
                </c:pt>
                <c:pt idx="1">
                  <c:v>Distributor</c:v>
                </c:pt>
                <c:pt idx="2">
                  <c:v>Marketplace</c:v>
                </c:pt>
                <c:pt idx="3">
                  <c:v>Online</c:v>
                </c:pt>
                <c:pt idx="4">
                  <c:v>Retail</c:v>
                </c:pt>
              </c:strCache>
            </c:strRef>
          </c:cat>
          <c:val>
            <c:numRef>
              <c:f>'Total Revenue by channel'!$C$4:$C$9</c:f>
              <c:numCache>
                <c:formatCode>_(* #,##0.00_);_(* \(#,##0.00\);_(* "-"??_);_(@_)</c:formatCode>
                <c:ptCount val="5"/>
                <c:pt idx="0">
                  <c:v>2832838.3674197984</c:v>
                </c:pt>
                <c:pt idx="1">
                  <c:v>2146576.0028109998</c:v>
                </c:pt>
                <c:pt idx="2">
                  <c:v>2327736.514795199</c:v>
                </c:pt>
                <c:pt idx="3">
                  <c:v>2157247.7033222998</c:v>
                </c:pt>
                <c:pt idx="4">
                  <c:v>2198461.367077</c:v>
                </c:pt>
              </c:numCache>
            </c:numRef>
          </c:val>
          <c:extLst>
            <c:ext xmlns:c16="http://schemas.microsoft.com/office/drawing/2014/chart" uri="{C3380CC4-5D6E-409C-BE32-E72D297353CC}">
              <c16:uniqueId val="{00000000-1D08-4E00-A311-F5943FC0F988}"/>
            </c:ext>
          </c:extLst>
        </c:ser>
        <c:dLbls>
          <c:showLegendKey val="0"/>
          <c:showVal val="0"/>
          <c:showCatName val="0"/>
          <c:showSerName val="0"/>
          <c:showPercent val="0"/>
          <c:showBubbleSize val="0"/>
        </c:dLbls>
        <c:gapWidth val="219"/>
        <c:overlap val="-27"/>
        <c:axId val="1585792911"/>
        <c:axId val="1585781391"/>
      </c:barChart>
      <c:catAx>
        <c:axId val="158579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81391"/>
        <c:crosses val="autoZero"/>
        <c:auto val="1"/>
        <c:lblAlgn val="ctr"/>
        <c:lblOffset val="100"/>
        <c:noMultiLvlLbl val="0"/>
      </c:catAx>
      <c:valAx>
        <c:axId val="158578139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8579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category'!$C$3</c:f>
              <c:strCache>
                <c:ptCount val="1"/>
                <c:pt idx="0">
                  <c:v>Total</c:v>
                </c:pt>
              </c:strCache>
            </c:strRef>
          </c:tx>
          <c:spPr>
            <a:solidFill>
              <a:schemeClr val="accent1"/>
            </a:solidFill>
            <a:ln>
              <a:noFill/>
            </a:ln>
            <a:effectLst/>
          </c:spPr>
          <c:invertIfNegative val="0"/>
          <c:cat>
            <c:strRef>
              <c:f>'Total Revenue by category'!$B$4:$B$11</c:f>
              <c:strCache>
                <c:ptCount val="7"/>
                <c:pt idx="0">
                  <c:v>Accessories</c:v>
                </c:pt>
                <c:pt idx="1">
                  <c:v>Components</c:v>
                </c:pt>
                <c:pt idx="2">
                  <c:v>Laptops</c:v>
                </c:pt>
                <c:pt idx="3">
                  <c:v>Monitors</c:v>
                </c:pt>
                <c:pt idx="4">
                  <c:v>Networking</c:v>
                </c:pt>
                <c:pt idx="5">
                  <c:v>Phones</c:v>
                </c:pt>
                <c:pt idx="6">
                  <c:v>Printers</c:v>
                </c:pt>
              </c:strCache>
            </c:strRef>
          </c:cat>
          <c:val>
            <c:numRef>
              <c:f>'Total Revenue by category'!$C$4:$C$11</c:f>
              <c:numCache>
                <c:formatCode>_(* #,##0.00_);_(* \(#,##0.00\);_(* "-"??_);_(@_)</c:formatCode>
                <c:ptCount val="7"/>
                <c:pt idx="0">
                  <c:v>1499651.9187534009</c:v>
                </c:pt>
                <c:pt idx="1">
                  <c:v>1631350.508349</c:v>
                </c:pt>
                <c:pt idx="2">
                  <c:v>1808891.2202314993</c:v>
                </c:pt>
                <c:pt idx="3">
                  <c:v>1623141.2818553008</c:v>
                </c:pt>
                <c:pt idx="4">
                  <c:v>1848488.8110944</c:v>
                </c:pt>
                <c:pt idx="5">
                  <c:v>1517164.9927628001</c:v>
                </c:pt>
                <c:pt idx="6">
                  <c:v>1734171.2223789005</c:v>
                </c:pt>
              </c:numCache>
            </c:numRef>
          </c:val>
          <c:extLst>
            <c:ext xmlns:c16="http://schemas.microsoft.com/office/drawing/2014/chart" uri="{C3380CC4-5D6E-409C-BE32-E72D297353CC}">
              <c16:uniqueId val="{00000000-2465-4F09-BCF5-6470D8EDC0F8}"/>
            </c:ext>
          </c:extLst>
        </c:ser>
        <c:dLbls>
          <c:showLegendKey val="0"/>
          <c:showVal val="0"/>
          <c:showCatName val="0"/>
          <c:showSerName val="0"/>
          <c:showPercent val="0"/>
          <c:showBubbleSize val="0"/>
        </c:dLbls>
        <c:gapWidth val="219"/>
        <c:overlap val="-27"/>
        <c:axId val="1232081359"/>
        <c:axId val="1232088079"/>
      </c:barChart>
      <c:catAx>
        <c:axId val="12320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8079"/>
        <c:crosses val="autoZero"/>
        <c:auto val="1"/>
        <c:lblAlgn val="ctr"/>
        <c:lblOffset val="100"/>
        <c:noMultiLvlLbl val="0"/>
      </c:catAx>
      <c:valAx>
        <c:axId val="123208807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208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orders per month!PivotTable4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orders per month'!$C$3</c:f>
              <c:strCache>
                <c:ptCount val="1"/>
                <c:pt idx="0">
                  <c:v>Total</c:v>
                </c:pt>
              </c:strCache>
            </c:strRef>
          </c:tx>
          <c:spPr>
            <a:ln w="28575" cap="rnd">
              <a:solidFill>
                <a:schemeClr val="accent1"/>
              </a:solidFill>
              <a:round/>
            </a:ln>
            <a:effectLst/>
          </c:spPr>
          <c:marker>
            <c:symbol val="none"/>
          </c:marker>
          <c:cat>
            <c:multiLvlStrRef>
              <c:f>'Total orders per month'!$B$4:$B$40</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'Total orders per month'!$C$4:$C$40</c:f>
              <c:numCache>
                <c:formatCode>General</c:formatCode>
                <c:ptCount val="33"/>
                <c:pt idx="0">
                  <c:v>13</c:v>
                </c:pt>
                <c:pt idx="1">
                  <c:v>17</c:v>
                </c:pt>
                <c:pt idx="2">
                  <c:v>15</c:v>
                </c:pt>
                <c:pt idx="3">
                  <c:v>24</c:v>
                </c:pt>
                <c:pt idx="4">
                  <c:v>26</c:v>
                </c:pt>
                <c:pt idx="5">
                  <c:v>21</c:v>
                </c:pt>
                <c:pt idx="6">
                  <c:v>23</c:v>
                </c:pt>
                <c:pt idx="7">
                  <c:v>24</c:v>
                </c:pt>
                <c:pt idx="8">
                  <c:v>12</c:v>
                </c:pt>
                <c:pt idx="9">
                  <c:v>18</c:v>
                </c:pt>
                <c:pt idx="10">
                  <c:v>10</c:v>
                </c:pt>
                <c:pt idx="11">
                  <c:v>21</c:v>
                </c:pt>
                <c:pt idx="12">
                  <c:v>23</c:v>
                </c:pt>
                <c:pt idx="13">
                  <c:v>19</c:v>
                </c:pt>
                <c:pt idx="14">
                  <c:v>22</c:v>
                </c:pt>
                <c:pt idx="15">
                  <c:v>14</c:v>
                </c:pt>
                <c:pt idx="16">
                  <c:v>23</c:v>
                </c:pt>
                <c:pt idx="17">
                  <c:v>23</c:v>
                </c:pt>
                <c:pt idx="18">
                  <c:v>14</c:v>
                </c:pt>
                <c:pt idx="19">
                  <c:v>20</c:v>
                </c:pt>
                <c:pt idx="20">
                  <c:v>18</c:v>
                </c:pt>
                <c:pt idx="21">
                  <c:v>21</c:v>
                </c:pt>
                <c:pt idx="22">
                  <c:v>20</c:v>
                </c:pt>
                <c:pt idx="23">
                  <c:v>21</c:v>
                </c:pt>
                <c:pt idx="24">
                  <c:v>16</c:v>
                </c:pt>
                <c:pt idx="25">
                  <c:v>16</c:v>
                </c:pt>
                <c:pt idx="26">
                  <c:v>20</c:v>
                </c:pt>
                <c:pt idx="27">
                  <c:v>25</c:v>
                </c:pt>
                <c:pt idx="28">
                  <c:v>18</c:v>
                </c:pt>
                <c:pt idx="29">
                  <c:v>24</c:v>
                </c:pt>
                <c:pt idx="30">
                  <c:v>16</c:v>
                </c:pt>
                <c:pt idx="31">
                  <c:v>21</c:v>
                </c:pt>
                <c:pt idx="32">
                  <c:v>12</c:v>
                </c:pt>
              </c:numCache>
            </c:numRef>
          </c:val>
          <c:smooth val="0"/>
          <c:extLst>
            <c:ext xmlns:c16="http://schemas.microsoft.com/office/drawing/2014/chart" uri="{C3380CC4-5D6E-409C-BE32-E72D297353CC}">
              <c16:uniqueId val="{00000002-D590-4631-A588-6B3EDB114A42}"/>
            </c:ext>
          </c:extLst>
        </c:ser>
        <c:dLbls>
          <c:showLegendKey val="0"/>
          <c:showVal val="0"/>
          <c:showCatName val="0"/>
          <c:showSerName val="0"/>
          <c:showPercent val="0"/>
          <c:showBubbleSize val="0"/>
        </c:dLbls>
        <c:smooth val="0"/>
        <c:axId val="2116214128"/>
        <c:axId val="2116217008"/>
      </c:lineChart>
      <c:catAx>
        <c:axId val="211621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7008"/>
        <c:crosses val="autoZero"/>
        <c:auto val="1"/>
        <c:lblAlgn val="ctr"/>
        <c:lblOffset val="100"/>
        <c:noMultiLvlLbl val="0"/>
      </c:catAx>
      <c:valAx>
        <c:axId val="21162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621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Brief_1.1.xlsx]Total revenue by sales person!PivotTable5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sales person'!$C$3</c:f>
              <c:strCache>
                <c:ptCount val="1"/>
                <c:pt idx="0">
                  <c:v>Total</c:v>
                </c:pt>
              </c:strCache>
            </c:strRef>
          </c:tx>
          <c:spPr>
            <a:solidFill>
              <a:schemeClr val="accent1"/>
            </a:solidFill>
            <a:ln>
              <a:noFill/>
            </a:ln>
            <a:effectLst/>
          </c:spPr>
          <c:invertIfNegative val="0"/>
          <c:cat>
            <c:strRef>
              <c:f>'Total revenue by sales person'!$B$4:$B$19</c:f>
              <c:strCache>
                <c:ptCount val="15"/>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strCache>
            </c:strRef>
          </c:cat>
          <c:val>
            <c:numRef>
              <c:f>'Total revenue by sales person'!$C$4:$C$19</c:f>
              <c:numCache>
                <c:formatCode>_(* #,##0.00_);_(* \(#,##0.00\);_(* "-"??_);_(@_)</c:formatCode>
                <c:ptCount val="15"/>
                <c:pt idx="0">
                  <c:v>933738.58026019996</c:v>
                </c:pt>
                <c:pt idx="1">
                  <c:v>914496.64703420014</c:v>
                </c:pt>
                <c:pt idx="2">
                  <c:v>743278.35460930003</c:v>
                </c:pt>
                <c:pt idx="3">
                  <c:v>653956.51235520002</c:v>
                </c:pt>
                <c:pt idx="4">
                  <c:v>559840.40156679996</c:v>
                </c:pt>
                <c:pt idx="5">
                  <c:v>909249.11503330001</c:v>
                </c:pt>
                <c:pt idx="6">
                  <c:v>515352.02875560004</c:v>
                </c:pt>
                <c:pt idx="7">
                  <c:v>910648.58562589972</c:v>
                </c:pt>
                <c:pt idx="8">
                  <c:v>628997.54985959991</c:v>
                </c:pt>
                <c:pt idx="9">
                  <c:v>967009.84048989974</c:v>
                </c:pt>
                <c:pt idx="10">
                  <c:v>904712.7123424001</c:v>
                </c:pt>
                <c:pt idx="11">
                  <c:v>881208.01369639987</c:v>
                </c:pt>
                <c:pt idx="12">
                  <c:v>1044239.2211887998</c:v>
                </c:pt>
                <c:pt idx="13">
                  <c:v>429240.0672159</c:v>
                </c:pt>
                <c:pt idx="14">
                  <c:v>666892.32539180003</c:v>
                </c:pt>
              </c:numCache>
            </c:numRef>
          </c:val>
          <c:extLst>
            <c:ext xmlns:c16="http://schemas.microsoft.com/office/drawing/2014/chart" uri="{C3380CC4-5D6E-409C-BE32-E72D297353CC}">
              <c16:uniqueId val="{00000000-DF48-4BAD-B867-02D4490A20A6}"/>
            </c:ext>
          </c:extLst>
        </c:ser>
        <c:dLbls>
          <c:showLegendKey val="0"/>
          <c:showVal val="0"/>
          <c:showCatName val="0"/>
          <c:showSerName val="0"/>
          <c:showPercent val="0"/>
          <c:showBubbleSize val="0"/>
        </c:dLbls>
        <c:gapWidth val="219"/>
        <c:overlap val="-27"/>
        <c:axId val="553283519"/>
        <c:axId val="553288319"/>
      </c:barChart>
      <c:catAx>
        <c:axId val="553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8319"/>
        <c:crosses val="autoZero"/>
        <c:auto val="1"/>
        <c:lblAlgn val="ctr"/>
        <c:lblOffset val="100"/>
        <c:noMultiLvlLbl val="0"/>
      </c:catAx>
      <c:valAx>
        <c:axId val="55328831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328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Brief_1.1.xlsx]Sheet7!PivotTable7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Sheet7!$G$17</c:f>
              <c:strCache>
                <c:ptCount val="1"/>
                <c:pt idx="0">
                  <c:v>Total</c:v>
                </c:pt>
              </c:strCache>
            </c:strRef>
          </c:tx>
          <c:spPr>
            <a:solidFill>
              <a:schemeClr val="accent1"/>
            </a:solidFill>
            <a:ln>
              <a:noFill/>
            </a:ln>
            <a:effectLst/>
          </c:spPr>
          <c:invertIfNegative val="0"/>
          <c:cat>
            <c:strRef>
              <c:f>Sheet7!$F$18:$F$26</c:f>
              <c:strCache>
                <c:ptCount val="8"/>
                <c:pt idx="0">
                  <c:v>ACC-1770</c:v>
                </c:pt>
                <c:pt idx="1">
                  <c:v>CMP-3938</c:v>
                </c:pt>
                <c:pt idx="2">
                  <c:v>CMP-8851</c:v>
                </c:pt>
                <c:pt idx="3">
                  <c:v>LAP-3904</c:v>
                </c:pt>
                <c:pt idx="4">
                  <c:v>LAP-8910</c:v>
                </c:pt>
                <c:pt idx="5">
                  <c:v>MON-2266</c:v>
                </c:pt>
                <c:pt idx="6">
                  <c:v>MON-6699</c:v>
                </c:pt>
                <c:pt idx="7">
                  <c:v>MON-6962</c:v>
                </c:pt>
              </c:strCache>
            </c:strRef>
          </c:cat>
          <c:val>
            <c:numRef>
              <c:f>Sheet7!$G$18:$G$26</c:f>
              <c:numCache>
                <c:formatCode>_(* #,##0.00_);_(* \(#,##0.00\);_(* "-"??_);_(@_)</c:formatCode>
                <c:ptCount val="8"/>
                <c:pt idx="0">
                  <c:v>110456.766</c:v>
                </c:pt>
                <c:pt idx="1">
                  <c:v>84136.119600000005</c:v>
                </c:pt>
                <c:pt idx="2">
                  <c:v>139277.83032000001</c:v>
                </c:pt>
                <c:pt idx="3">
                  <c:v>82514.711519999997</c:v>
                </c:pt>
                <c:pt idx="4">
                  <c:v>102122.94203999999</c:v>
                </c:pt>
                <c:pt idx="5">
                  <c:v>87404.929919999995</c:v>
                </c:pt>
                <c:pt idx="6">
                  <c:v>85637.740319999997</c:v>
                </c:pt>
                <c:pt idx="7">
                  <c:v>92715.25</c:v>
                </c:pt>
              </c:numCache>
            </c:numRef>
          </c:val>
          <c:extLst>
            <c:ext xmlns:c16="http://schemas.microsoft.com/office/drawing/2014/chart" uri="{C3380CC4-5D6E-409C-BE32-E72D297353CC}">
              <c16:uniqueId val="{00000000-4254-4E7C-848C-21552CCE063F}"/>
            </c:ext>
          </c:extLst>
        </c:ser>
        <c:dLbls>
          <c:showLegendKey val="0"/>
          <c:showVal val="0"/>
          <c:showCatName val="0"/>
          <c:showSerName val="0"/>
          <c:showPercent val="0"/>
          <c:showBubbleSize val="0"/>
        </c:dLbls>
        <c:gapWidth val="219"/>
        <c:overlap val="-27"/>
        <c:axId val="597505407"/>
        <c:axId val="597497247"/>
      </c:barChart>
      <c:catAx>
        <c:axId val="5975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497247"/>
        <c:crosses val="autoZero"/>
        <c:auto val="1"/>
        <c:lblAlgn val="ctr"/>
        <c:lblOffset val="100"/>
        <c:noMultiLvlLbl val="0"/>
      </c:catAx>
      <c:valAx>
        <c:axId val="59749724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750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DiscountPct</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Calibri"/>
            </a:rPr>
            <a:t>DiscountPct</a:t>
          </a:r>
        </a:p>
      </cx:txPr>
    </cx:title>
    <cx:plotArea>
      <cx:plotAreaRegion>
        <cx:series layoutId="boxWhisker" uniqueId="{8A766CED-30E1-40A2-998D-6C6334EA1699}">
          <cx:tx>
            <cx:txData>
              <cx:f>_xlchart.v1.0</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4</xdr:col>
      <xdr:colOff>396875</xdr:colOff>
      <xdr:row>3</xdr:row>
      <xdr:rowOff>152400</xdr:rowOff>
    </xdr:from>
    <xdr:to>
      <xdr:col>7</xdr:col>
      <xdr:colOff>400050</xdr:colOff>
      <xdr:row>17</xdr:row>
      <xdr:rowOff>139700</xdr:rowOff>
    </xdr:to>
    <mc:AlternateContent xmlns:mc="http://schemas.openxmlformats.org/markup-compatibility/2006" xmlns:a14="http://schemas.microsoft.com/office/drawing/2010/main">
      <mc:Choice Requires="a14">
        <xdr:graphicFrame macro="">
          <xdr:nvGraphicFramePr>
            <xdr:cNvPr id="2" name="OrderDate2">
              <a:extLst>
                <a:ext uri="{FF2B5EF4-FFF2-40B4-BE49-F238E27FC236}">
                  <a16:creationId xmlns:a16="http://schemas.microsoft.com/office/drawing/2014/main" id="{B0FFCF5F-C3BE-7590-8E34-2198748038D8}"/>
                </a:ext>
              </a:extLst>
            </xdr:cNvPr>
            <xdr:cNvGraphicFramePr/>
          </xdr:nvGraphicFramePr>
          <xdr:xfrm>
            <a:off x="0" y="0"/>
            <a:ext cx="0" cy="0"/>
          </xdr:xfrm>
          <a:graphic>
            <a:graphicData uri="http://schemas.microsoft.com/office/drawing/2010/slicer">
              <sle:slicer xmlns:sle="http://schemas.microsoft.com/office/drawing/2010/slicer" name="OrderDate2"/>
            </a:graphicData>
          </a:graphic>
        </xdr:graphicFrame>
      </mc:Choice>
      <mc:Fallback xmlns="">
        <xdr:sp macro="" textlink="">
          <xdr:nvSpPr>
            <xdr:cNvPr id="0" name=""/>
            <xdr:cNvSpPr>
              <a:spLocks noTextEdit="1"/>
            </xdr:cNvSpPr>
          </xdr:nvSpPr>
          <xdr:spPr>
            <a:xfrm>
              <a:off x="3578225" y="695325"/>
              <a:ext cx="1831975" cy="252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111125</xdr:colOff>
      <xdr:row>2</xdr:row>
      <xdr:rowOff>149225</xdr:rowOff>
    </xdr:from>
    <xdr:to>
      <xdr:col>8</xdr:col>
      <xdr:colOff>114300</xdr:colOff>
      <xdr:row>16</xdr:row>
      <xdr:rowOff>139700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58A832B6-5ADF-007B-B4D4-F54F19F6C1A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645025" y="511175"/>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339725</xdr:colOff>
      <xdr:row>2</xdr:row>
      <xdr:rowOff>34925</xdr:rowOff>
    </xdr:from>
    <xdr:to>
      <xdr:col>7</xdr:col>
      <xdr:colOff>323850</xdr:colOff>
      <xdr:row>16</xdr:row>
      <xdr:rowOff>25400</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42C70483-E3B5-DB62-16F1-992483EADB3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502275" y="396875"/>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454025</xdr:colOff>
      <xdr:row>24</xdr:row>
      <xdr:rowOff>76200</xdr:rowOff>
    </xdr:from>
    <xdr:to>
      <xdr:col>9</xdr:col>
      <xdr:colOff>38100</xdr:colOff>
      <xdr:row>39</xdr:row>
      <xdr:rowOff>101600</xdr:rowOff>
    </xdr:to>
    <xdr:graphicFrame macro="">
      <xdr:nvGraphicFramePr>
        <xdr:cNvPr id="2" name="Chart 1">
          <a:extLst>
            <a:ext uri="{FF2B5EF4-FFF2-40B4-BE49-F238E27FC236}">
              <a16:creationId xmlns:a16="http://schemas.microsoft.com/office/drawing/2014/main" id="{BE231594-A8E8-4498-9435-B601A6C4C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168275</xdr:colOff>
      <xdr:row>18</xdr:row>
      <xdr:rowOff>19050</xdr:rowOff>
    </xdr:from>
    <xdr:to>
      <xdr:col>2</xdr:col>
      <xdr:colOff>387350</xdr:colOff>
      <xdr:row>38</xdr:row>
      <xdr:rowOff>25400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97F7B7ED-9EC5-4773-BD78-4664FB4DEC9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8275" y="3333750"/>
              <a:ext cx="1825625" cy="3689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523875</xdr:colOff>
      <xdr:row>8</xdr:row>
      <xdr:rowOff>47625</xdr:rowOff>
    </xdr:from>
    <xdr:to>
      <xdr:col>9</xdr:col>
      <xdr:colOff>28575</xdr:colOff>
      <xdr:row>23</xdr:row>
      <xdr:rowOff>63500</xdr:rowOff>
    </xdr:to>
    <xdr:graphicFrame macro="">
      <xdr:nvGraphicFramePr>
        <xdr:cNvPr id="4" name="Chart 3">
          <a:extLst>
            <a:ext uri="{FF2B5EF4-FFF2-40B4-BE49-F238E27FC236}">
              <a16:creationId xmlns:a16="http://schemas.microsoft.com/office/drawing/2014/main" id="{67E0013C-7F8D-471D-854C-B487DDAA8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171450</xdr:colOff>
      <xdr:row>8</xdr:row>
      <xdr:rowOff>76200</xdr:rowOff>
    </xdr:from>
    <xdr:to>
      <xdr:col>2</xdr:col>
      <xdr:colOff>387350</xdr:colOff>
      <xdr:row>16</xdr:row>
      <xdr:rowOff>158750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5AD527E-C34D-4DD3-B4A7-A7B85803A0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1450" y="1549400"/>
              <a:ext cx="1822450" cy="1555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78</xdr:row>
      <xdr:rowOff>133350</xdr:rowOff>
    </xdr:from>
    <xdr:to>
      <xdr:col>8</xdr:col>
      <xdr:colOff>552450</xdr:colOff>
      <xdr:row>95</xdr:row>
      <xdr:rowOff>82550</xdr:rowOff>
    </xdr:to>
    <xdr:graphicFrame macro="">
      <xdr:nvGraphicFramePr>
        <xdr:cNvPr id="6" name="Chart 5">
          <a:extLst>
            <a:ext uri="{FF2B5EF4-FFF2-40B4-BE49-F238E27FC236}">
              <a16:creationId xmlns:a16="http://schemas.microsoft.com/office/drawing/2014/main" id="{8587D03B-6A9D-4370-955F-51B746CEA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168275</xdr:colOff>
      <xdr:row>38</xdr:row>
      <xdr:rowOff>161926</xdr:rowOff>
    </xdr:from>
    <xdr:to>
      <xdr:col>2</xdr:col>
      <xdr:colOff>390525</xdr:colOff>
      <xdr:row>48</xdr:row>
      <xdr:rowOff>120651</xdr:rowOff>
    </xdr:to>
    <mc:AlternateContent xmlns:mc="http://schemas.openxmlformats.org/markup-compatibility/2006" xmlns:a14="http://schemas.microsoft.com/office/drawing/2010/main">
      <mc:Choice Requires="a14">
        <xdr:graphicFrame macro="">
          <xdr:nvGraphicFramePr>
            <xdr:cNvPr id="7" name="Channel 2">
              <a:extLst>
                <a:ext uri="{FF2B5EF4-FFF2-40B4-BE49-F238E27FC236}">
                  <a16:creationId xmlns:a16="http://schemas.microsoft.com/office/drawing/2014/main" id="{1130DF9F-311B-45C7-8888-19FCE577EA39}"/>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168275" y="7159626"/>
              <a:ext cx="1828800" cy="18002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62</xdr:row>
      <xdr:rowOff>133350</xdr:rowOff>
    </xdr:from>
    <xdr:to>
      <xdr:col>8</xdr:col>
      <xdr:colOff>571500</xdr:colOff>
      <xdr:row>77</xdr:row>
      <xdr:rowOff>152400</xdr:rowOff>
    </xdr:to>
    <xdr:graphicFrame macro="">
      <xdr:nvGraphicFramePr>
        <xdr:cNvPr id="8" name="Chart 7">
          <a:extLst>
            <a:ext uri="{FF2B5EF4-FFF2-40B4-BE49-F238E27FC236}">
              <a16:creationId xmlns:a16="http://schemas.microsoft.com/office/drawing/2014/main" id="{0841FC53-A40C-4C2B-A298-DFEF383C0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49</xdr:row>
      <xdr:rowOff>19050</xdr:rowOff>
    </xdr:from>
    <xdr:to>
      <xdr:col>2</xdr:col>
      <xdr:colOff>390525</xdr:colOff>
      <xdr:row>63</xdr:row>
      <xdr:rowOff>6350</xdr:rowOff>
    </xdr:to>
    <mc:AlternateContent xmlns:mc="http://schemas.openxmlformats.org/markup-compatibility/2006" xmlns:a14="http://schemas.microsoft.com/office/drawing/2010/main">
      <mc:Choice Requires="a14">
        <xdr:graphicFrame macro="">
          <xdr:nvGraphicFramePr>
            <xdr:cNvPr id="9" name="ProductCategory 1">
              <a:extLst>
                <a:ext uri="{FF2B5EF4-FFF2-40B4-BE49-F238E27FC236}">
                  <a16:creationId xmlns:a16="http://schemas.microsoft.com/office/drawing/2014/main" id="{AC289AB9-C3A6-4A14-A966-F03C253B94DC}"/>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71450" y="9042400"/>
              <a:ext cx="1825625" cy="2565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64</xdr:row>
      <xdr:rowOff>19050</xdr:rowOff>
    </xdr:from>
    <xdr:to>
      <xdr:col>2</xdr:col>
      <xdr:colOff>361950</xdr:colOff>
      <xdr:row>78</xdr:row>
      <xdr:rowOff>6350</xdr:rowOff>
    </xdr:to>
    <mc:AlternateContent xmlns:mc="http://schemas.openxmlformats.org/markup-compatibility/2006" xmlns:a14="http://schemas.microsoft.com/office/drawing/2010/main">
      <mc:Choice Requires="a14">
        <xdr:graphicFrame macro="">
          <xdr:nvGraphicFramePr>
            <xdr:cNvPr id="11" name="OrderDate 1">
              <a:extLst>
                <a:ext uri="{FF2B5EF4-FFF2-40B4-BE49-F238E27FC236}">
                  <a16:creationId xmlns:a16="http://schemas.microsoft.com/office/drawing/2014/main" id="{CA6BEC6D-B8DC-4E0A-BE28-7050B4D8D657}"/>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142875" y="11804650"/>
              <a:ext cx="1825625" cy="2565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406400</xdr:colOff>
      <xdr:row>19</xdr:row>
      <xdr:rowOff>95250</xdr:rowOff>
    </xdr:from>
    <xdr:to>
      <xdr:col>17</xdr:col>
      <xdr:colOff>101600</xdr:colOff>
      <xdr:row>34</xdr:row>
      <xdr:rowOff>123825</xdr:rowOff>
    </xdr:to>
    <xdr:graphicFrame macro="">
      <xdr:nvGraphicFramePr>
        <xdr:cNvPr id="12" name="Chart 11">
          <a:extLst>
            <a:ext uri="{FF2B5EF4-FFF2-40B4-BE49-F238E27FC236}">
              <a16:creationId xmlns:a16="http://schemas.microsoft.com/office/drawing/2014/main" id="{1D72198C-6D28-4E6B-A14F-8923DEC40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123825</xdr:colOff>
      <xdr:row>78</xdr:row>
      <xdr:rowOff>123825</xdr:rowOff>
    </xdr:from>
    <xdr:to>
      <xdr:col>2</xdr:col>
      <xdr:colOff>342900</xdr:colOff>
      <xdr:row>95</xdr:row>
      <xdr:rowOff>130175</xdr:rowOff>
    </xdr:to>
    <mc:AlternateContent xmlns:mc="http://schemas.openxmlformats.org/markup-compatibility/2006" xmlns:a14="http://schemas.microsoft.com/office/drawing/2010/main">
      <mc:Choice Requires="a14">
        <xdr:graphicFrame macro="">
          <xdr:nvGraphicFramePr>
            <xdr:cNvPr id="13" name="Salesperson 2">
              <a:extLst>
                <a:ext uri="{FF2B5EF4-FFF2-40B4-BE49-F238E27FC236}">
                  <a16:creationId xmlns:a16="http://schemas.microsoft.com/office/drawing/2014/main" id="{70CA462F-EEEF-4489-A582-237BA0218872}"/>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23825" y="14487525"/>
              <a:ext cx="1825625" cy="3136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104775</xdr:colOff>
      <xdr:row>8</xdr:row>
      <xdr:rowOff>82551</xdr:rowOff>
    </xdr:from>
    <xdr:to>
      <xdr:col>11</xdr:col>
      <xdr:colOff>492125</xdr:colOff>
      <xdr:row>12</xdr:row>
      <xdr:rowOff>120651</xdr:rowOff>
    </xdr:to>
    <xdr:sp macro="" textlink="">
      <xdr:nvSpPr>
        <xdr:cNvPr id="14" name="Rectangle: Rounded Corners 13">
          <a:extLst>
            <a:ext uri="{FF2B5EF4-FFF2-40B4-BE49-F238E27FC236}">
              <a16:creationId xmlns:a16="http://schemas.microsoft.com/office/drawing/2014/main" id="{491B32CC-32A9-7C36-EC5C-887011D0C13C}"/>
            </a:ext>
          </a:extLst>
        </xdr:cNvPr>
        <xdr:cNvSpPr/>
      </xdr:nvSpPr>
      <xdr:spPr>
        <a:xfrm>
          <a:off x="6781800" y="1530351"/>
          <a:ext cx="160655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Revenue</a:t>
          </a:r>
        </a:p>
        <a:p>
          <a:pPr algn="l"/>
          <a:r>
            <a:rPr lang="en-US" sz="1600"/>
            <a:t>11,662,859.96</a:t>
          </a:r>
        </a:p>
        <a:p>
          <a:pPr algn="l"/>
          <a:endParaRPr lang="en-US" sz="1600"/>
        </a:p>
      </xdr:txBody>
    </xdr:sp>
    <xdr:clientData/>
  </xdr:twoCellAnchor>
  <xdr:twoCellAnchor>
    <xdr:from>
      <xdr:col>15</xdr:col>
      <xdr:colOff>292100</xdr:colOff>
      <xdr:row>8</xdr:row>
      <xdr:rowOff>82551</xdr:rowOff>
    </xdr:from>
    <xdr:to>
      <xdr:col>18</xdr:col>
      <xdr:colOff>82550</xdr:colOff>
      <xdr:row>12</xdr:row>
      <xdr:rowOff>95250</xdr:rowOff>
    </xdr:to>
    <xdr:sp macro="" textlink="">
      <xdr:nvSpPr>
        <xdr:cNvPr id="16" name="Rectangle: Rounded Corners 15">
          <a:extLst>
            <a:ext uri="{FF2B5EF4-FFF2-40B4-BE49-F238E27FC236}">
              <a16:creationId xmlns:a16="http://schemas.microsoft.com/office/drawing/2014/main" id="{1272D5E3-3D81-AA00-1B06-B01FD87CBC97}"/>
            </a:ext>
          </a:extLst>
        </xdr:cNvPr>
        <xdr:cNvSpPr/>
      </xdr:nvSpPr>
      <xdr:spPr>
        <a:xfrm>
          <a:off x="10626725" y="1530351"/>
          <a:ext cx="1619250" cy="736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Gross Profit 4,174,108.11 </a:t>
          </a:r>
          <a:r>
            <a:rPr lang="en-US" sz="1100"/>
            <a:t>	</a:t>
          </a:r>
          <a:endParaRPr lang="en-KE" sz="1100"/>
        </a:p>
      </xdr:txBody>
    </xdr:sp>
    <xdr:clientData/>
  </xdr:twoCellAnchor>
  <xdr:twoCellAnchor>
    <xdr:from>
      <xdr:col>11</xdr:col>
      <xdr:colOff>555624</xdr:colOff>
      <xdr:row>8</xdr:row>
      <xdr:rowOff>76200</xdr:rowOff>
    </xdr:from>
    <xdr:to>
      <xdr:col>15</xdr:col>
      <xdr:colOff>200025</xdr:colOff>
      <xdr:row>12</xdr:row>
      <xdr:rowOff>142875</xdr:rowOff>
    </xdr:to>
    <xdr:sp macro="" textlink="">
      <xdr:nvSpPr>
        <xdr:cNvPr id="17" name="Rectangle: Rounded Corners 16">
          <a:extLst>
            <a:ext uri="{FF2B5EF4-FFF2-40B4-BE49-F238E27FC236}">
              <a16:creationId xmlns:a16="http://schemas.microsoft.com/office/drawing/2014/main" id="{C5E2CEF7-8425-F7B3-7330-D78A0D4193C3}"/>
            </a:ext>
          </a:extLst>
        </xdr:cNvPr>
        <xdr:cNvSpPr/>
      </xdr:nvSpPr>
      <xdr:spPr>
        <a:xfrm>
          <a:off x="8451849" y="1524000"/>
          <a:ext cx="2082801" cy="790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Gross Profit Margin</a:t>
          </a:r>
        </a:p>
        <a:p>
          <a:pPr algn="ctr"/>
          <a:r>
            <a:rPr lang="en-US" sz="1800"/>
            <a:t>36%</a:t>
          </a:r>
          <a:endParaRPr lang="en-KE" sz="1800"/>
        </a:p>
      </xdr:txBody>
    </xdr:sp>
    <xdr:clientData/>
  </xdr:twoCellAnchor>
  <xdr:twoCellAnchor>
    <xdr:from>
      <xdr:col>9</xdr:col>
      <xdr:colOff>200025</xdr:colOff>
      <xdr:row>13</xdr:row>
      <xdr:rowOff>168275</xdr:rowOff>
    </xdr:from>
    <xdr:to>
      <xdr:col>13</xdr:col>
      <xdr:colOff>92075</xdr:colOff>
      <xdr:row>17</xdr:row>
      <xdr:rowOff>177801</xdr:rowOff>
    </xdr:to>
    <xdr:sp macro="" textlink="">
      <xdr:nvSpPr>
        <xdr:cNvPr id="18" name="Rectangle: Rounded Corners 17">
          <a:extLst>
            <a:ext uri="{FF2B5EF4-FFF2-40B4-BE49-F238E27FC236}">
              <a16:creationId xmlns:a16="http://schemas.microsoft.com/office/drawing/2014/main" id="{37C3E8A5-F5B5-1215-1C7A-9E5101E9A15D}"/>
            </a:ext>
          </a:extLst>
        </xdr:cNvPr>
        <xdr:cNvSpPr/>
      </xdr:nvSpPr>
      <xdr:spPr>
        <a:xfrm>
          <a:off x="6877050" y="2520950"/>
          <a:ext cx="2330450" cy="7334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Average</a:t>
          </a:r>
          <a:r>
            <a:rPr lang="en-US" sz="1800" baseline="0"/>
            <a:t> Order Value</a:t>
          </a:r>
        </a:p>
        <a:p>
          <a:pPr algn="ctr"/>
          <a:r>
            <a:rPr lang="en-KE" sz="1800"/>
            <a:t> 11,886.91 </a:t>
          </a:r>
        </a:p>
      </xdr:txBody>
    </xdr:sp>
    <xdr:clientData/>
  </xdr:twoCellAnchor>
  <xdr:twoCellAnchor>
    <xdr:from>
      <xdr:col>13</xdr:col>
      <xdr:colOff>441324</xdr:colOff>
      <xdr:row>13</xdr:row>
      <xdr:rowOff>130175</xdr:rowOff>
    </xdr:from>
    <xdr:to>
      <xdr:col>18</xdr:col>
      <xdr:colOff>139700</xdr:colOff>
      <xdr:row>18</xdr:row>
      <xdr:rowOff>63500</xdr:rowOff>
    </xdr:to>
    <xdr:sp macro="" textlink="">
      <xdr:nvSpPr>
        <xdr:cNvPr id="19" name="Rectangle: Rounded Corners 18">
          <a:extLst>
            <a:ext uri="{FF2B5EF4-FFF2-40B4-BE49-F238E27FC236}">
              <a16:creationId xmlns:a16="http://schemas.microsoft.com/office/drawing/2014/main" id="{29E0BDF1-519F-D20A-3461-80DF2A13AD50}"/>
            </a:ext>
          </a:extLst>
        </xdr:cNvPr>
        <xdr:cNvSpPr/>
      </xdr:nvSpPr>
      <xdr:spPr>
        <a:xfrm>
          <a:off x="9556749" y="2482850"/>
          <a:ext cx="2746376"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of On-Time Deliveries</a:t>
          </a:r>
        </a:p>
        <a:p>
          <a:pPr algn="ctr"/>
          <a:r>
            <a:rPr lang="en-KE" sz="1800"/>
            <a:t>28%</a:t>
          </a:r>
        </a:p>
      </xdr:txBody>
    </xdr:sp>
    <xdr:clientData/>
  </xdr:twoCellAnchor>
  <xdr:twoCellAnchor>
    <xdr:from>
      <xdr:col>9</xdr:col>
      <xdr:colOff>400050</xdr:colOff>
      <xdr:row>51</xdr:row>
      <xdr:rowOff>57150</xdr:rowOff>
    </xdr:from>
    <xdr:to>
      <xdr:col>17</xdr:col>
      <xdr:colOff>92075</xdr:colOff>
      <xdr:row>66</xdr:row>
      <xdr:rowOff>82550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78DC0865-F8A0-495D-9284-1B03AE3621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73900" y="9448800"/>
              <a:ext cx="4568825"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457200</xdr:colOff>
      <xdr:row>40</xdr:row>
      <xdr:rowOff>76200</xdr:rowOff>
    </xdr:from>
    <xdr:to>
      <xdr:col>8</xdr:col>
      <xdr:colOff>571500</xdr:colOff>
      <xdr:row>61</xdr:row>
      <xdr:rowOff>123825</xdr:rowOff>
    </xdr:to>
    <xdr:graphicFrame macro="">
      <xdr:nvGraphicFramePr>
        <xdr:cNvPr id="23" name="Chart 22">
          <a:extLst>
            <a:ext uri="{FF2B5EF4-FFF2-40B4-BE49-F238E27FC236}">
              <a16:creationId xmlns:a16="http://schemas.microsoft.com/office/drawing/2014/main" id="{6D5805C2-085A-442C-AD22-15DFC4BB0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390525</xdr:colOff>
      <xdr:row>35</xdr:row>
      <xdr:rowOff>28575</xdr:rowOff>
    </xdr:from>
    <xdr:to>
      <xdr:col>17</xdr:col>
      <xdr:colOff>85725</xdr:colOff>
      <xdr:row>50</xdr:row>
      <xdr:rowOff>44450</xdr:rowOff>
    </xdr:to>
    <xdr:graphicFrame macro="">
      <xdr:nvGraphicFramePr>
        <xdr:cNvPr id="24" name="Chart 23">
          <a:extLst>
            <a:ext uri="{FF2B5EF4-FFF2-40B4-BE49-F238E27FC236}">
              <a16:creationId xmlns:a16="http://schemas.microsoft.com/office/drawing/2014/main" id="{E917462E-2ED5-49E3-9FE2-C9A4371B9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104775</xdr:colOff>
      <xdr:row>96</xdr:row>
      <xdr:rowOff>9525</xdr:rowOff>
    </xdr:from>
    <xdr:to>
      <xdr:col>2</xdr:col>
      <xdr:colOff>323850</xdr:colOff>
      <xdr:row>110</xdr:row>
      <xdr:rowOff>0</xdr:rowOff>
    </xdr:to>
    <mc:AlternateContent xmlns:mc="http://schemas.openxmlformats.org/markup-compatibility/2006" xmlns:a14="http://schemas.microsoft.com/office/drawing/2010/main">
      <mc:Choice Requires="a14">
        <xdr:graphicFrame macro="">
          <xdr:nvGraphicFramePr>
            <xdr:cNvPr id="25" name="SKU 1">
              <a:extLst>
                <a:ext uri="{FF2B5EF4-FFF2-40B4-BE49-F238E27FC236}">
                  <a16:creationId xmlns:a16="http://schemas.microsoft.com/office/drawing/2014/main" id="{8E5270A2-8F6C-45B9-8C9E-C0E6ECE13C57}"/>
                </a:ext>
              </a:extLst>
            </xdr:cNvPr>
            <xdr:cNvGraphicFramePr/>
          </xdr:nvGraphicFramePr>
          <xdr:xfrm>
            <a:off x="0" y="0"/>
            <a:ext cx="0" cy="0"/>
          </xdr:xfrm>
          <a:graphic>
            <a:graphicData uri="http://schemas.microsoft.com/office/drawing/2010/slicer">
              <sle:slicer xmlns:sle="http://schemas.microsoft.com/office/drawing/2010/slicer" name="SKU 1"/>
            </a:graphicData>
          </a:graphic>
        </xdr:graphicFrame>
      </mc:Choice>
      <mc:Fallback xmlns="">
        <xdr:sp macro="" textlink="">
          <xdr:nvSpPr>
            <xdr:cNvPr id="0" name=""/>
            <xdr:cNvSpPr>
              <a:spLocks noTextEdit="1"/>
            </xdr:cNvSpPr>
          </xdr:nvSpPr>
          <xdr:spPr>
            <a:xfrm>
              <a:off x="104775" y="17687925"/>
              <a:ext cx="1825625"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447675</xdr:colOff>
      <xdr:row>67</xdr:row>
      <xdr:rowOff>123825</xdr:rowOff>
    </xdr:from>
    <xdr:to>
      <xdr:col>17</xdr:col>
      <xdr:colOff>142875</xdr:colOff>
      <xdr:row>82</xdr:row>
      <xdr:rowOff>139700</xdr:rowOff>
    </xdr:to>
    <xdr:graphicFrame macro="">
      <xdr:nvGraphicFramePr>
        <xdr:cNvPr id="26" name="Chart 25">
          <a:extLst>
            <a:ext uri="{FF2B5EF4-FFF2-40B4-BE49-F238E27FC236}">
              <a16:creationId xmlns:a16="http://schemas.microsoft.com/office/drawing/2014/main" id="{1D7D28AD-D517-4DFA-8B5F-926963BEE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641350</xdr:colOff>
      <xdr:row>2</xdr:row>
      <xdr:rowOff>1</xdr:rowOff>
    </xdr:from>
    <xdr:to>
      <xdr:col>15</xdr:col>
      <xdr:colOff>298450</xdr:colOff>
      <xdr:row>6</xdr:row>
      <xdr:rowOff>127001</xdr:rowOff>
    </xdr:to>
    <xdr:sp macro="" textlink="">
      <xdr:nvSpPr>
        <xdr:cNvPr id="27" name="Rectangle: Rounded Corners 26">
          <a:extLst>
            <a:ext uri="{FF2B5EF4-FFF2-40B4-BE49-F238E27FC236}">
              <a16:creationId xmlns:a16="http://schemas.microsoft.com/office/drawing/2014/main" id="{2C711C43-056B-768E-BE5D-DA1B57752567}"/>
            </a:ext>
          </a:extLst>
        </xdr:cNvPr>
        <xdr:cNvSpPr/>
      </xdr:nvSpPr>
      <xdr:spPr>
        <a:xfrm>
          <a:off x="1498600" y="368301"/>
          <a:ext cx="9131300" cy="863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SALES OPERATIONS&amp;</a:t>
          </a:r>
          <a:r>
            <a:rPr lang="en-US" sz="4400" baseline="0"/>
            <a:t> ANALYSIS</a:t>
          </a:r>
          <a:endParaRPr lang="en-KE" sz="4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704850</xdr:colOff>
      <xdr:row>2</xdr:row>
      <xdr:rowOff>163512</xdr:rowOff>
    </xdr:from>
    <xdr:to>
      <xdr:col>10</xdr:col>
      <xdr:colOff>434975</xdr:colOff>
      <xdr:row>18</xdr:row>
      <xdr:rowOff>11112</xdr:rowOff>
    </xdr:to>
    <xdr:graphicFrame macro="">
      <xdr:nvGraphicFramePr>
        <xdr:cNvPr id="6" name="Chart 5">
          <a:extLst>
            <a:ext uri="{FF2B5EF4-FFF2-40B4-BE49-F238E27FC236}">
              <a16:creationId xmlns:a16="http://schemas.microsoft.com/office/drawing/2014/main" id="{04E1A2EE-1B13-2608-E9EA-7B7EA898A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352425</xdr:colOff>
      <xdr:row>5</xdr:row>
      <xdr:rowOff>26987</xdr:rowOff>
    </xdr:from>
    <xdr:to>
      <xdr:col>13</xdr:col>
      <xdr:colOff>47625</xdr:colOff>
      <xdr:row>20</xdr:row>
      <xdr:rowOff>49212</xdr:rowOff>
    </xdr:to>
    <xdr:graphicFrame macro="">
      <xdr:nvGraphicFramePr>
        <xdr:cNvPr id="2" name="Chart 1">
          <a:extLst>
            <a:ext uri="{FF2B5EF4-FFF2-40B4-BE49-F238E27FC236}">
              <a16:creationId xmlns:a16="http://schemas.microsoft.com/office/drawing/2014/main" id="{AC088C22-B12A-68CD-BD62-22E4CEDB9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492125</xdr:colOff>
      <xdr:row>9</xdr:row>
      <xdr:rowOff>101600</xdr:rowOff>
    </xdr:from>
    <xdr:to>
      <xdr:col>16</xdr:col>
      <xdr:colOff>495300</xdr:colOff>
      <xdr:row>23</xdr:row>
      <xdr:rowOff>95250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0A73133-C051-FBEB-60DD-CD43B632E5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90075" y="1758950"/>
              <a:ext cx="1831975" cy="2571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228600</xdr:colOff>
      <xdr:row>11</xdr:row>
      <xdr:rowOff>80962</xdr:rowOff>
    </xdr:from>
    <xdr:to>
      <xdr:col>13</xdr:col>
      <xdr:colOff>533400</xdr:colOff>
      <xdr:row>26</xdr:row>
      <xdr:rowOff>109537</xdr:rowOff>
    </xdr:to>
    <xdr:graphicFrame macro="">
      <xdr:nvGraphicFramePr>
        <xdr:cNvPr id="2" name="Chart 1">
          <a:extLst>
            <a:ext uri="{FF2B5EF4-FFF2-40B4-BE49-F238E27FC236}">
              <a16:creationId xmlns:a16="http://schemas.microsoft.com/office/drawing/2014/main" id="{20CC4617-9030-162D-6EFE-077A8EC4F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577850</xdr:colOff>
      <xdr:row>12</xdr:row>
      <xdr:rowOff>82550</xdr:rowOff>
    </xdr:from>
    <xdr:to>
      <xdr:col>4</xdr:col>
      <xdr:colOff>387350</xdr:colOff>
      <xdr:row>26</xdr:row>
      <xdr:rowOff>76200</xdr:rowOff>
    </xdr:to>
    <mc:AlternateContent xmlns:mc="http://schemas.openxmlformats.org/markup-compatibility/2006" xmlns:a14="http://schemas.microsoft.com/office/drawing/2010/main">
      <mc:Choice Requires="a14">
        <xdr:graphicFrame macro="">
          <xdr:nvGraphicFramePr>
            <xdr:cNvPr id="3" name="Channel 1">
              <a:extLst>
                <a:ext uri="{FF2B5EF4-FFF2-40B4-BE49-F238E27FC236}">
                  <a16:creationId xmlns:a16="http://schemas.microsoft.com/office/drawing/2014/main" id="{1BF44625-B171-B31A-82F6-77D8162384C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070100" y="2292350"/>
              <a:ext cx="1828800" cy="2571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92075</xdr:colOff>
      <xdr:row>5</xdr:row>
      <xdr:rowOff>26987</xdr:rowOff>
    </xdr:from>
    <xdr:to>
      <xdr:col>13</xdr:col>
      <xdr:colOff>396875</xdr:colOff>
      <xdr:row>20</xdr:row>
      <xdr:rowOff>49212</xdr:rowOff>
    </xdr:to>
    <xdr:graphicFrame macro="">
      <xdr:nvGraphicFramePr>
        <xdr:cNvPr id="2" name="Chart 1">
          <a:extLst>
            <a:ext uri="{FF2B5EF4-FFF2-40B4-BE49-F238E27FC236}">
              <a16:creationId xmlns:a16="http://schemas.microsoft.com/office/drawing/2014/main" id="{FB9C40E2-357A-3ACB-E499-845DF914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539750</xdr:colOff>
      <xdr:row>14</xdr:row>
      <xdr:rowOff>34925</xdr:rowOff>
    </xdr:from>
    <xdr:to>
      <xdr:col>3</xdr:col>
      <xdr:colOff>76200</xdr:colOff>
      <xdr:row>28</xdr:row>
      <xdr:rowOff>25400</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36B861C-4856-3874-163B-FA050764535C}"/>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149350" y="2613025"/>
              <a:ext cx="1828800"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228600</xdr:colOff>
      <xdr:row>11</xdr:row>
      <xdr:rowOff>80962</xdr:rowOff>
    </xdr:from>
    <xdr:to>
      <xdr:col>13</xdr:col>
      <xdr:colOff>533400</xdr:colOff>
      <xdr:row>26</xdr:row>
      <xdr:rowOff>109537</xdr:rowOff>
    </xdr:to>
    <xdr:graphicFrame macro="">
      <xdr:nvGraphicFramePr>
        <xdr:cNvPr id="2" name="Chart 1">
          <a:extLst>
            <a:ext uri="{FF2B5EF4-FFF2-40B4-BE49-F238E27FC236}">
              <a16:creationId xmlns:a16="http://schemas.microsoft.com/office/drawing/2014/main" id="{F73CF858-A5DD-25FB-16CB-E39A5A0D0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587375</xdr:colOff>
      <xdr:row>9</xdr:row>
      <xdr:rowOff>101600</xdr:rowOff>
    </xdr:from>
    <xdr:to>
      <xdr:col>17</xdr:col>
      <xdr:colOff>590550</xdr:colOff>
      <xdr:row>23</xdr:row>
      <xdr:rowOff>95250</xdr:rowOff>
    </xdr:to>
    <mc:AlternateContent xmlns:mc="http://schemas.openxmlformats.org/markup-compatibility/2006" xmlns:a14="http://schemas.microsoft.com/office/drawing/2010/main">
      <mc:Choice Requires="a14">
        <xdr:graphicFrame macro="">
          <xdr:nvGraphicFramePr>
            <xdr:cNvPr id="3" name="OrderDate">
              <a:extLst>
                <a:ext uri="{FF2B5EF4-FFF2-40B4-BE49-F238E27FC236}">
                  <a16:creationId xmlns:a16="http://schemas.microsoft.com/office/drawing/2014/main" id="{833078FD-2421-D39D-55C0-ECBE44BEC037}"/>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9858375" y="1758950"/>
              <a:ext cx="1831975" cy="2571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501650</xdr:colOff>
      <xdr:row>12</xdr:row>
      <xdr:rowOff>44449</xdr:rowOff>
    </xdr:from>
    <xdr:to>
      <xdr:col>11</xdr:col>
      <xdr:colOff>501650</xdr:colOff>
      <xdr:row>29</xdr:row>
      <xdr:rowOff>57149</xdr:rowOff>
    </xdr:to>
    <mc:AlternateContent xmlns:mc="http://schemas.openxmlformats.org/markup-compatibility/2006" xmlns:a14="http://schemas.microsoft.com/office/drawing/2010/main">
      <mc:Choice Requires="a14">
        <xdr:graphicFrame macro="">
          <xdr:nvGraphicFramePr>
            <xdr:cNvPr id="2" name="Salesperson 1">
              <a:extLst>
                <a:ext uri="{FF2B5EF4-FFF2-40B4-BE49-F238E27FC236}">
                  <a16:creationId xmlns:a16="http://schemas.microsoft.com/office/drawing/2014/main" id="{E533235D-8D37-6AEC-24EA-E966BC6A0EBF}"/>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6451600" y="2254249"/>
              <a:ext cx="1828800" cy="3143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4</xdr:row>
      <xdr:rowOff>169862</xdr:rowOff>
    </xdr:from>
    <xdr:to>
      <xdr:col>20</xdr:col>
      <xdr:colOff>38100</xdr:colOff>
      <xdr:row>20</xdr:row>
      <xdr:rowOff>11112</xdr:rowOff>
    </xdr:to>
    <xdr:graphicFrame macro="">
      <xdr:nvGraphicFramePr>
        <xdr:cNvPr id="3" name="Chart 2">
          <a:extLst>
            <a:ext uri="{FF2B5EF4-FFF2-40B4-BE49-F238E27FC236}">
              <a16:creationId xmlns:a16="http://schemas.microsoft.com/office/drawing/2014/main" id="{99B7F6C9-57B6-FF6A-EF1A-C2F34E443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695325</xdr:colOff>
      <xdr:row>11</xdr:row>
      <xdr:rowOff>84137</xdr:rowOff>
    </xdr:from>
    <xdr:to>
      <xdr:col>15</xdr:col>
      <xdr:colOff>225425</xdr:colOff>
      <xdr:row>26</xdr:row>
      <xdr:rowOff>106362</xdr:rowOff>
    </xdr:to>
    <xdr:graphicFrame macro="">
      <xdr:nvGraphicFramePr>
        <xdr:cNvPr id="2" name="Chart 1">
          <a:extLst>
            <a:ext uri="{FF2B5EF4-FFF2-40B4-BE49-F238E27FC236}">
              <a16:creationId xmlns:a16="http://schemas.microsoft.com/office/drawing/2014/main" id="{7949AC2D-3A2D-8C54-92AD-0BD5401EC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15875</xdr:colOff>
      <xdr:row>14</xdr:row>
      <xdr:rowOff>92075</xdr:rowOff>
    </xdr:from>
    <xdr:to>
      <xdr:col>4</xdr:col>
      <xdr:colOff>133350</xdr:colOff>
      <xdr:row>28</xdr:row>
      <xdr:rowOff>82550</xdr:rowOff>
    </xdr:to>
    <mc:AlternateContent xmlns:mc="http://schemas.openxmlformats.org/markup-compatibility/2006" xmlns:a14="http://schemas.microsoft.com/office/drawing/2010/main">
      <mc:Choice Requires="a14">
        <xdr:graphicFrame macro="">
          <xdr:nvGraphicFramePr>
            <xdr:cNvPr id="3" name="SKU">
              <a:extLst>
                <a:ext uri="{FF2B5EF4-FFF2-40B4-BE49-F238E27FC236}">
                  <a16:creationId xmlns:a16="http://schemas.microsoft.com/office/drawing/2014/main" id="{C677606B-7C2D-2567-0E82-5EE2B9210064}"/>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mlns="">
        <xdr:sp macro="" textlink="">
          <xdr:nvSpPr>
            <xdr:cNvPr id="0" name=""/>
            <xdr:cNvSpPr>
              <a:spLocks noTextEdit="1"/>
            </xdr:cNvSpPr>
          </xdr:nvSpPr>
          <xdr:spPr>
            <a:xfrm>
              <a:off x="1127125" y="3603625"/>
              <a:ext cx="1825625" cy="2568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7.701204398145" createdVersion="8" refreshedVersion="8" minRefreshableVersion="3" recordCount="630" xr:uid="{E5AC4CA2-3A3B-4F5E-907D-F6420CAFC27A}">
  <cacheSource type="worksheet">
    <worksheetSource ref="A1:Z631" sheet="Data"/>
  </cacheSource>
  <cacheFields count="27">
    <cacheField name="OrderID" numFmtId="0">
      <sharedItems count="630">
        <s v="ORD-2023-723587"/>
        <s v="ORD-2023-689428"/>
        <s v="ORD-2023-884192"/>
        <s v="ORD-2023-700699"/>
        <s v="ORD-2023-382017"/>
        <s v="ORD-2023-112666"/>
        <s v="ORD-2023-780206"/>
        <s v="ORD-2023-586275"/>
        <s v="ORD-2023-613317"/>
        <s v="ORD-2023-811823"/>
        <s v="ORD-2023-430904"/>
        <s v="ORD-2023-856322"/>
        <s v="ORD-2023-575584"/>
        <s v="ORD-2023-855675"/>
        <s v="ORD-2023-271836"/>
        <s v="ORD-2023-159379"/>
        <s v="ORD-2023-960380"/>
        <s v="ORD-2023-480975"/>
        <s v="ORD-2023-884625"/>
        <s v="ORD-2023-848013"/>
        <s v="ORD-2023-156396"/>
        <s v="ORD-2023-735274"/>
        <s v="ORD-2023-744942"/>
        <s v="ORD-2023-562894"/>
        <s v="ORD-2023-286994"/>
        <s v="ORD-2023-619493"/>
        <s v="ORD-2023-888245"/>
        <s v="ORD-2023-422918"/>
        <s v="ORD-2023-472078"/>
        <s v="ORD-2023-373538"/>
        <s v="ORD-2023-869884"/>
        <s v="ORD-2023-139236"/>
        <s v="ORD-2023-276806"/>
        <s v="ORD-2023-854471"/>
        <s v="ORD-2023-949710"/>
        <s v="ORD-2023-281890"/>
        <s v="ORD-2023-946143"/>
        <s v="ORD-2023-799597"/>
        <s v="ORD-2023-933238"/>
        <s v="ORD-2023-548874"/>
        <s v="ORD-2023-835010"/>
        <s v="ORD-2023-240507"/>
        <s v="ORD-2023-864121"/>
        <s v="ORD-2023-613287"/>
        <s v="ORD-2023-419187"/>
        <s v="ORD-2023-727290"/>
        <s v="ORD-2023-987700"/>
        <s v="ORD-2023-545150"/>
        <s v="ORD-2023-868734"/>
        <s v="ORD-2023-294716"/>
        <s v="ORD-2023-766015"/>
        <s v="ORD-2023-867285"/>
        <s v="ORD-2023-867166"/>
        <s v="ORD-2023-356427"/>
        <s v="ORD-2023-897079"/>
        <s v="ORD-2023-701153"/>
        <s v="ORD-2023-664790"/>
        <s v="ORD-2023-609394"/>
        <s v="ORD-2023-157993"/>
        <s v="ORD-2023-256951"/>
        <s v="ORD-2023-752962"/>
        <s v="ORD-2023-308124"/>
        <s v="ORD-2023-747341"/>
        <s v="ORD-2023-390998"/>
        <s v="ORD-2023-501220"/>
        <s v="ORD-2023-809913"/>
        <s v="ORD-2023-937291"/>
        <s v="ORD-2023-107265"/>
        <s v="ORD-2023-340056"/>
        <s v="ORD-2023-125739"/>
        <s v="ORD-2023-880296"/>
        <s v="ORD-2023-573656"/>
        <s v="ORD-2023-906481"/>
        <s v="ORD-2023-378676"/>
        <s v="ORD-2023-177794"/>
        <s v="ORD-2023-898009"/>
        <s v="ORD-2023-632893"/>
        <s v="ORD-2023-363031"/>
        <s v="ORD-2023-144816"/>
        <s v="ORD-2023-957692"/>
        <s v="ORD-2023-913592"/>
        <s v="ORD-2023-472050"/>
        <s v="ORD-2023-251563"/>
        <s v="ORD-2023-867836"/>
        <s v="ORD-2023-931633"/>
        <s v="ORD-2023-704111"/>
        <s v="ORD-2023-184577"/>
        <s v="ORD-2023-382272"/>
        <s v="ORD-2023-638181"/>
        <s v="ORD-2023-676553"/>
        <s v="ORD-2023-603650"/>
        <s v="ORD-2023-588455"/>
        <s v="ORD-2023-172095"/>
        <s v="ORD-2023-521280"/>
        <s v="ORD-2023-927385"/>
        <s v="ORD-2023-349264"/>
        <s v="ORD-2023-868460"/>
        <s v="ORD-2023-244375"/>
        <s v="ORD-2023-386663"/>
        <s v="ORD-2023-427304"/>
        <s v="ORD-2023-536542"/>
        <s v="ORD-2023-769774"/>
        <s v="ORD-2023-290279"/>
        <s v="ORD-2023-173313"/>
        <s v="ORD-2023-715175"/>
        <s v="ORD-2023-651638"/>
        <s v="ORD-2023-594955"/>
        <s v="ORD-2023-602648"/>
        <s v="ORD-2023-434071"/>
        <s v="ORD-2023-399631"/>
        <s v="ORD-2023-890605"/>
        <s v="ORD-2023-128295"/>
        <s v="ORD-2023-374486"/>
        <s v="ORD-2023-921939"/>
        <s v="ORD-2023-610470"/>
        <s v="ORD-2023-258768"/>
        <s v="ORD-2023-215819"/>
        <s v="ORD-2023-453699"/>
        <s v="ORD-2023-159821"/>
        <s v="ORD-2023-920483"/>
        <s v="ORD-2023-497686"/>
        <s v="ORD-2023-309373"/>
        <s v="ORD-2023-621393"/>
        <s v="ORD-2023-286720"/>
        <s v="ORD-2023-539967"/>
        <s v="ORD-2023-292714"/>
        <s v="ORD-2023-479747"/>
        <s v="ORD-2023-825084"/>
        <s v="ORD-2023-569862"/>
        <s v="ORD-2023-369150"/>
        <s v="ORD-2023-594700"/>
        <s v="ORD-2023-825836"/>
        <s v="ORD-2023-109927"/>
        <s v="ORD-2023-369160"/>
        <s v="ORD-2023-261081"/>
        <s v="ORD-2023-660608"/>
        <s v="ORD-2023-912395"/>
        <s v="ORD-2023-451931"/>
        <s v="ORD-2023-290237"/>
        <s v="ORD-2023-713614"/>
        <s v="ORD-2023-885216"/>
        <s v="ORD-2023-253245"/>
        <s v="ORD-2023-548934"/>
        <s v="ORD-2023-630430"/>
        <s v="ORD-2023-197661"/>
        <s v="ORD-2023-867175"/>
        <s v="ORD-2023-883066"/>
        <s v="ORD-2023-274037"/>
        <s v="ORD-2023-133848"/>
        <s v="ORD-2023-525643"/>
        <s v="ORD-2023-343322"/>
        <s v="ORD-2023-749324"/>
        <s v="ORD-2023-334213"/>
        <s v="ORD-2023-603238"/>
        <s v="ORD-2023-375011"/>
        <s v="ORD-2023-640022"/>
        <s v="ORD-2023-732585"/>
        <s v="ORD-2023-713375"/>
        <s v="ORD-2023-664749"/>
        <s v="ORD-2023-987081"/>
        <s v="ORD-2023-243704"/>
        <s v="ORD-2023-235230"/>
        <s v="ORD-2023-944052"/>
        <s v="ORD-2023-755337"/>
        <s v="ORD-2023-488227"/>
        <s v="ORD-2023-192324"/>
        <s v="ORD-2023-552115"/>
        <s v="ORD-2023-722117"/>
        <s v="ORD-2023-517216"/>
        <s v="ORD-2023-842820"/>
        <s v="ORD-2023-450877"/>
        <s v="ORD-2023-271918"/>
        <s v="ORD-2023-132101"/>
        <s v="ORD-2023-568013"/>
        <s v="ORD-2023-619385"/>
        <s v="ORD-2023-302041"/>
        <s v="ORD-2023-166668"/>
        <s v="ORD-2023-474313"/>
        <s v="ORD-2023-304451"/>
        <s v="ORD-2023-502205"/>
        <s v="ORD-2023-368449"/>
        <s v="ORD-2023-888140"/>
        <s v="ORD-2023-623293"/>
        <s v="ORD-2023-925146"/>
        <s v="ORD-2023-378104"/>
        <s v="ORD-2023-659070"/>
        <s v="ORD-2023-667815"/>
        <s v="ORD-2023-163610"/>
        <s v="ORD-2023-597666"/>
        <s v="ORD-2023-406606"/>
        <s v="ORD-2023-835226"/>
        <s v="ORD-2023-211715"/>
        <s v="ORD-2023-842488"/>
        <s v="ORD-2023-653343"/>
        <s v="ORD-2023-619570"/>
        <s v="ORD-2023-181257"/>
        <s v="ORD-2023-455933"/>
        <s v="ORD-2023-576840"/>
        <s v="ORD-2023-561823"/>
        <s v="ORD-2023-975863"/>
        <s v="ORD-2023-964434"/>
        <s v="ORD-2023-825495"/>
        <s v="ORD-2023-191563"/>
        <s v="ORD-2023-573146"/>
        <s v="ORD-2023-212701"/>
        <s v="ORD-2023-239789"/>
        <s v="ORD-2023-596758"/>
        <s v="ORD-2023-581799"/>
        <s v="ORD-2023-824839"/>
        <s v="ORD-2023-961864"/>
        <s v="ORD-2023-674887"/>
        <s v="ORD-2023-728177"/>
        <s v="ORD-2023-126505"/>
        <s v="ORD-2023-195665"/>
        <s v="ORD-2023-431328"/>
        <s v="ORD-2023-208944"/>
        <s v="ORD-2023-841426"/>
        <s v="ORD-2023-249805"/>
        <s v="ORD-2023-580751"/>
        <s v="ORD-2023-967239"/>
        <s v="ORD-2023-813340"/>
        <s v="ORD-2023-974506"/>
        <s v="ORD-2023-178249"/>
        <s v="ORD-2023-808024"/>
        <s v="ORD-2024-719055"/>
        <s v="ORD-2024-921935"/>
        <s v="ORD-2024-355095"/>
        <s v="ORD-2024-105586"/>
        <s v="ORD-2024-872291"/>
        <s v="ORD-2024-885858"/>
        <s v="ORD-2024-281211"/>
        <s v="ORD-2024-296582"/>
        <s v="ORD-2024-999607"/>
        <s v="ORD-2024-153053"/>
        <s v="ORD-2024-851883"/>
        <s v="ORD-2024-206311"/>
        <s v="ORD-2024-366010"/>
        <s v="ORD-2024-749242"/>
        <s v="ORD-2024-892173"/>
        <s v="ORD-2024-890180"/>
        <s v="ORD-2024-604471"/>
        <s v="ORD-2024-207669"/>
        <s v="ORD-2024-499009"/>
        <s v="ORD-2024-532184"/>
        <s v="ORD-2024-838925"/>
        <s v="ORD-2024-210687"/>
        <s v="ORD-2024-277241"/>
        <s v="ORD-2024-764468"/>
        <s v="ORD-2024-331408"/>
        <s v="ORD-2024-960952"/>
        <s v="ORD-2024-760799"/>
        <s v="ORD-2024-647571"/>
        <s v="ORD-2024-979401"/>
        <s v="ORD-2024-968374"/>
        <s v="ORD-2024-232632"/>
        <s v="ORD-2024-544865"/>
        <s v="ORD-2024-647473"/>
        <s v="ORD-2024-206121"/>
        <s v="ORD-2024-201376"/>
        <s v="ORD-2024-129345"/>
        <s v="ORD-2024-468655"/>
        <s v="ORD-2024-437164"/>
        <s v="ORD-2024-811752"/>
        <s v="ORD-2024-515105"/>
        <s v="ORD-2024-516704"/>
        <s v="ORD-2024-197852"/>
        <s v="ORD-2024-961501"/>
        <s v="ORD-2024-792137"/>
        <s v="ORD-2024-868223"/>
        <s v="ORD-2024-419248"/>
        <s v="ORD-2024-853298"/>
        <s v="ORD-2024-692673"/>
        <s v="ORD-2024-356812"/>
        <s v="ORD-2024-343877"/>
        <s v="ORD-2024-251426"/>
        <s v="ORD-2024-907733"/>
        <s v="ORD-2024-906395"/>
        <s v="ORD-2024-275203"/>
        <s v="ORD-2024-687073"/>
        <s v="ORD-2024-243988"/>
        <s v="ORD-2024-220234"/>
        <s v="ORD-2024-834983"/>
        <s v="ORD-2024-287210"/>
        <s v="ORD-2024-446030"/>
        <s v="ORD-2024-207096"/>
        <s v="ORD-2024-948800"/>
        <s v="ORD-2024-897622"/>
        <s v="ORD-2024-745822"/>
        <s v="ORD-2024-219735"/>
        <s v="ORD-2024-510591"/>
        <s v="ORD-2024-211453"/>
        <s v="ORD-2024-310809"/>
        <s v="ORD-2024-594592"/>
        <s v="ORD-2024-332076"/>
        <s v="ORD-2024-939873"/>
        <s v="ORD-2024-364080"/>
        <s v="ORD-2024-629525"/>
        <s v="ORD-2024-599522"/>
        <s v="ORD-2024-247032"/>
        <s v="ORD-2024-567435"/>
        <s v="ORD-2024-833375"/>
        <s v="ORD-2024-855600"/>
        <s v="ORD-2024-402240"/>
        <s v="ORD-2024-851993"/>
        <s v="ORD-2024-589570"/>
        <s v="ORD-2024-202166"/>
        <s v="ORD-2024-527858"/>
        <s v="ORD-2024-641220"/>
        <s v="ORD-2024-973420"/>
        <s v="ORD-2024-548345"/>
        <s v="ORD-2024-690270"/>
        <s v="ORD-2024-375848"/>
        <s v="ORD-2024-555229"/>
        <s v="ORD-2024-500109"/>
        <s v="ORD-2024-503082"/>
        <s v="ORD-2024-389336"/>
        <s v="ORD-2024-155337"/>
        <s v="ORD-2024-347736"/>
        <s v="ORD-2024-329104"/>
        <s v="ORD-2024-403664"/>
        <s v="ORD-2024-970848"/>
        <s v="ORD-2024-638884"/>
        <s v="ORD-2024-578646"/>
        <s v="ORD-2024-819979"/>
        <s v="ORD-2024-605518"/>
        <s v="ORD-2024-166150"/>
        <s v="ORD-2024-819778"/>
        <s v="ORD-2024-886939"/>
        <s v="ORD-2024-134084"/>
        <s v="ORD-2024-713332"/>
        <s v="ORD-2024-465898"/>
        <s v="ORD-2024-626925"/>
        <s v="ORD-2024-584090"/>
        <s v="ORD-2024-427031"/>
        <s v="ORD-2024-909942"/>
        <s v="ORD-2024-223618"/>
        <s v="ORD-2024-566589"/>
        <s v="ORD-2024-389102"/>
        <s v="ORD-2024-580808"/>
        <s v="ORD-2024-572312"/>
        <s v="ORD-2024-878493"/>
        <s v="ORD-2024-787018"/>
        <s v="ORD-2024-704056"/>
        <s v="ORD-2024-341535"/>
        <s v="ORD-2024-451005"/>
        <s v="ORD-2024-919471"/>
        <s v="ORD-2024-215294"/>
        <s v="ORD-2024-442776"/>
        <s v="ORD-2024-892879"/>
        <s v="ORD-2024-468615"/>
        <s v="ORD-2024-571797"/>
        <s v="ORD-2024-892908"/>
        <s v="ORD-2024-202877"/>
        <s v="ORD-2024-605629"/>
        <s v="ORD-2024-398783"/>
        <s v="ORD-2024-855073"/>
        <s v="ORD-2024-678110"/>
        <s v="ORD-2024-798002"/>
        <s v="ORD-2024-901115"/>
        <s v="ORD-2024-817997"/>
        <s v="ORD-2024-301260"/>
        <s v="ORD-2024-947056"/>
        <s v="ORD-2024-689872"/>
        <s v="ORD-2024-433936"/>
        <s v="ORD-2024-136321"/>
        <s v="ORD-2024-915495"/>
        <s v="ORD-2024-307849"/>
        <s v="ORD-2024-212990"/>
        <s v="ORD-2024-626750"/>
        <s v="ORD-2024-286833"/>
        <s v="ORD-2024-585443"/>
        <s v="ORD-2024-353078"/>
        <s v="ORD-2024-993481"/>
        <s v="ORD-2024-792353"/>
        <s v="ORD-2024-550400"/>
        <s v="ORD-2024-167215"/>
        <s v="ORD-2024-745424"/>
        <s v="ORD-2024-553449"/>
        <s v="ORD-2024-635626"/>
        <s v="ORD-2024-446699"/>
        <s v="ORD-2024-542244"/>
        <s v="ORD-2024-536442"/>
        <s v="ORD-2024-664046"/>
        <s v="ORD-2024-423853"/>
        <s v="ORD-2024-207792"/>
        <s v="ORD-2024-594527"/>
        <s v="ORD-2024-569164"/>
        <s v="ORD-2024-972999"/>
        <s v="ORD-2024-581530"/>
        <s v="ORD-2024-862371"/>
        <s v="ORD-2024-988736"/>
        <s v="ORD-2024-500890"/>
        <s v="ORD-2024-728474"/>
        <s v="ORD-2024-687100"/>
        <s v="ORD-2024-805860"/>
        <s v="ORD-2024-771210"/>
        <s v="ORD-2024-777623"/>
        <s v="ORD-2024-444710"/>
        <s v="ORD-2024-438404"/>
        <s v="ORD-2024-510520"/>
        <s v="ORD-2024-686712"/>
        <s v="ORD-2024-237478"/>
        <s v="ORD-2024-997336"/>
        <s v="ORD-2024-500511"/>
        <s v="ORD-2024-942981"/>
        <s v="ORD-2024-964950"/>
        <s v="ORD-2024-720756"/>
        <s v="ORD-2024-756884"/>
        <s v="ORD-2024-966651"/>
        <s v="ORD-2024-792558"/>
        <s v="ORD-2024-260775"/>
        <s v="ORD-2024-741404"/>
        <s v="ORD-2024-640340"/>
        <s v="ORD-2024-358795"/>
        <s v="ORD-2024-668926"/>
        <s v="ORD-2024-732543"/>
        <s v="ORD-2024-250862"/>
        <s v="ORD-2024-998320"/>
        <s v="ORD-2024-350100"/>
        <s v="ORD-2024-333192"/>
        <s v="ORD-2024-357368"/>
        <s v="ORD-2024-381197"/>
        <s v="ORD-2024-588972"/>
        <s v="ORD-2024-247979"/>
        <s v="ORD-2024-766980"/>
        <s v="ORD-2024-925626"/>
        <s v="ORD-2024-170021"/>
        <s v="ORD-2024-468501"/>
        <s v="ORD-2024-225829"/>
        <s v="ORD-2024-320972"/>
        <s v="ORD-2024-496601"/>
        <s v="ORD-2024-776337"/>
        <s v="ORD-2024-371409"/>
        <s v="ORD-2024-783321"/>
        <s v="ORD-2024-192263"/>
        <s v="ORD-2024-508213"/>
        <s v="ORD-2024-961756"/>
        <s v="ORD-2024-266562"/>
        <s v="ORD-2024-655710"/>
        <s v="ORD-2024-788105"/>
        <s v="ORD-2024-331226"/>
        <s v="ORD-2024-866535"/>
        <s v="ORD-2024-478165"/>
        <s v="ORD-2024-140633"/>
        <s v="ORD-2024-382152"/>
        <s v="ORD-2024-206081"/>
        <s v="ORD-2024-837651"/>
        <s v="ORD-2024-102866"/>
        <s v="ORD-2024-836421"/>
        <s v="ORD-2024-800947"/>
        <s v="ORD-2024-289089"/>
        <s v="ORD-2024-930679"/>
        <s v="ORD-2024-390951"/>
        <s v="ORD-2024-164288"/>
        <s v="ORD-2024-902741"/>
        <s v="ORD-2024-972318"/>
        <s v="ORD-2024-336584"/>
        <s v="ORD-2024-170313"/>
        <s v="ORD-2024-257550"/>
        <s v="ORD-2024-474999"/>
        <s v="ORD-2024-651852"/>
        <s v="ORD-2024-165942"/>
        <s v="ORD-2025-515515"/>
        <s v="ORD-2025-137394"/>
        <s v="ORD-2025-636162"/>
        <s v="ORD-2025-354346"/>
        <s v="ORD-2025-149156"/>
        <s v="ORD-2025-653781"/>
        <s v="ORD-2025-542939"/>
        <s v="ORD-2025-649239"/>
        <s v="ORD-2025-909340"/>
        <s v="ORD-2025-578007"/>
        <s v="ORD-2025-146850"/>
        <s v="ORD-2025-415018"/>
        <s v="ORD-2025-939953"/>
        <s v="ORD-2025-328504"/>
        <s v="ORD-2025-564184"/>
        <s v="ORD-2025-192876"/>
        <s v="ORD-2025-898843"/>
        <s v="ORD-2025-659650"/>
        <s v="ORD-2025-964661"/>
        <s v="ORD-2025-915869"/>
        <s v="ORD-2025-460466"/>
        <s v="ORD-2025-931538"/>
        <s v="ORD-2025-650719"/>
        <s v="ORD-2025-332931"/>
        <s v="ORD-2025-705398"/>
        <s v="ORD-2025-766923"/>
        <s v="ORD-2025-281062"/>
        <s v="ORD-2025-337268"/>
        <s v="ORD-2025-484073"/>
        <s v="ORD-2025-881624"/>
        <s v="ORD-2025-276968"/>
        <s v="ORD-2025-728935"/>
        <s v="ORD-2025-501927"/>
        <s v="ORD-2025-487261"/>
        <s v="ORD-2025-512310"/>
        <s v="ORD-2025-680118"/>
        <s v="ORD-2025-683247"/>
        <s v="ORD-2025-926547"/>
        <s v="ORD-2025-532859"/>
        <s v="ORD-2025-222035"/>
        <s v="ORD-2025-685236"/>
        <s v="ORD-2025-624006"/>
        <s v="ORD-2025-125517"/>
        <s v="ORD-2025-947929"/>
        <s v="ORD-2025-177994"/>
        <s v="ORD-2025-331237"/>
        <s v="ORD-2025-330203"/>
        <s v="ORD-2025-944081"/>
        <s v="ORD-2025-168148"/>
        <s v="ORD-2025-752845"/>
        <s v="ORD-2025-473192"/>
        <s v="ORD-2025-662997"/>
        <s v="ORD-2025-861401"/>
        <s v="ORD-2025-541048"/>
        <s v="ORD-2025-269934"/>
        <s v="ORD-2025-765220"/>
        <s v="ORD-2025-548982"/>
        <s v="ORD-2025-138578"/>
        <s v="ORD-2025-640677"/>
        <s v="ORD-2025-306251"/>
        <s v="ORD-2025-487025"/>
        <s v="ORD-2025-608069"/>
        <s v="ORD-2025-169093"/>
        <s v="ORD-2025-845715"/>
        <s v="ORD-2025-440093"/>
        <s v="ORD-2025-246470"/>
        <s v="ORD-2025-907040"/>
        <s v="ORD-2025-246692"/>
        <s v="ORD-2025-778145"/>
        <s v="ORD-2025-488349"/>
        <s v="ORD-2025-946490"/>
        <s v="ORD-2025-757957"/>
        <s v="ORD-2025-323492"/>
        <s v="ORD-2025-526650"/>
        <s v="ORD-2025-474368"/>
        <s v="ORD-2025-252117"/>
        <s v="ORD-2025-626047"/>
        <s v="ORD-2025-762301"/>
        <s v="ORD-2025-673091"/>
        <s v="ORD-2025-191328"/>
        <s v="ORD-2025-866565"/>
        <s v="ORD-2025-874124"/>
        <s v="ORD-2025-114382"/>
        <s v="ORD-2025-254721"/>
        <s v="ORD-2025-509940"/>
        <s v="ORD-2025-752192"/>
        <s v="ORD-2025-828263"/>
        <s v="ORD-2025-983096"/>
        <s v="ORD-2025-779530"/>
        <s v="ORD-2025-364852"/>
        <s v="ORD-2025-700847"/>
        <s v="ORD-2025-745263"/>
        <s v="ORD-2025-997421"/>
        <s v="ORD-2025-486350"/>
        <s v="ORD-2025-820255"/>
        <s v="ORD-2025-231184"/>
        <s v="ORD-2025-795385"/>
        <s v="ORD-2025-398335"/>
        <s v="ORD-2025-698069"/>
        <s v="ORD-2025-411385"/>
        <s v="ORD-2025-417942"/>
        <s v="ORD-2025-526752"/>
        <s v="ORD-2025-639542"/>
        <s v="ORD-2025-580047"/>
        <s v="ORD-2025-856556"/>
        <s v="ORD-2025-485946"/>
        <s v="ORD-2025-480172"/>
        <s v="ORD-2025-262434"/>
        <s v="ORD-2025-184082"/>
        <s v="ORD-2025-908258"/>
        <s v="ORD-2025-278048"/>
        <s v="ORD-2025-306903"/>
        <s v="ORD-2025-678328"/>
        <s v="ORD-2025-718992"/>
        <s v="ORD-2025-312803"/>
        <s v="ORD-2025-591006"/>
        <s v="ORD-2025-929414"/>
        <s v="ORD-2025-184754"/>
        <s v="ORD-2025-188059"/>
        <s v="ORD-2025-779659"/>
        <s v="ORD-2025-650841"/>
        <s v="ORD-2025-956101"/>
        <s v="ORD-2025-155182"/>
        <s v="ORD-2025-150713"/>
        <s v="ORD-2025-586799"/>
        <s v="ORD-2025-678688"/>
        <s v="ORD-2025-132174"/>
        <s v="ORD-2025-649633"/>
        <s v="ORD-2025-843974"/>
        <s v="ORD-2025-629393"/>
        <s v="ORD-2025-541501"/>
        <s v="ORD-2025-703623"/>
        <s v="ORD-2025-789245"/>
        <s v="ORD-2025-474710"/>
        <s v="ORD-2025-496178"/>
        <s v="ORD-2025-262491"/>
        <s v="ORD-2025-418232"/>
        <s v="ORD-2025-646342"/>
        <s v="ORD-2025-281413"/>
        <s v="ORD-2025-537785"/>
        <s v="ORD-2025-635337"/>
        <s v="ORD-2025-419532"/>
        <s v="ORD-2025-863978"/>
        <s v="ORD-2025-822030"/>
        <s v="ORD-2025-289139"/>
        <s v="ORD-2025-189846"/>
        <s v="ORD-2025-683043"/>
        <s v="ORD-2025-949776"/>
        <s v="ORD-2025-960931"/>
        <s v="ORD-2025-652467"/>
        <s v="ORD-2025-677880"/>
        <s v="ORD-2025-762212"/>
        <s v="ORD-2025-922513"/>
        <s v="ORD-2025-803803"/>
        <s v="ORD-2025-993993"/>
        <s v="ORD-2025-417336"/>
        <s v="ORD-2025-840976"/>
        <s v="ORD-2025-898022"/>
        <s v="ORD-2025-823055"/>
        <s v="ORD-2025-233883"/>
        <s v="ORD-2025-725646"/>
        <s v="ORD-2025-779574"/>
        <s v="ORD-2025-244832"/>
        <s v="ORD-2025-248586"/>
        <s v="ORD-2025-737787"/>
        <s v="ORD-2025-588029"/>
        <s v="ORD-2025-667201"/>
        <s v="ORD-2025-831576"/>
      </sharedItems>
    </cacheField>
    <cacheField name="OrderDate" numFmtId="165">
      <sharedItems containsSemiMixedTypes="0" containsNonDate="0" containsDate="1" containsString="0" minDate="2023-01-02T00:00:00" maxDate="2025-09-16T00:00:00" count="473">
        <d v="2023-01-02T00:00:00"/>
        <d v="2023-01-07T00:00:00"/>
        <d v="2023-01-10T00:00:00"/>
        <d v="2023-01-12T00:00:00"/>
        <d v="2023-01-13T00:00:00"/>
        <d v="2023-01-19T00:00:00"/>
        <d v="2023-01-20T00:00:00"/>
        <d v="2023-01-21T00:00:00"/>
        <d v="2023-01-26T00:00:00"/>
        <d v="2023-01-27T00:00:00"/>
        <d v="2023-01-29T00:00:00"/>
        <d v="2023-01-30T00:00:00"/>
        <d v="2023-02-05T00:00:00"/>
        <d v="2023-02-07T00:00:00"/>
        <d v="2023-02-08T00:00:00"/>
        <d v="2023-02-11T00:00:00"/>
        <d v="2023-02-15T00:00:00"/>
        <d v="2023-02-19T00:00:00"/>
        <d v="2023-02-20T00:00:00"/>
        <d v="2023-02-21T00:00:00"/>
        <d v="2023-02-23T00:00:00"/>
        <d v="2023-02-24T00:00:00"/>
        <d v="2023-02-26T00:00:00"/>
        <d v="2023-02-27T00:00:00"/>
        <d v="2023-02-28T00:00:00"/>
        <d v="2023-03-02T00:00:00"/>
        <d v="2023-03-03T00:00:00"/>
        <d v="2023-03-04T00:00:00"/>
        <d v="2023-03-06T00:00:00"/>
        <d v="2023-03-07T00:00:00"/>
        <d v="2023-03-13T00:00:00"/>
        <d v="2023-03-14T00:00:00"/>
        <d v="2023-03-17T00:00:00"/>
        <d v="2023-03-19T00:00:00"/>
        <d v="2023-03-23T00:00:00"/>
        <d v="2023-03-25T00:00:00"/>
        <d v="2023-03-27T00:00:00"/>
        <d v="2023-03-31T00:00:00"/>
        <d v="2023-04-03T00:00:00"/>
        <d v="2023-04-05T00:00:00"/>
        <d v="2023-04-06T00:00:00"/>
        <d v="2023-04-10T00:00:00"/>
        <d v="2023-04-11T00:00:00"/>
        <d v="2023-04-12T00:00:00"/>
        <d v="2023-04-13T00:00:00"/>
        <d v="2023-04-14T00:00:00"/>
        <d v="2023-04-16T00:00:00"/>
        <d v="2023-04-18T00:00:00"/>
        <d v="2023-04-19T00:00:00"/>
        <d v="2023-04-21T00:00:00"/>
        <d v="2023-04-22T00:00:00"/>
        <d v="2023-04-26T00:00:00"/>
        <d v="2023-05-01T00:00:00"/>
        <d v="2023-05-02T00:00:00"/>
        <d v="2023-05-03T00:00:00"/>
        <d v="2023-05-04T00:00:00"/>
        <d v="2023-05-05T00:00:00"/>
        <d v="2023-05-06T00:00:00"/>
        <d v="2023-05-07T00:00:00"/>
        <d v="2023-05-10T00:00:00"/>
        <d v="2023-05-11T00:00:00"/>
        <d v="2023-05-14T00:00:00"/>
        <d v="2023-05-17T00:00:00"/>
        <d v="2023-05-18T00:00:00"/>
        <d v="2023-05-20T00:00:00"/>
        <d v="2023-05-23T00:00:00"/>
        <d v="2023-05-24T00:00:00"/>
        <d v="2023-05-27T00:00:00"/>
        <d v="2023-05-29T00:00:00"/>
        <d v="2023-06-01T00:00:00"/>
        <d v="2023-06-03T00:00:00"/>
        <d v="2023-06-05T00:00:00"/>
        <d v="2023-06-09T00:00:00"/>
        <d v="2023-06-10T00:00:00"/>
        <d v="2023-06-13T00:00:00"/>
        <d v="2023-06-14T00:00:00"/>
        <d v="2023-06-15T00:00:00"/>
        <d v="2023-06-17T00:00:00"/>
        <d v="2023-06-20T00:00:00"/>
        <d v="2023-06-22T00:00:00"/>
        <d v="2023-06-23T00:00:00"/>
        <d v="2023-06-24T00:00:00"/>
        <d v="2023-06-29T00:00:00"/>
        <d v="2023-07-01T00:00:00"/>
        <d v="2023-07-02T00:00:00"/>
        <d v="2023-07-03T00:00:00"/>
        <d v="2023-07-05T00:00:00"/>
        <d v="2023-07-07T00:00:00"/>
        <d v="2023-07-08T00:00:00"/>
        <d v="2023-07-09T00:00:00"/>
        <d v="2023-07-10T00:00:00"/>
        <d v="2023-07-14T00:00:00"/>
        <d v="2023-07-16T00:00:00"/>
        <d v="2023-07-18T00:00:00"/>
        <d v="2023-07-19T00:00:00"/>
        <d v="2023-07-21T00:00:00"/>
        <d v="2023-07-24T00:00:00"/>
        <d v="2023-07-25T00:00:00"/>
        <d v="2023-07-26T00:00:00"/>
        <d v="2023-07-30T00:00:00"/>
        <d v="2023-08-02T00:00:00"/>
        <d v="2023-08-03T00:00:00"/>
        <d v="2023-08-04T00:00:00"/>
        <d v="2023-08-08T00:00:00"/>
        <d v="2023-08-10T00:00:00"/>
        <d v="2023-08-12T00:00:00"/>
        <d v="2023-08-15T00:00:00"/>
        <d v="2023-08-17T00:00:00"/>
        <d v="2023-08-19T00:00:00"/>
        <d v="2023-08-21T00:00:00"/>
        <d v="2023-08-23T00:00:00"/>
        <d v="2023-08-24T00:00:00"/>
        <d v="2023-08-25T00:00:00"/>
        <d v="2023-08-26T00:00:00"/>
        <d v="2023-08-27T00:00:00"/>
        <d v="2023-08-29T00:00:00"/>
        <d v="2023-08-30T00:00:00"/>
        <d v="2023-09-08T00:00:00"/>
        <d v="2023-09-14T00:00:00"/>
        <d v="2023-09-17T00:00:00"/>
        <d v="2023-09-18T00:00:00"/>
        <d v="2023-09-19T00:00:00"/>
        <d v="2023-09-20T00:00:00"/>
        <d v="2023-09-21T00:00:00"/>
        <d v="2023-09-25T00:00:00"/>
        <d v="2023-09-30T00:00:00"/>
        <d v="2023-10-04T00:00:00"/>
        <d v="2023-10-05T00:00:00"/>
        <d v="2023-10-07T00:00:00"/>
        <d v="2023-10-09T00:00:00"/>
        <d v="2023-10-11T00:00:00"/>
        <d v="2023-10-12T00:00:00"/>
        <d v="2023-10-15T00:00:00"/>
        <d v="2023-10-18T00:00:00"/>
        <d v="2023-10-21T00:00:00"/>
        <d v="2023-10-22T00:00:00"/>
        <d v="2023-10-25T00:00:00"/>
        <d v="2023-10-26T00:00:00"/>
        <d v="2023-10-30T00:00:00"/>
        <d v="2023-10-31T00:00:00"/>
        <d v="2023-11-10T00:00:00"/>
        <d v="2023-11-14T00:00:00"/>
        <d v="2023-11-15T00:00:00"/>
        <d v="2023-11-19T00:00:00"/>
        <d v="2023-11-20T00:00:00"/>
        <d v="2023-11-28T00:00:00"/>
        <d v="2023-11-29T00:00:00"/>
        <d v="2023-11-30T00:00:00"/>
        <d v="2023-12-01T00:00:00"/>
        <d v="2023-12-02T00:00:00"/>
        <d v="2023-12-03T00:00:00"/>
        <d v="2023-12-05T00:00:00"/>
        <d v="2023-12-06T00:00:00"/>
        <d v="2023-12-07T00:00:00"/>
        <d v="2023-12-16T00:00:00"/>
        <d v="2023-12-18T00:00:00"/>
        <d v="2023-12-19T00:00:00"/>
        <d v="2023-12-20T00:00:00"/>
        <d v="2023-12-21T00:00:00"/>
        <d v="2023-12-22T00:00:00"/>
        <d v="2023-12-24T00:00:00"/>
        <d v="2023-12-26T00:00:00"/>
        <d v="2023-12-28T00:00:00"/>
        <d v="2023-12-29T00:00:00"/>
        <d v="2023-12-30T00:00:00"/>
        <d v="2024-01-01T00:00:00"/>
        <d v="2024-01-02T00:00:00"/>
        <d v="2024-01-08T00:00:00"/>
        <d v="2024-01-10T00:00:00"/>
        <d v="2024-01-11T00:00:00"/>
        <d v="2024-01-12T00:00:00"/>
        <d v="2024-01-13T00:00:00"/>
        <d v="2024-01-16T00:00:00"/>
        <d v="2024-01-18T00:00:00"/>
        <d v="2024-01-20T00:00:00"/>
        <d v="2024-01-21T00:00:00"/>
        <d v="2024-01-24T00:00:00"/>
        <d v="2024-01-25T00:00:00"/>
        <d v="2024-01-27T00:00:00"/>
        <d v="2024-01-28T00:00:00"/>
        <d v="2024-02-01T00:00:00"/>
        <d v="2024-02-03T00:00:00"/>
        <d v="2024-02-06T00:00:00"/>
        <d v="2024-02-08T00:00:00"/>
        <d v="2024-02-11T00:00:00"/>
        <d v="2024-02-14T00:00:00"/>
        <d v="2024-02-16T00:00:00"/>
        <d v="2024-02-17T00:00:00"/>
        <d v="2024-02-18T00:00:00"/>
        <d v="2024-02-19T00:00:00"/>
        <d v="2024-02-20T00:00:00"/>
        <d v="2024-02-25T00:00:00"/>
        <d v="2024-02-27T00:00:00"/>
        <d v="2024-02-29T00:00:00"/>
        <d v="2024-03-02T00:00:00"/>
        <d v="2024-03-03T00:00:00"/>
        <d v="2024-03-04T00:00:00"/>
        <d v="2024-03-06T00:00:00"/>
        <d v="2024-03-07T00:00:00"/>
        <d v="2024-03-09T00:00:00"/>
        <d v="2024-03-10T00:00:00"/>
        <d v="2024-03-11T00:00:00"/>
        <d v="2024-03-13T00:00:00"/>
        <d v="2024-03-15T00:00:00"/>
        <d v="2024-03-16T00:00:00"/>
        <d v="2024-03-18T00:00:00"/>
        <d v="2024-03-23T00:00:00"/>
        <d v="2024-03-26T00:00:00"/>
        <d v="2024-03-27T00:00:00"/>
        <d v="2024-03-30T00:00:00"/>
        <d v="2024-03-31T00:00:00"/>
        <d v="2024-04-03T00:00:00"/>
        <d v="2024-04-04T00:00:00"/>
        <d v="2024-04-05T00:00:00"/>
        <d v="2024-04-06T00:00:00"/>
        <d v="2024-04-09T00:00:00"/>
        <d v="2024-04-12T00:00:00"/>
        <d v="2024-04-16T00:00:00"/>
        <d v="2024-04-18T00:00:00"/>
        <d v="2024-04-19T00:00:00"/>
        <d v="2024-04-21T00:00:00"/>
        <d v="2024-04-24T00:00:00"/>
        <d v="2024-04-29T00:00:00"/>
        <d v="2024-05-01T00:00:00"/>
        <d v="2024-05-04T00:00:00"/>
        <d v="2024-05-05T00:00:00"/>
        <d v="2024-05-07T00:00:00"/>
        <d v="2024-05-10T00:00:00"/>
        <d v="2024-05-12T00:00:00"/>
        <d v="2024-05-14T00:00:00"/>
        <d v="2024-05-17T00:00:00"/>
        <d v="2024-05-18T00:00:00"/>
        <d v="2024-05-19T00:00:00"/>
        <d v="2024-05-20T00:00:00"/>
        <d v="2024-05-21T00:00:00"/>
        <d v="2024-05-22T00:00:00"/>
        <d v="2024-05-23T00:00:00"/>
        <d v="2024-05-26T00:00:00"/>
        <d v="2024-05-27T00:00:00"/>
        <d v="2024-05-28T00:00:00"/>
        <d v="2024-05-30T00:00:00"/>
        <d v="2024-06-02T00:00:00"/>
        <d v="2024-06-03T00:00:00"/>
        <d v="2024-06-04T00:00:00"/>
        <d v="2024-06-05T00:00:00"/>
        <d v="2024-06-06T00:00:00"/>
        <d v="2024-06-07T00:00:00"/>
        <d v="2024-06-08T00:00:00"/>
        <d v="2024-06-09T00:00:00"/>
        <d v="2024-06-10T00:00:00"/>
        <d v="2024-06-11T00:00:00"/>
        <d v="2024-06-15T00:00:00"/>
        <d v="2024-06-16T00:00:00"/>
        <d v="2024-06-19T00:00:00"/>
        <d v="2024-06-23T00:00:00"/>
        <d v="2024-06-25T00:00:00"/>
        <d v="2024-06-28T00:00:00"/>
        <d v="2024-06-29T00:00:00"/>
        <d v="2024-06-30T00:00:00"/>
        <d v="2024-07-09T00:00:00"/>
        <d v="2024-07-11T00:00:00"/>
        <d v="2024-07-12T00:00:00"/>
        <d v="2024-07-13T00:00:00"/>
        <d v="2024-07-15T00:00:00"/>
        <d v="2024-07-18T00:00:00"/>
        <d v="2024-07-19T00:00:00"/>
        <d v="2024-07-24T00:00:00"/>
        <d v="2024-07-25T00:00:00"/>
        <d v="2024-07-28T00:00:00"/>
        <d v="2024-07-29T00:00:00"/>
        <d v="2024-07-31T00:00:00"/>
        <d v="2024-08-03T00:00:00"/>
        <d v="2024-08-04T00:00:00"/>
        <d v="2024-08-07T00:00:00"/>
        <d v="2024-08-08T00:00:00"/>
        <d v="2024-08-10T00:00:00"/>
        <d v="2024-08-12T00:00:00"/>
        <d v="2024-08-14T00:00:00"/>
        <d v="2024-08-15T00:00:00"/>
        <d v="2024-08-16T00:00:00"/>
        <d v="2024-08-18T00:00:00"/>
        <d v="2024-08-19T00:00:00"/>
        <d v="2024-08-21T00:00:00"/>
        <d v="2024-08-22T00:00:00"/>
        <d v="2024-08-27T00:00:00"/>
        <d v="2024-08-28T00:00:00"/>
        <d v="2024-08-30T00:00:00"/>
        <d v="2024-08-31T00:00:00"/>
        <d v="2024-09-02T00:00:00"/>
        <d v="2024-09-03T00:00:00"/>
        <d v="2024-09-04T00:00:00"/>
        <d v="2024-09-05T00:00:00"/>
        <d v="2024-09-06T00:00:00"/>
        <d v="2024-09-07T00:00:00"/>
        <d v="2024-09-09T00:00:00"/>
        <d v="2024-09-10T00:00:00"/>
        <d v="2024-09-13T00:00:00"/>
        <d v="2024-09-14T00:00:00"/>
        <d v="2024-09-19T00:00:00"/>
        <d v="2024-09-22T00:00:00"/>
        <d v="2024-09-23T00:00:00"/>
        <d v="2024-09-25T00:00:00"/>
        <d v="2024-10-02T00:00:00"/>
        <d v="2024-10-03T00:00:00"/>
        <d v="2024-10-04T00:00:00"/>
        <d v="2024-10-08T00:00:00"/>
        <d v="2024-10-09T00:00:00"/>
        <d v="2024-10-10T00:00:00"/>
        <d v="2024-10-11T00:00:00"/>
        <d v="2024-10-13T00:00:00"/>
        <d v="2024-10-14T00:00:00"/>
        <d v="2024-10-16T00:00:00"/>
        <d v="2024-10-17T00:00:00"/>
        <d v="2024-10-19T00:00:00"/>
        <d v="2024-10-22T00:00:00"/>
        <d v="2024-10-23T00:00:00"/>
        <d v="2024-10-24T00:00:00"/>
        <d v="2024-10-25T00:00:00"/>
        <d v="2024-10-27T00:00:00"/>
        <d v="2024-10-29T00:00:00"/>
        <d v="2024-10-30T00:00:00"/>
        <d v="2024-11-01T00:00:00"/>
        <d v="2024-11-02T00:00:00"/>
        <d v="2024-11-04T00:00:00"/>
        <d v="2024-11-05T00:00:00"/>
        <d v="2024-11-06T00:00:00"/>
        <d v="2024-11-07T00:00:00"/>
        <d v="2024-11-08T00:00:00"/>
        <d v="2024-11-11T00:00:00"/>
        <d v="2024-11-12T00:00:00"/>
        <d v="2024-11-17T00:00:00"/>
        <d v="2024-11-20T00:00:00"/>
        <d v="2024-11-21T00:00:00"/>
        <d v="2024-11-22T00:00:00"/>
        <d v="2024-11-25T00:00:00"/>
        <d v="2024-11-27T00:00:00"/>
        <d v="2024-11-30T00:00:00"/>
        <d v="2024-12-04T00:00:00"/>
        <d v="2024-12-05T00:00:00"/>
        <d v="2024-12-07T00:00:00"/>
        <d v="2024-12-08T00:00:00"/>
        <d v="2024-12-10T00:00:00"/>
        <d v="2024-12-12T00:00:00"/>
        <d v="2024-12-14T00:00:00"/>
        <d v="2024-12-15T00:00:00"/>
        <d v="2024-12-17T00:00:00"/>
        <d v="2024-12-20T00:00:00"/>
        <d v="2024-12-21T00:00:00"/>
        <d v="2024-12-23T00:00:00"/>
        <d v="2024-12-24T00:00:00"/>
        <d v="2024-12-27T00:00:00"/>
        <d v="2024-12-28T00:00:00"/>
        <d v="2024-12-29T00:00:0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6T00:00:00"/>
        <d v="2025-08-28T00:00:00"/>
        <d v="2025-08-30T00:00:00"/>
        <d v="2025-09-01T00:00:00"/>
        <d v="2025-09-02T00:00:00"/>
        <d v="2025-09-08T00:00:00"/>
        <d v="2025-09-10T00:00:00"/>
        <d v="2025-09-11T00:00:00"/>
        <d v="2025-09-12T00:00:00"/>
        <d v="2025-09-14T00:00:00"/>
        <d v="2025-09-15T00:00:00"/>
      </sharedItems>
      <fieldGroup par="26"/>
    </cacheField>
    <cacheField name="RequiredDate" numFmtId="165">
      <sharedItems containsSemiMixedTypes="0" containsNonDate="0" containsDate="1" containsString="0" minDate="2023-01-05T00:00:00" maxDate="2025-10-06T00:00:00"/>
    </cacheField>
    <cacheField name="Lead time (Days)" numFmtId="2">
      <sharedItems containsSemiMixedTypes="0" containsString="0" containsNumber="1" containsInteger="1" minValue="0" maxValue="30"/>
    </cacheField>
    <cacheField name="OrderDate2" numFmtId="165">
      <sharedItems count="11">
        <s v="Q1-2023"/>
        <s v="Q2-2023"/>
        <s v="Q3-2023"/>
        <s v="Q4-2023"/>
        <s v="Q1-2024"/>
        <s v="Q2-2024"/>
        <s v="Q3-2024"/>
        <s v="Q4-2024"/>
        <s v="Q1-2025"/>
        <s v="Q2-2025"/>
        <s v="Q3-2025"/>
      </sharedItems>
    </cacheField>
    <cacheField name="Region" numFmtId="0">
      <sharedItems count="4">
        <s v="Americas"/>
        <s v="Africa"/>
        <s v="Europe"/>
        <s v="Asia"/>
      </sharedItems>
    </cacheField>
    <cacheField name="Country" numFmtId="0">
      <sharedItems/>
    </cacheField>
    <cacheField name="City" numFmtId="0">
      <sharedItems/>
    </cacheField>
    <cacheField name="CustomerSegment" numFmtId="0">
      <sharedItems/>
    </cacheField>
    <cacheField name="Channel" numFmtId="0">
      <sharedItems count="5">
        <s v="Distributor"/>
        <s v="Online"/>
        <s v="Direct"/>
        <s v="Retail"/>
        <s v="Marketplace"/>
      </sharedItems>
    </cacheField>
    <cacheField name="Salesperson" numFmtId="0">
      <sharedItems count="15">
        <s v="B. Chen"/>
        <s v="A. Patel"/>
        <s v="D. Smith"/>
        <s v="M. Rossi"/>
        <s v="H. Kim"/>
        <s v="O. Wang"/>
        <s v="G. Dubois"/>
        <s v="F. Müller"/>
        <s v="N. Brown"/>
        <s v="L. Okafor"/>
        <s v="K. Singh"/>
        <s v="C. Otieno"/>
        <s v="I. Johnson"/>
        <s v="J. Njeri"/>
        <s v="E. Garcia"/>
      </sharedItems>
    </cacheField>
    <cacheField name="ProductCategory" numFmtId="0">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5.92" maxValue="3661.07"/>
    </cacheField>
    <cacheField name="DiscountPct" numFmtId="9">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Margin per unit" numFmtId="9">
      <sharedItems containsSemiMixedTypes="0" containsString="0" containsNumber="1" minValue="5.0071530758226006E-2" maxValue="1.4952060423433648"/>
    </cacheField>
    <cacheField name="Gross Revenue" numFmtId="43">
      <sharedItems containsSemiMixedTypes="0" containsString="0" containsNumber="1" minValue="18.659839999999999" maxValue="139277.83032000001" count="630">
        <n v="4141.7599999999993"/>
        <n v="3116.21"/>
        <n v="9847.2358600000007"/>
        <n v="11406.96"/>
        <n v="14963.769179999999"/>
        <n v="685.06776000000002"/>
        <n v="19628.476999999999"/>
        <n v="47962.717579999997"/>
        <n v="2231.6467200000002"/>
        <n v="6776.5299820000009"/>
        <n v="22435.196160000003"/>
        <n v="1801.4076000000002"/>
        <n v="8349.2224200000001"/>
        <n v="16873.45"/>
        <n v="24894.430559999997"/>
        <n v="60292.805299999993"/>
        <n v="10026.543952800001"/>
        <n v="26304.275999999998"/>
        <n v="85637.740319999997"/>
        <n v="22044.871499999997"/>
        <n v="2795.6384399999997"/>
        <n v="4132.0325200000007"/>
        <n v="10869.182940000001"/>
        <n v="26150.364320000001"/>
        <n v="97.0154"/>
        <n v="51768.181920000003"/>
        <n v="39546.774539999999"/>
        <n v="25502.910479999999"/>
        <n v="31822.023930000003"/>
        <n v="29094.658084800001"/>
        <n v="24523.006720000001"/>
        <n v="18830.12472"/>
        <n v="17453.3436"/>
        <n v="13437.300239999999"/>
        <n v="16777.011019999998"/>
        <n v="15348.702599999999"/>
        <n v="14269.848599999999"/>
        <n v="9883.5524829999995"/>
        <n v="2059.0056"/>
        <n v="16013.681599999998"/>
        <n v="53034.364139999991"/>
        <n v="12194.714"/>
        <n v="6631.6443100000006"/>
        <n v="4336.2427499999994"/>
        <n v="15837.822"/>
        <n v="20633.093999999997"/>
        <n v="7098.5495999999994"/>
        <n v="32280.32474"/>
        <n v="43209.006119999991"/>
        <n v="5457.4317000000001"/>
        <n v="1115.1975999999997"/>
        <n v="27370.540859999997"/>
        <n v="3921.1744000000008"/>
        <n v="8520.2954399999999"/>
        <n v="3913.2000000000003"/>
        <n v="55880.483749999999"/>
        <n v="10260.060159999999"/>
        <n v="22620.859800000002"/>
        <n v="14448.298699999998"/>
        <n v="2394.1605599999998"/>
        <n v="7340.3891399999993"/>
        <n v="32506.559399999998"/>
        <n v="25820.945039999999"/>
        <n v="26131.70736"/>
        <n v="29612.735977500004"/>
        <n v="8930.7124999999996"/>
        <n v="7090.5672000000004"/>
        <n v="13856.52411"/>
        <n v="496.98660000000001"/>
        <n v="1824.6118994999999"/>
        <n v="7854.6931199999999"/>
        <n v="20332.775539999999"/>
        <n v="87404.929919999995"/>
        <n v="370.86"/>
        <n v="3928.3797600000003"/>
        <n v="2206.8000000000002"/>
        <n v="17594.028880000002"/>
        <n v="9062.34692"/>
        <n v="9829.0483199999999"/>
        <n v="46450.26"/>
        <n v="9232.2830599999998"/>
        <n v="64192.976999999999"/>
        <n v="518.65436999999997"/>
        <n v="19903.585040000002"/>
        <n v="10428.057360000001"/>
        <n v="930.17574000000002"/>
        <n v="20672.289000000001"/>
        <n v="5930.848"/>
        <n v="22882.675440000003"/>
        <n v="57149.154720000006"/>
        <n v="1317.9063167999998"/>
        <n v="27194.152039999997"/>
        <n v="23132.398349999996"/>
        <n v="17964.4038"/>
        <n v="19800.88896"/>
        <n v="5189.8836000000001"/>
        <n v="4577.1480000000001"/>
        <n v="6137.8019999999988"/>
        <n v="12717.311040000001"/>
        <n v="5769.2758000000003"/>
        <n v="3799.8031499999997"/>
        <n v="1925.29872"/>
        <n v="10455.7932"/>
        <n v="6732.4334000000008"/>
        <n v="17441.021520000002"/>
        <n v="3562.1983800000003"/>
        <n v="47693.373"/>
        <n v="3190.8713200000002"/>
        <n v="30692.47896"/>
        <n v="10388.429999999998"/>
        <n v="11283.400799999999"/>
        <n v="7135.57"/>
        <n v="10161.46624"/>
        <n v="33017.42"/>
        <n v="3978.6474000000003"/>
        <n v="624.43503999999996"/>
        <n v="7823.4472399999995"/>
        <n v="14114.068500000001"/>
        <n v="82514.711519999997"/>
        <n v="6702.3501999999999"/>
        <n v="21572.590500000002"/>
        <n v="25672.127039999999"/>
        <n v="20430.771599999996"/>
        <n v="19581.87"/>
        <n v="1662.6945600000001"/>
        <n v="34444.462359999998"/>
        <n v="26552.60298"/>
        <n v="26106.613960000002"/>
        <n v="41914.215840000004"/>
        <n v="21503.9106464"/>
        <n v="39686.4182"/>
        <n v="28072.190160000002"/>
        <n v="12462.65055"/>
        <n v="29536.716"/>
        <n v="32958.777600000001"/>
        <n v="6517.4283359999999"/>
        <n v="32086.37586"/>
        <n v="18500.693520000001"/>
        <n v="30479.418970000002"/>
        <n v="13882.6016"/>
        <n v="50090.397499999999"/>
        <n v="7235.2134999999998"/>
        <n v="5096.4790800000001"/>
        <n v="8186.057600000001"/>
        <n v="8763.2849999999999"/>
        <n v="21908.731650000002"/>
        <n v="21581.033829600001"/>
        <n v="667.74"/>
        <n v="25299.040000000001"/>
        <n v="11924.0978"/>
        <n v="18258.868320000001"/>
        <n v="8671.7354400000004"/>
        <n v="8698.8768300000011"/>
        <n v="2072.9258400000003"/>
        <n v="7382.1450000000004"/>
        <n v="33421.1"/>
        <n v="16134.22069"/>
        <n v="4503.4363999999996"/>
        <n v="15656.47056"/>
        <n v="18411.4084"/>
        <n v="36549.429260000004"/>
        <n v="344.49309119999998"/>
        <n v="7105.3528000000006"/>
        <n v="1030.7574"/>
        <n v="15530.929919999999"/>
        <n v="14877.464000000002"/>
        <n v="14734.869921199999"/>
        <n v="6874.4828600000001"/>
        <n v="4436.6291200000005"/>
        <n v="31513.085009999999"/>
        <n v="8928.9795999999988"/>
        <n v="908.03700000000003"/>
        <n v="13784.586000000001"/>
        <n v="22201.762229999997"/>
        <n v="25572.409092800001"/>
        <n v="5533.6230000000005"/>
        <n v="9866.3104799999983"/>
        <n v="19073.059649999999"/>
        <n v="6824.2884000000004"/>
        <n v="10786.32144"/>
        <n v="68818.162000000011"/>
        <n v="18323.481984000002"/>
        <n v="14527.748400000002"/>
        <n v="9447.0964223999999"/>
        <n v="27249"/>
        <n v="8123.9280640000006"/>
        <n v="23375.594060000003"/>
        <n v="27756.432000000001"/>
        <n v="5159.7893599999998"/>
        <n v="8644.6696000000011"/>
        <n v="434.45248000000004"/>
        <n v="8907.6924999999992"/>
        <n v="11015.510400000003"/>
        <n v="7854.6693599999999"/>
        <n v="16306.59375"/>
        <n v="10769.426118000001"/>
        <n v="12769.38768"/>
        <n v="22983.34563"/>
        <n v="32704.386400000003"/>
        <n v="3889.5552000000007"/>
        <n v="6684.1875"/>
        <n v="12954.358080000002"/>
        <n v="7643.2649999999994"/>
        <n v="13637.287999999999"/>
        <n v="16487.22781"/>
        <n v="26679.144398400003"/>
        <n v="9081.7230815999992"/>
        <n v="20797.98"/>
        <n v="10957.9797"/>
        <n v="40476.013200000001"/>
        <n v="23668.560000000001"/>
        <n v="14261.92439"/>
        <n v="14466.95104"/>
        <n v="21573.6495"/>
        <n v="7738.9596900000006"/>
        <n v="27158.894079999998"/>
        <n v="13146.470699999998"/>
        <n v="34659.616625999995"/>
        <n v="9771.4483199999995"/>
        <n v="14225.7598"/>
        <n v="4133.25108"/>
        <n v="66260.314239999992"/>
        <n v="16061.972879999999"/>
        <n v="24278.849280000002"/>
        <n v="7493.1076000000012"/>
        <n v="23195.01828"/>
        <n v="19139.594240000002"/>
        <n v="40488.792960000006"/>
        <n v="28594.684800000003"/>
        <n v="7678.2113999999992"/>
        <n v="17359.804799999998"/>
        <n v="10558.74"/>
        <n v="4637.7968000000001"/>
        <n v="2373.9623200000001"/>
        <n v="6324.5775999999996"/>
        <n v="6435.2555999999995"/>
        <n v="15505.479600000001"/>
        <n v="9509.2865999999995"/>
        <n v="14813.731920000002"/>
        <n v="21585.15"/>
        <n v="11842.8464"/>
        <n v="4229.4321199999995"/>
        <n v="8567.3924999999999"/>
        <n v="9262.0686600000008"/>
        <n v="2077.46"/>
        <n v="16006.14344"/>
        <n v="26765.040239999998"/>
        <n v="7203.8047000000006"/>
        <n v="18003.847679999999"/>
        <n v="751.3019683"/>
        <n v="19542.975350000001"/>
        <n v="8330.2513199999994"/>
        <n v="17540.201120000002"/>
        <n v="11326.846439999999"/>
        <n v="1446.9507000000001"/>
        <n v="9774.3888000000006"/>
        <n v="8938.8996600000009"/>
        <n v="1801.7926784000001"/>
        <n v="29654.83008"/>
        <n v="38535.955099999999"/>
        <n v="58091.634960000003"/>
        <n v="34307.159999999996"/>
        <n v="13450.74"/>
        <n v="15366.983199999999"/>
        <n v="110.14919999999999"/>
        <n v="15253.069799999999"/>
        <n v="3525.5505600000001"/>
        <n v="4241.88105"/>
        <n v="38422.022320000004"/>
        <n v="4826.5396199999996"/>
        <n v="2909.8689199999999"/>
        <n v="18957.37689"/>
        <n v="4055.5175999999997"/>
        <n v="7327.9533600000004"/>
        <n v="11285.764020000001"/>
        <n v="33938.142760000002"/>
        <n v="33687.501800000005"/>
        <n v="4866.3287999999993"/>
        <n v="10519.776450000001"/>
        <n v="25131.155999999999"/>
        <n v="17689.623"/>
        <n v="11417.429099999999"/>
        <n v="10647.727199999999"/>
        <n v="12668.50728"/>
        <n v="157.97105280000002"/>
        <n v="79548.755999999994"/>
        <n v="3823.5108"/>
        <n v="34632.106319999999"/>
        <n v="8154.5511600000009"/>
        <n v="49336.511399999996"/>
        <n v="13321.14"/>
        <n v="32335.21802"/>
        <n v="14197.064400000001"/>
        <n v="16219.34496"/>
        <n v="20171.63305"/>
        <n v="8326.6852500000005"/>
        <n v="13218.5"/>
        <n v="14968.239"/>
        <n v="1547.3500000000001"/>
        <n v="15814.220114"/>
        <n v="16121.273400000002"/>
        <n v="24161.205600000001"/>
        <n v="9807.7842799999999"/>
        <n v="23694.405119999999"/>
        <n v="14714.12934"/>
        <n v="24321.57"/>
        <n v="19773.362699999998"/>
        <n v="1009.2969000000002"/>
        <n v="4025.8565599999993"/>
        <n v="109244"/>
        <n v="31005.24768"/>
        <n v="6899.8804600000003"/>
        <n v="13108.78584"/>
        <n v="20225.2248"/>
        <n v="8590.7094000000016"/>
        <n v="17930.494560000003"/>
        <n v="12080.215199999999"/>
        <n v="14287.896349999999"/>
        <n v="12413.98458"/>
        <n v="879.05840000000001"/>
        <n v="1952.6356799999999"/>
        <n v="34139.159999999996"/>
        <n v="11859.695119999998"/>
        <n v="22380.204000000002"/>
        <n v="2642.1686999999997"/>
        <n v="549.80010000000004"/>
        <n v="19547.329920000004"/>
        <n v="45547.183360000003"/>
        <n v="11851.806399999999"/>
        <n v="58526.83122"/>
        <n v="31513.423040000001"/>
        <n v="30652.403519999996"/>
        <n v="65111.38614000001"/>
        <n v="5032.4433599999993"/>
        <n v="27676.35"/>
        <n v="30151.675319999998"/>
        <n v="12289.2"/>
        <n v="9969.4201499999999"/>
        <n v="34840.344000000005"/>
        <n v="68665.574250000005"/>
        <n v="5932.7856000000002"/>
        <n v="2719.8567000000003"/>
        <n v="35167.7448"/>
        <n v="82141.339799999987"/>
        <n v="33062.236480000007"/>
        <n v="81.266068800000014"/>
        <n v="8596.2905599999995"/>
        <n v="14910.609600000002"/>
        <n v="7399.4832000000006"/>
        <n v="22526.66"/>
        <n v="28247.74656"/>
        <n v="3175.1547799999998"/>
        <n v="10937.519999999999"/>
        <n v="14549.029120000001"/>
        <n v="28890.370386000002"/>
        <n v="6660.7548000000006"/>
        <n v="5250.4239000000007"/>
        <n v="23782.310720000001"/>
        <n v="79082.507010000001"/>
        <n v="30229.994880000002"/>
        <n v="25483.91488"/>
        <n v="5725.6496000000006"/>
        <n v="3823.6151599999998"/>
        <n v="4682.9519799999998"/>
        <n v="8909.6646800000017"/>
        <n v="34816.968000000001"/>
        <n v="2525.0635000000002"/>
        <n v="24374.594880000001"/>
        <n v="17427.164800000002"/>
        <n v="23687.524440000001"/>
        <n v="5962.1422499999999"/>
        <n v="50958.766320000002"/>
        <n v="23759.9784"/>
        <n v="6664.0999999999995"/>
        <n v="14386.762404000003"/>
        <n v="27331.829999999998"/>
        <n v="5960.04288"/>
        <n v="24147.922500000001"/>
        <n v="41106.800970000004"/>
        <n v="35396.277799999996"/>
        <n v="5323.9903199999999"/>
        <n v="33551.927499999998"/>
        <n v="12186.368600000002"/>
        <n v="2879.9836"/>
        <n v="4738.5261"/>
        <n v="40563.321749999996"/>
        <n v="5280.8577599999999"/>
        <n v="12972.00222"/>
        <n v="1950.0031200000001"/>
        <n v="20028.787380000002"/>
        <n v="6984.8246399999998"/>
        <n v="26015.449459999996"/>
        <n v="55978.7523048"/>
        <n v="15825.399369999997"/>
        <n v="37038.581760000001"/>
        <n v="12335.654849999999"/>
        <n v="28211.92124"/>
        <n v="31191.64716"/>
        <n v="42495.805439999996"/>
        <n v="21664.440000000002"/>
        <n v="18061.204320000004"/>
        <n v="41352.246200000009"/>
        <n v="20079.343620000003"/>
        <n v="38818.760160000005"/>
        <n v="2316.2621999999997"/>
        <n v="50296.415399999998"/>
        <n v="6535.6324800000002"/>
        <n v="41419.524249999995"/>
        <n v="35621.302319999995"/>
        <n v="1660.3999999999999"/>
        <n v="599.53200000000004"/>
        <n v="9256.14"/>
        <n v="26408.63841"/>
        <n v="40269.050371899997"/>
        <n v="21679.749799999998"/>
        <n v="15323.926799999999"/>
        <n v="6766.9829999999993"/>
        <n v="38582.18"/>
        <n v="6468.2751599999992"/>
        <n v="20053.439999999999"/>
        <n v="5650.1744000000008"/>
        <n v="12955.824749999998"/>
        <n v="10817.3416"/>
        <n v="72665.817450000002"/>
        <n v="25079.480689999997"/>
        <n v="40325.31"/>
        <n v="16946.091840000001"/>
        <n v="14894.903999999999"/>
        <n v="1122.0896000000002"/>
        <n v="3592.04"/>
        <n v="4280.6786400000001"/>
        <n v="8297.4286000000011"/>
        <n v="28856.475000000002"/>
        <n v="35567.737920000007"/>
        <n v="4877.1379800000004"/>
        <n v="84136.119600000005"/>
        <n v="4071.8"/>
        <n v="2736.27018"/>
        <n v="10893.6232"/>
        <n v="1756.6999999999998"/>
        <n v="33071.3145"/>
        <n v="748.22303999999997"/>
        <n v="5960.3340000000007"/>
        <n v="29673.454499999993"/>
        <n v="6063.2517199999993"/>
        <n v="25948.414799999995"/>
        <n v="12967.958640000001"/>
        <n v="18641.222160000001"/>
        <n v="9698.1638399999993"/>
        <n v="22402.111913999994"/>
        <n v="4790.1068000000005"/>
        <n v="40713.888947200001"/>
        <n v="22457.143800000002"/>
        <n v="23955.4034928"/>
        <n v="8211.6342000000004"/>
        <n v="5546.4642200000008"/>
        <n v="2886.4496399999998"/>
        <n v="9805.8573800000013"/>
        <n v="14752.706080000002"/>
        <n v="65119.329599999997"/>
        <n v="58057.65"/>
        <n v="30799.273800000003"/>
        <n v="25213.65"/>
        <n v="33308.550000000003"/>
        <n v="6576.298960000001"/>
        <n v="3494.4040799999998"/>
        <n v="15155.326800000001"/>
        <n v="2537.2908000000002"/>
        <n v="4831.9464600000001"/>
        <n v="2117.4834999999998"/>
        <n v="18099.061210999997"/>
        <n v="2518.8755800000004"/>
        <n v="28386.015839999996"/>
        <n v="5334.9141999999993"/>
        <n v="22651.041600000004"/>
        <n v="52780.07"/>
        <n v="24223.05"/>
        <n v="11332.142999999998"/>
        <n v="7689.4560000000001"/>
        <n v="10166.535600000001"/>
        <n v="25553.782800000001"/>
        <n v="33200.038079999998"/>
        <n v="2146.5580500000001"/>
        <n v="29659.68995"/>
        <n v="7703.8640800000003"/>
        <n v="15860.782080000001"/>
        <n v="8128.5187499999993"/>
        <n v="10382.65884"/>
        <n v="12040.64352"/>
        <n v="20163.409200000002"/>
        <n v="7120.6486400000003"/>
        <n v="41705.75585880001"/>
        <n v="9984.7160999999978"/>
        <n v="510.3698179999999"/>
        <n v="9864.4654679999985"/>
        <n v="4968.5039999999999"/>
        <n v="4679.7141600000004"/>
        <n v="10189.8891"/>
        <n v="4409.5168800000001"/>
        <n v="618.19979999999987"/>
        <n v="10464.138360000001"/>
        <n v="741.43835999999999"/>
        <n v="17368.5694"/>
        <n v="18554.370299999999"/>
        <n v="21584.693520000001"/>
        <n v="16252.219979999998"/>
        <n v="841.00536"/>
        <n v="8637.1874499999994"/>
        <n v="21062.61248"/>
        <n v="43084.872000000003"/>
        <n v="9923.5867456000014"/>
        <n v="1098.9470800000001"/>
        <n v="5565.3272500000003"/>
        <n v="13669.81"/>
        <n v="2915.4540999999999"/>
        <n v="140.43229199999999"/>
        <n v="8052.3076451999996"/>
        <n v="31680.795320000001"/>
        <n v="20084.133720000002"/>
        <n v="1641.7107199999998"/>
        <n v="6393.0952799999995"/>
        <n v="1886.9915999999998"/>
        <n v="8903.4839999999986"/>
        <n v="17731.623"/>
        <n v="3378.1478400000001"/>
        <n v="92715.25"/>
        <n v="40139.874619999995"/>
        <n v="19422.158342400002"/>
        <n v="2355.2113199999999"/>
        <n v="22676.312610000001"/>
        <n v="534.57695999999999"/>
        <n v="524.81174999999996"/>
        <n v="607.30668000000003"/>
        <n v="5814.6927299999998"/>
        <n v="4856.35725"/>
        <n v="10947.904"/>
        <n v="34800.431400000001"/>
        <n v="5127.0390600000001"/>
        <n v="8324.8326000000015"/>
        <n v="4569.8508000000002"/>
        <n v="41138.261999999995"/>
        <n v="25577.274079999999"/>
        <n v="9586.8057599999993"/>
        <n v="50545.319219999998"/>
        <n v="5331.6696000000002"/>
        <n v="9614.4403999999995"/>
        <n v="9684.8756000000012"/>
        <n v="39810.328000000001"/>
        <n v="1010.3759200000001"/>
        <n v="11696.156879999999"/>
        <n v="8192.0159999999978"/>
        <n v="3644.3212800000006"/>
        <n v="31556.187599999997"/>
        <n v="39263.702919999996"/>
        <n v="60928.502359999999"/>
        <n v="14431.738420000001"/>
        <n v="10666.229420000001"/>
        <n v="8780.5809000000008"/>
        <n v="25269.09"/>
        <n v="20455.985130000001"/>
        <n v="1971.6503814000002"/>
        <n v="7969.4615000000003"/>
        <n v="11984.891250000001"/>
        <n v="19510.808000000001"/>
        <n v="110456.766"/>
        <n v="10936.992"/>
        <n v="8366.02"/>
        <n v="27081.085045299998"/>
        <n v="12236.874600000001"/>
        <n v="29175.036029999999"/>
        <n v="39516.804389999998"/>
        <n v="560.36831999999993"/>
        <n v="8093.4784"/>
        <n v="4569.5735999999997"/>
        <n v="6066.54648"/>
        <n v="11995.153920000001"/>
        <n v="42433.254400000005"/>
        <n v="10093.628745200002"/>
        <n v="44173.627960000005"/>
        <n v="4375.3620000000001"/>
        <n v="43553.493060000001"/>
        <n v="15374.563199999999"/>
        <n v="102122.94203999999"/>
        <n v="592.92849000000001"/>
        <n v="7173.3342799999991"/>
        <n v="25174.028880000002"/>
        <n v="1774.8072"/>
        <n v="66988.771199999988"/>
        <n v="139277.83032000001"/>
        <n v="10693.88488"/>
        <n v="38096.18406"/>
        <n v="17847.907199999998"/>
        <n v="12662.7079488"/>
        <n v="14642.952924600002"/>
        <n v="37562.28"/>
        <n v="9647.3852800000004"/>
        <n v="1808.04592"/>
        <n v="147.00756000000001"/>
        <n v="29263.754519999995"/>
        <n v="34082.864639999993"/>
        <n v="12091.190399999999"/>
        <n v="853.32276999999988"/>
        <n v="10859.64"/>
        <n v="1846.8040799999999"/>
        <n v="1654.8966000000003"/>
        <n v="12881.097599999999"/>
        <n v="16609.090809999998"/>
        <n v="1062.5902000000001"/>
        <n v="19233.355499999998"/>
        <n v="43907.94"/>
        <n v="10792.637119999999"/>
        <n v="4420.5961799999995"/>
        <n v="56176.777799999996"/>
        <n v="13519.529099999998"/>
        <n v="19066.045319999997"/>
        <n v="30435.614999999998"/>
        <n v="11742.8703"/>
        <n v="36161.097000000002"/>
        <n v="17422.768800000002"/>
        <n v="30205.772917200007"/>
        <n v="16574.544740000001"/>
        <n v="35367.211040000002"/>
        <n v="5487.6023999999998"/>
        <n v="27701.570400000001"/>
        <n v="8631.2940119999985"/>
        <n v="11813.604160000001"/>
        <n v="8764.4065599999994"/>
        <n v="13185.543"/>
        <n v="18.659839999999999"/>
        <n v="52325.776588799999"/>
      </sharedItems>
    </cacheField>
    <cacheField name="Cost of goods" numFmtId="43">
      <sharedItems containsSemiMixedTypes="0" containsString="0" containsNumber="1" minValue="22" maxValue="83258.290000000008"/>
    </cacheField>
    <cacheField name="Gross Profit" numFmtId="43">
      <sharedItems containsSemiMixedTypes="0" containsString="0" containsNumber="1" minValue="-4346.2051199999987" maxValue="65188.659999999996"/>
    </cacheField>
    <cacheField name="Gross profit margin" numFmtId="9">
      <sharedItems containsSemiMixedTypes="0" containsString="0" containsNumber="1" minValue="-0.26461367106736061" maxValue="0.59672531214528945"/>
    </cacheField>
    <cacheField name="Price Band" numFmtId="0">
      <sharedItems/>
    </cacheField>
    <cacheField name="Revenue per order" numFmtId="43">
      <sharedItems containsSemiMixedTypes="0" containsString="0" containsNumber="1" minValue="18.659839999999999" maxValue="139277.83032000001"/>
    </cacheField>
    <cacheField name="Gross profit per order" numFmtId="43">
      <sharedItems containsSemiMixedTypes="0" containsString="0" containsNumber="1" minValue="-4346.2051199999987" maxValue="65188.659999999996"/>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5658101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9.229913425923" createdVersion="8" refreshedVersion="8" minRefreshableVersion="3" recordCount="84" xr:uid="{F889F259-4061-4893-9CA9-85E3B2D87934}">
  <cacheSource type="worksheet">
    <worksheetSource ref="H4:M88" sheet="PCT_of_7day_Lead_time"/>
  </cacheSource>
  <cacheFields count="6">
    <cacheField name="Country" numFmtId="0">
      <sharedItems count="12">
        <s v="Brazil"/>
        <s v="Canada"/>
        <s v="China"/>
        <s v="France"/>
        <s v="Germany"/>
        <s v="India"/>
        <s v="Japan"/>
        <s v="Kenya"/>
        <s v="Nigeria"/>
        <s v="South Africa"/>
        <s v="United Kingdom"/>
        <s v="USA"/>
      </sharedItems>
    </cacheField>
    <cacheField name="Product Category" numFmtId="0">
      <sharedItems count="7">
        <s v="Accessories"/>
        <s v="Components"/>
        <s v="Laptops"/>
        <s v="Monitors"/>
        <s v="Networking"/>
        <s v="Phones"/>
        <s v="Printers"/>
      </sharedItems>
    </cacheField>
    <cacheField name="Good" numFmtId="0">
      <sharedItems containsString="0" containsBlank="1" containsNumber="1" containsInteger="1" minValue="1" maxValue="7"/>
    </cacheField>
    <cacheField name="Poor" numFmtId="0">
      <sharedItems containsSemiMixedTypes="0" containsString="0" containsNumber="1" containsInteger="1" minValue="1" maxValue="13"/>
    </cacheField>
    <cacheField name="Total" numFmtId="0">
      <sharedItems containsSemiMixedTypes="0" containsString="0" containsNumber="1" containsInteger="1" minValue="2" maxValue="15"/>
    </cacheField>
    <cacheField name="pct of meeting 7 days target" numFmtId="9">
      <sharedItems containsSemiMixedTypes="0" containsString="0" containsNumber="1" minValue="0" maxValue="0.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Mwaura" refreshedDate="46054.352305555556" createdVersion="8" refreshedVersion="8" minRefreshableVersion="3" recordCount="630" xr:uid="{BE7DC67C-2B81-4813-885A-7F490DF3E13E}">
  <cacheSource type="worksheet">
    <worksheetSource name="Table1"/>
  </cacheSource>
  <cacheFields count="40">
    <cacheField name="OrderID" numFmtId="0">
      <sharedItems/>
    </cacheField>
    <cacheField name="OrderDate" numFmtId="165">
      <sharedItems containsSemiMixedTypes="0" containsNonDate="0" containsDate="1" containsString="0" minDate="2023-01-02T00:00:00" maxDate="2025-09-16T00:00:00" count="473">
        <d v="2023-01-02T00:00:00"/>
        <d v="2023-01-07T00:00:00"/>
        <d v="2023-01-10T00:00:00"/>
        <d v="2023-01-12T00:00:00"/>
        <d v="2023-01-13T00:00:00"/>
        <d v="2023-01-19T00:00:00"/>
        <d v="2023-01-20T00:00:00"/>
        <d v="2023-01-21T00:00:00"/>
        <d v="2023-01-26T00:00:00"/>
        <d v="2023-01-27T00:00:00"/>
        <d v="2023-01-29T00:00:00"/>
        <d v="2023-01-30T00:00:00"/>
        <d v="2023-02-05T00:00:00"/>
        <d v="2023-02-07T00:00:00"/>
        <d v="2023-02-08T00:00:00"/>
        <d v="2023-02-11T00:00:00"/>
        <d v="2023-02-15T00:00:00"/>
        <d v="2023-02-19T00:00:00"/>
        <d v="2023-02-20T00:00:00"/>
        <d v="2023-02-21T00:00:00"/>
        <d v="2023-02-23T00:00:00"/>
        <d v="2023-02-24T00:00:00"/>
        <d v="2023-02-26T00:00:00"/>
        <d v="2023-02-27T00:00:00"/>
        <d v="2023-02-28T00:00:00"/>
        <d v="2023-03-02T00:00:00"/>
        <d v="2023-03-03T00:00:00"/>
        <d v="2023-03-04T00:00:00"/>
        <d v="2023-03-06T00:00:00"/>
        <d v="2023-03-07T00:00:00"/>
        <d v="2023-03-13T00:00:00"/>
        <d v="2023-03-14T00:00:00"/>
        <d v="2023-03-17T00:00:00"/>
        <d v="2023-03-19T00:00:00"/>
        <d v="2023-03-23T00:00:00"/>
        <d v="2023-03-25T00:00:00"/>
        <d v="2023-03-27T00:00:00"/>
        <d v="2023-03-31T00:00:00"/>
        <d v="2023-04-03T00:00:00"/>
        <d v="2023-04-05T00:00:00"/>
        <d v="2023-04-06T00:00:00"/>
        <d v="2023-04-10T00:00:00"/>
        <d v="2023-04-11T00:00:00"/>
        <d v="2023-04-12T00:00:00"/>
        <d v="2023-04-13T00:00:00"/>
        <d v="2023-04-14T00:00:00"/>
        <d v="2023-04-16T00:00:00"/>
        <d v="2023-04-18T00:00:00"/>
        <d v="2023-04-19T00:00:00"/>
        <d v="2023-04-21T00:00:00"/>
        <d v="2023-04-22T00:00:00"/>
        <d v="2023-04-26T00:00:00"/>
        <d v="2023-05-01T00:00:00"/>
        <d v="2023-05-02T00:00:00"/>
        <d v="2023-05-03T00:00:00"/>
        <d v="2023-05-04T00:00:00"/>
        <d v="2023-05-05T00:00:00"/>
        <d v="2023-05-06T00:00:00"/>
        <d v="2023-05-07T00:00:00"/>
        <d v="2023-05-10T00:00:00"/>
        <d v="2023-05-11T00:00:00"/>
        <d v="2023-05-14T00:00:00"/>
        <d v="2023-05-17T00:00:00"/>
        <d v="2023-05-18T00:00:00"/>
        <d v="2023-05-20T00:00:00"/>
        <d v="2023-05-23T00:00:00"/>
        <d v="2023-05-24T00:00:00"/>
        <d v="2023-05-27T00:00:00"/>
        <d v="2023-05-29T00:00:00"/>
        <d v="2023-06-01T00:00:00"/>
        <d v="2023-06-03T00:00:00"/>
        <d v="2023-06-05T00:00:00"/>
        <d v="2023-06-09T00:00:00"/>
        <d v="2023-06-10T00:00:00"/>
        <d v="2023-06-13T00:00:00"/>
        <d v="2023-06-14T00:00:00"/>
        <d v="2023-06-15T00:00:00"/>
        <d v="2023-06-17T00:00:00"/>
        <d v="2023-06-20T00:00:00"/>
        <d v="2023-06-22T00:00:00"/>
        <d v="2023-06-23T00:00:00"/>
        <d v="2023-06-24T00:00:00"/>
        <d v="2023-06-29T00:00:00"/>
        <d v="2023-07-01T00:00:00"/>
        <d v="2023-07-02T00:00:00"/>
        <d v="2023-07-03T00:00:00"/>
        <d v="2023-07-05T00:00:00"/>
        <d v="2023-07-07T00:00:00"/>
        <d v="2023-07-08T00:00:00"/>
        <d v="2023-07-09T00:00:00"/>
        <d v="2023-07-10T00:00:00"/>
        <d v="2023-07-14T00:00:00"/>
        <d v="2023-07-16T00:00:00"/>
        <d v="2023-07-18T00:00:00"/>
        <d v="2023-07-19T00:00:00"/>
        <d v="2023-07-21T00:00:00"/>
        <d v="2023-07-24T00:00:00"/>
        <d v="2023-07-25T00:00:00"/>
        <d v="2023-07-26T00:00:00"/>
        <d v="2023-07-30T00:00:00"/>
        <d v="2023-08-02T00:00:00"/>
        <d v="2023-08-03T00:00:00"/>
        <d v="2023-08-04T00:00:00"/>
        <d v="2023-08-08T00:00:00"/>
        <d v="2023-08-10T00:00:00"/>
        <d v="2023-08-12T00:00:00"/>
        <d v="2023-08-15T00:00:00"/>
        <d v="2023-08-17T00:00:00"/>
        <d v="2023-08-19T00:00:00"/>
        <d v="2023-08-21T00:00:00"/>
        <d v="2023-08-23T00:00:00"/>
        <d v="2023-08-24T00:00:00"/>
        <d v="2023-08-25T00:00:00"/>
        <d v="2023-08-26T00:00:00"/>
        <d v="2023-08-27T00:00:00"/>
        <d v="2023-08-29T00:00:00"/>
        <d v="2023-08-30T00:00:00"/>
        <d v="2023-09-08T00:00:00"/>
        <d v="2023-09-14T00:00:00"/>
        <d v="2023-09-17T00:00:00"/>
        <d v="2023-09-18T00:00:00"/>
        <d v="2023-09-19T00:00:00"/>
        <d v="2023-09-20T00:00:00"/>
        <d v="2023-09-21T00:00:00"/>
        <d v="2023-09-25T00:00:00"/>
        <d v="2023-09-30T00:00:00"/>
        <d v="2023-10-04T00:00:00"/>
        <d v="2023-10-05T00:00:00"/>
        <d v="2023-10-07T00:00:00"/>
        <d v="2023-10-09T00:00:00"/>
        <d v="2023-10-11T00:00:00"/>
        <d v="2023-10-12T00:00:00"/>
        <d v="2023-10-15T00:00:00"/>
        <d v="2023-10-18T00:00:00"/>
        <d v="2023-10-21T00:00:00"/>
        <d v="2023-10-22T00:00:00"/>
        <d v="2023-10-25T00:00:00"/>
        <d v="2023-10-26T00:00:00"/>
        <d v="2023-10-30T00:00:00"/>
        <d v="2023-10-31T00:00:00"/>
        <d v="2023-11-10T00:00:00"/>
        <d v="2023-11-14T00:00:00"/>
        <d v="2023-11-15T00:00:00"/>
        <d v="2023-11-19T00:00:00"/>
        <d v="2023-11-20T00:00:00"/>
        <d v="2023-11-28T00:00:00"/>
        <d v="2023-11-29T00:00:00"/>
        <d v="2023-11-30T00:00:00"/>
        <d v="2023-12-01T00:00:00"/>
        <d v="2023-12-02T00:00:00"/>
        <d v="2023-12-03T00:00:00"/>
        <d v="2023-12-05T00:00:00"/>
        <d v="2023-12-06T00:00:00"/>
        <d v="2023-12-07T00:00:00"/>
        <d v="2023-12-16T00:00:00"/>
        <d v="2023-12-18T00:00:00"/>
        <d v="2023-12-19T00:00:00"/>
        <d v="2023-12-20T00:00:00"/>
        <d v="2023-12-21T00:00:00"/>
        <d v="2023-12-22T00:00:00"/>
        <d v="2023-12-24T00:00:00"/>
        <d v="2023-12-26T00:00:00"/>
        <d v="2023-12-28T00:00:00"/>
        <d v="2023-12-29T00:00:00"/>
        <d v="2023-12-30T00:00:00"/>
        <d v="2024-01-01T00:00:00"/>
        <d v="2024-01-02T00:00:00"/>
        <d v="2024-01-08T00:00:00"/>
        <d v="2024-01-10T00:00:00"/>
        <d v="2024-01-11T00:00:00"/>
        <d v="2024-01-12T00:00:00"/>
        <d v="2024-01-13T00:00:00"/>
        <d v="2024-01-16T00:00:00"/>
        <d v="2024-01-18T00:00:00"/>
        <d v="2024-01-20T00:00:00"/>
        <d v="2024-01-21T00:00:00"/>
        <d v="2024-01-24T00:00:00"/>
        <d v="2024-01-25T00:00:00"/>
        <d v="2024-01-27T00:00:00"/>
        <d v="2024-01-28T00:00:00"/>
        <d v="2024-02-01T00:00:00"/>
        <d v="2024-02-03T00:00:00"/>
        <d v="2024-02-06T00:00:00"/>
        <d v="2024-02-08T00:00:00"/>
        <d v="2024-02-11T00:00:00"/>
        <d v="2024-02-14T00:00:00"/>
        <d v="2024-02-16T00:00:00"/>
        <d v="2024-02-17T00:00:00"/>
        <d v="2024-02-18T00:00:00"/>
        <d v="2024-02-19T00:00:00"/>
        <d v="2024-02-20T00:00:00"/>
        <d v="2024-02-25T00:00:00"/>
        <d v="2024-02-27T00:00:00"/>
        <d v="2024-02-29T00:00:00"/>
        <d v="2024-03-02T00:00:00"/>
        <d v="2024-03-03T00:00:00"/>
        <d v="2024-03-04T00:00:00"/>
        <d v="2024-03-06T00:00:00"/>
        <d v="2024-03-07T00:00:00"/>
        <d v="2024-03-09T00:00:00"/>
        <d v="2024-03-10T00:00:00"/>
        <d v="2024-03-11T00:00:00"/>
        <d v="2024-03-13T00:00:00"/>
        <d v="2024-03-15T00:00:00"/>
        <d v="2024-03-16T00:00:00"/>
        <d v="2024-03-18T00:00:00"/>
        <d v="2024-03-23T00:00:00"/>
        <d v="2024-03-26T00:00:00"/>
        <d v="2024-03-27T00:00:00"/>
        <d v="2024-03-30T00:00:00"/>
        <d v="2024-03-31T00:00:00"/>
        <d v="2024-04-03T00:00:00"/>
        <d v="2024-04-04T00:00:00"/>
        <d v="2024-04-05T00:00:00"/>
        <d v="2024-04-06T00:00:00"/>
        <d v="2024-04-09T00:00:00"/>
        <d v="2024-04-12T00:00:00"/>
        <d v="2024-04-16T00:00:00"/>
        <d v="2024-04-18T00:00:00"/>
        <d v="2024-04-19T00:00:00"/>
        <d v="2024-04-21T00:00:00"/>
        <d v="2024-04-24T00:00:00"/>
        <d v="2024-04-29T00:00:00"/>
        <d v="2024-05-01T00:00:00"/>
        <d v="2024-05-04T00:00:00"/>
        <d v="2024-05-05T00:00:00"/>
        <d v="2024-05-07T00:00:00"/>
        <d v="2024-05-10T00:00:00"/>
        <d v="2024-05-12T00:00:00"/>
        <d v="2024-05-14T00:00:00"/>
        <d v="2024-05-17T00:00:00"/>
        <d v="2024-05-18T00:00:00"/>
        <d v="2024-05-19T00:00:00"/>
        <d v="2024-05-20T00:00:00"/>
        <d v="2024-05-21T00:00:00"/>
        <d v="2024-05-22T00:00:00"/>
        <d v="2024-05-23T00:00:00"/>
        <d v="2024-05-26T00:00:00"/>
        <d v="2024-05-27T00:00:00"/>
        <d v="2024-05-28T00:00:00"/>
        <d v="2024-05-30T00:00:00"/>
        <d v="2024-06-02T00:00:00"/>
        <d v="2024-06-03T00:00:00"/>
        <d v="2024-06-04T00:00:00"/>
        <d v="2024-06-05T00:00:00"/>
        <d v="2024-06-06T00:00:00"/>
        <d v="2024-06-07T00:00:00"/>
        <d v="2024-06-08T00:00:00"/>
        <d v="2024-06-09T00:00:00"/>
        <d v="2024-06-10T00:00:00"/>
        <d v="2024-06-11T00:00:00"/>
        <d v="2024-06-15T00:00:00"/>
        <d v="2024-06-16T00:00:00"/>
        <d v="2024-06-19T00:00:00"/>
        <d v="2024-06-23T00:00:00"/>
        <d v="2024-06-25T00:00:00"/>
        <d v="2024-06-28T00:00:00"/>
        <d v="2024-06-29T00:00:00"/>
        <d v="2024-06-30T00:00:00"/>
        <d v="2024-07-09T00:00:00"/>
        <d v="2024-07-11T00:00:00"/>
        <d v="2024-07-12T00:00:00"/>
        <d v="2024-07-13T00:00:00"/>
        <d v="2024-07-15T00:00:00"/>
        <d v="2024-07-18T00:00:00"/>
        <d v="2024-07-19T00:00:00"/>
        <d v="2024-07-24T00:00:00"/>
        <d v="2024-07-25T00:00:00"/>
        <d v="2024-07-28T00:00:00"/>
        <d v="2024-07-29T00:00:00"/>
        <d v="2024-07-31T00:00:00"/>
        <d v="2024-08-03T00:00:00"/>
        <d v="2024-08-04T00:00:00"/>
        <d v="2024-08-07T00:00:00"/>
        <d v="2024-08-08T00:00:00"/>
        <d v="2024-08-10T00:00:00"/>
        <d v="2024-08-12T00:00:00"/>
        <d v="2024-08-14T00:00:00"/>
        <d v="2024-08-15T00:00:00"/>
        <d v="2024-08-16T00:00:00"/>
        <d v="2024-08-18T00:00:00"/>
        <d v="2024-08-19T00:00:00"/>
        <d v="2024-08-21T00:00:00"/>
        <d v="2024-08-22T00:00:00"/>
        <d v="2024-08-27T00:00:00"/>
        <d v="2024-08-28T00:00:00"/>
        <d v="2024-08-30T00:00:00"/>
        <d v="2024-08-31T00:00:00"/>
        <d v="2024-09-02T00:00:00"/>
        <d v="2024-09-03T00:00:00"/>
        <d v="2024-09-04T00:00:00"/>
        <d v="2024-09-05T00:00:00"/>
        <d v="2024-09-06T00:00:00"/>
        <d v="2024-09-07T00:00:00"/>
        <d v="2024-09-09T00:00:00"/>
        <d v="2024-09-10T00:00:00"/>
        <d v="2024-09-13T00:00:00"/>
        <d v="2024-09-14T00:00:00"/>
        <d v="2024-09-19T00:00:00"/>
        <d v="2024-09-22T00:00:00"/>
        <d v="2024-09-23T00:00:00"/>
        <d v="2024-09-25T00:00:00"/>
        <d v="2024-10-02T00:00:00"/>
        <d v="2024-10-03T00:00:00"/>
        <d v="2024-10-04T00:00:00"/>
        <d v="2024-10-08T00:00:00"/>
        <d v="2024-10-09T00:00:00"/>
        <d v="2024-10-10T00:00:00"/>
        <d v="2024-10-11T00:00:00"/>
        <d v="2024-10-13T00:00:00"/>
        <d v="2024-10-14T00:00:00"/>
        <d v="2024-10-16T00:00:00"/>
        <d v="2024-10-17T00:00:00"/>
        <d v="2024-10-19T00:00:00"/>
        <d v="2024-10-22T00:00:00"/>
        <d v="2024-10-23T00:00:00"/>
        <d v="2024-10-24T00:00:00"/>
        <d v="2024-10-25T00:00:00"/>
        <d v="2024-10-27T00:00:00"/>
        <d v="2024-10-29T00:00:00"/>
        <d v="2024-10-30T00:00:00"/>
        <d v="2024-11-01T00:00:00"/>
        <d v="2024-11-02T00:00:00"/>
        <d v="2024-11-04T00:00:00"/>
        <d v="2024-11-05T00:00:00"/>
        <d v="2024-11-06T00:00:00"/>
        <d v="2024-11-07T00:00:00"/>
        <d v="2024-11-08T00:00:00"/>
        <d v="2024-11-11T00:00:00"/>
        <d v="2024-11-12T00:00:00"/>
        <d v="2024-11-17T00:00:00"/>
        <d v="2024-11-20T00:00:00"/>
        <d v="2024-11-21T00:00:00"/>
        <d v="2024-11-22T00:00:00"/>
        <d v="2024-11-25T00:00:00"/>
        <d v="2024-11-27T00:00:00"/>
        <d v="2024-11-30T00:00:00"/>
        <d v="2024-12-04T00:00:00"/>
        <d v="2024-12-05T00:00:00"/>
        <d v="2024-12-07T00:00:00"/>
        <d v="2024-12-08T00:00:00"/>
        <d v="2024-12-10T00:00:00"/>
        <d v="2024-12-12T00:00:00"/>
        <d v="2024-12-14T00:00:00"/>
        <d v="2024-12-15T00:00:00"/>
        <d v="2024-12-17T00:00:00"/>
        <d v="2024-12-20T00:00:00"/>
        <d v="2024-12-21T00:00:00"/>
        <d v="2024-12-23T00:00:00"/>
        <d v="2024-12-24T00:00:00"/>
        <d v="2024-12-27T00:00:00"/>
        <d v="2024-12-28T00:00:00"/>
        <d v="2024-12-29T00:00:0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6T00:00:00"/>
        <d v="2025-08-28T00:00:00"/>
        <d v="2025-08-30T00:00:00"/>
        <d v="2025-09-01T00:00:00"/>
        <d v="2025-09-02T00:00:00"/>
        <d v="2025-09-08T00:00:00"/>
        <d v="2025-09-10T00:00:00"/>
        <d v="2025-09-11T00:00:00"/>
        <d v="2025-09-12T00:00:00"/>
        <d v="2025-09-14T00:00:00"/>
        <d v="2025-09-15T00:00:00"/>
      </sharedItems>
      <fieldGroup par="39"/>
    </cacheField>
    <cacheField name="RequiredDate" numFmtId="165">
      <sharedItems containsSemiMixedTypes="0" containsNonDate="0" containsDate="1" containsString="0" minDate="2023-01-05T00:00:00" maxDate="2025-10-06T00:00:00"/>
    </cacheField>
    <cacheField name="Lead time (Days)" numFmtId="2">
      <sharedItems containsSemiMixedTypes="0" containsString="0" containsNumber="1" containsInteger="1" minValue="0" maxValue="30"/>
    </cacheField>
    <cacheField name="Order by Quarter" numFmtId="165">
      <sharedItems/>
    </cacheField>
    <cacheField name="Region" numFmtId="0">
      <sharedItems count="4">
        <s v="Americas"/>
        <s v="Africa"/>
        <s v="Europe"/>
        <s v="Asia"/>
      </sharedItems>
    </cacheField>
    <cacheField name="Country" numFmtId="0">
      <sharedItems count="12">
        <s v="Canada"/>
        <s v="South Africa"/>
        <s v="France"/>
        <s v="China"/>
        <s v="USA"/>
        <s v="Nigeria"/>
        <s v="United Kingdom"/>
        <s v="Kenya"/>
        <s v="Germany"/>
        <s v="Brazil"/>
        <s v="India"/>
        <s v="Japan"/>
      </sharedItems>
    </cacheField>
    <cacheField name="City" numFmtId="0">
      <sharedItems/>
    </cacheField>
    <cacheField name="CustomerSegment" numFmtId="0">
      <sharedItems/>
    </cacheField>
    <cacheField name="Channel" numFmtId="0">
      <sharedItems count="5">
        <s v="Distributor"/>
        <s v="Online"/>
        <s v="Direct"/>
        <s v="Retail"/>
        <s v="Marketplace"/>
      </sharedItems>
    </cacheField>
    <cacheField name="Salesperson" numFmtId="0">
      <sharedItems count="15">
        <s v="B. Chen"/>
        <s v="A. Patel"/>
        <s v="D. Smith"/>
        <s v="M. Rossi"/>
        <s v="H. Kim"/>
        <s v="O. Wang"/>
        <s v="G. Dubois"/>
        <s v="F. Müller"/>
        <s v="N. Brown"/>
        <s v="L. Okafor"/>
        <s v="K. Singh"/>
        <s v="C. Otieno"/>
        <s v="I. Johnson"/>
        <s v="J. Njeri"/>
        <s v="E. Garcia"/>
      </sharedItems>
    </cacheField>
    <cacheField name="ProductCategory" numFmtId="0">
      <sharedItems count="7">
        <s v="Laptops"/>
        <s v="Printers"/>
        <s v="Phones"/>
        <s v="Accessories"/>
        <s v="Networking"/>
        <s v="Monitors"/>
        <s v="Components"/>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5.92" maxValue="3661.07"/>
    </cacheField>
    <cacheField name="DiscountPct" numFmtId="9">
      <sharedItems containsSemiMixedTypes="0" containsString="0" containsNumber="1" minValue="0" maxValue="0.29899999999999999"/>
    </cacheField>
    <cacheField name="Disc Scenario" numFmtId="9">
      <sharedItems containsSemiMixedTypes="0" containsString="0" containsNumber="1" minValue="0" maxValue="0.25"/>
    </cacheField>
    <cacheField name="Quantity" numFmtId="1">
      <sharedItems containsSemiMixedTypes="0" containsString="0" containsNumber="1" containsInteger="1" minValue="2" maxValue="61"/>
    </cacheField>
    <cacheField name="Margin per unit" numFmtId="9">
      <sharedItems containsSemiMixedTypes="0" containsString="0" containsNumber="1" minValue="5.0071530758226006E-2" maxValue="1.4952060423433648"/>
    </cacheField>
    <cacheField name="Gross Revenue" numFmtId="43">
      <sharedItems containsSemiMixedTypes="0" containsString="0" containsNumber="1" minValue="18.659839999999999" maxValue="139277.83032000001"/>
    </cacheField>
    <cacheField name="Cost of goods" numFmtId="43">
      <sharedItems containsSemiMixedTypes="0" containsString="0" containsNumber="1" minValue="22" maxValue="83258.290000000008"/>
    </cacheField>
    <cacheField name="Gross Profit" numFmtId="43">
      <sharedItems containsSemiMixedTypes="0" containsString="0" containsNumber="1" minValue="-4346.2051199999987" maxValue="65188.659999999996"/>
    </cacheField>
    <cacheField name="Gross profit margin" numFmtId="9">
      <sharedItems containsSemiMixedTypes="0" containsString="0" containsNumber="1" minValue="-0.26461367106736061" maxValue="0.59672531214528945"/>
    </cacheField>
    <cacheField name="Price Band" numFmtId="0">
      <sharedItems/>
    </cacheField>
    <cacheField name="Revenue per order" numFmtId="43">
      <sharedItems containsSemiMixedTypes="0" containsString="0" containsNumber="1" minValue="18.659839999999999" maxValue="139277.83032000001"/>
    </cacheField>
    <cacheField name="Gross profit per order" numFmtId="43">
      <sharedItems containsSemiMixedTypes="0" containsString="0" containsNumber="1" minValue="-4346.2051199999987" maxValue="65188.659999999996"/>
    </cacheField>
    <cacheField name="Purchase rate" numFmtId="0">
      <sharedItems containsSemiMixedTypes="0" containsString="0" containsNumber="1" containsInteger="1" minValue="1" maxValue="62"/>
    </cacheField>
    <cacheField name="Date of first order" numFmtId="14">
      <sharedItems containsSemiMixedTypes="0" containsNonDate="0" containsDate="1" containsString="0" minDate="2023-01-02T00:00:00" maxDate="2023-03-04T00:00:00"/>
    </cacheField>
    <cacheField name="COHORT" numFmtId="14">
      <sharedItems containsSemiMixedTypes="0" containsNonDate="0" containsDate="1" containsString="0" minDate="2023-01-31T00:00:00" maxDate="2023-04-01T00:00:00"/>
    </cacheField>
    <cacheField name="Service Level" numFmtId="0">
      <sharedItems count="2">
        <s v="Good"/>
        <s v="Poor"/>
      </sharedItems>
    </cacheField>
    <cacheField name="Count" numFmtId="0">
      <sharedItems containsSemiMixedTypes="0" containsString="0" containsNumber="1" containsInteger="1" minValue="0" maxValue="458"/>
    </cacheField>
    <cacheField name="Discount" numFmtId="0">
      <sharedItems/>
    </cacheField>
    <cacheField name="Revenue Scenario 1" numFmtId="43">
      <sharedItems containsSemiMixedTypes="0" containsString="0" containsNumber="1" minValue="18.659839999999999" maxValue="139277.83032000001"/>
    </cacheField>
    <cacheField name="Quantity increase by 20%" numFmtId="0">
      <sharedItems containsSemiMixedTypes="0" containsString="0" containsNumber="1" containsInteger="1" minValue="2" maxValue="73"/>
    </cacheField>
    <cacheField name="Revenue On increase in quantity by 20%" numFmtId="43">
      <sharedItems containsSemiMixedTypes="0" containsString="0" containsNumber="1" minValue="23.68" maxValue="201300.41999999998"/>
    </cacheField>
    <cacheField name="Quantity Up 20%" numFmtId="0">
      <sharedItems containsSemiMixedTypes="0" containsString="0" containsNumber="1" containsInteger="1" minValue="2" maxValue="73"/>
    </cacheField>
    <cacheField name="Cost of unit by inflation 15%" numFmtId="43">
      <sharedItems containsSemiMixedTypes="0" containsString="0" containsNumber="1" minValue="6.1409999999999991" maxValue="1720.1584999999998"/>
    </cacheField>
    <cacheField name="Cost of sales Increase by 15%" numFmtId="43">
      <sharedItems containsSemiMixedTypes="0" containsString="0" containsNumber="1" minValue="25.299999999999997" maxValue="95747.03349999999"/>
    </cacheField>
    <cacheField name="Months (OrderDate)" numFmtId="0" databaseField="0">
      <fieldGroup base="1">
        <rangePr groupBy="months" startDate="2023-01-02T00:00:00" endDate="2025-09-16T00:00:00"/>
        <groupItems count="14">
          <s v="&lt;02/01/2023"/>
          <s v="Jan"/>
          <s v="Feb"/>
          <s v="Mar"/>
          <s v="Apr"/>
          <s v="May"/>
          <s v="Jun"/>
          <s v="Jul"/>
          <s v="Aug"/>
          <s v="Sept"/>
          <s v="Oct"/>
          <s v="Nov"/>
          <s v="Dec"/>
          <s v="&gt;16/09/2025"/>
        </groupItems>
      </fieldGroup>
    </cacheField>
    <cacheField name="Years (OrderDate)"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39647840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Mwaura" refreshedDate="46054.352703009259" createdVersion="8" refreshedVersion="8" minRefreshableVersion="3" recordCount="10" xr:uid="{7DAD0FBC-9BCE-4E31-BE77-EB167D991296}">
  <cacheSource type="worksheet">
    <worksheetSource ref="A1:AL11" sheet="Sheet7"/>
  </cacheSource>
  <cacheFields count="38">
    <cacheField name="OrderID" numFmtId="0">
      <sharedItems/>
    </cacheField>
    <cacheField name="OrderDate" numFmtId="165">
      <sharedItems containsSemiMixedTypes="0" containsNonDate="0" containsDate="1" containsString="0" minDate="2023-02-19T00:00:00" maxDate="2025-07-18T00:00:00"/>
    </cacheField>
    <cacheField name="RequiredDate" numFmtId="165">
      <sharedItems containsSemiMixedTypes="0" containsNonDate="0" containsDate="1" containsString="0" minDate="2023-03-12T00:00:00" maxDate="2025-07-24T00:00:00"/>
    </cacheField>
    <cacheField name="Lead time (Days)" numFmtId="2">
      <sharedItems containsSemiMixedTypes="0" containsString="0" containsNumber="1" containsInteger="1" minValue="3" maxValue="23"/>
    </cacheField>
    <cacheField name="Order by Quarter" numFmtId="165">
      <sharedItems/>
    </cacheField>
    <cacheField name="Region" numFmtId="0">
      <sharedItems/>
    </cacheField>
    <cacheField name="Country" numFmtId="0">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acheField>
    <cacheField name="SKU" numFmtId="0">
      <sharedItems count="10">
        <s v="CMP-8851"/>
        <s v="ACC-1770"/>
        <s v="NET-2365"/>
        <s v="LAP-8910"/>
        <s v="MON-6962"/>
        <s v="MON-2266"/>
        <s v="MON-6699"/>
        <s v="CMP-3938"/>
        <s v="LAP-3904"/>
        <s v="NET-5987"/>
      </sharedItems>
    </cacheField>
    <cacheField name="UnitCost" numFmtId="2">
      <sharedItems containsSemiMixedTypes="0" containsString="0" containsNumber="1" minValue="834.26" maxValue="1463.92"/>
    </cacheField>
    <cacheField name="UnitPrice" numFmtId="2">
      <sharedItems containsSemiMixedTypes="0" containsString="0" containsNumber="1" minValue="1780.56" maxValue="3524"/>
    </cacheField>
    <cacheField name="DiscountPct" numFmtId="9">
      <sharedItems containsSemiMixedTypes="0" containsString="0" containsNumber="1" minValue="0" maxValue="0.255"/>
    </cacheField>
    <cacheField name="Disc Scenario" numFmtId="9">
      <sharedItems containsSemiMixedTypes="0" containsString="0" containsNumber="1" minValue="0" maxValue="0.24299999999999999"/>
    </cacheField>
    <cacheField name="Quantity" numFmtId="1">
      <sharedItems containsSemiMixedTypes="0" containsString="0" containsNumber="1" containsInteger="1" minValue="26" maxValue="61"/>
    </cacheField>
    <cacheField name="Margin per unit" numFmtId="9">
      <sharedItems containsSemiMixedTypes="0" containsString="0" containsNumber="1" minValue="0.53849937155035776" maxValue="1.4796993962593408"/>
    </cacheField>
    <cacheField name="Gross Revenue" numFmtId="43">
      <sharedItems containsSemiMixedTypes="0" containsString="0" containsNumber="1" minValue="82141.339799999987" maxValue="139277.83032000001"/>
    </cacheField>
    <cacheField name="Cost of goods" numFmtId="43">
      <sharedItems containsSemiMixedTypes="0" containsString="0" containsNumber="1" minValue="34412.299999999996" maxValue="83258.290000000008"/>
    </cacheField>
    <cacheField name="Gross Profit" numFmtId="43">
      <sharedItems containsSemiMixedTypes="0" containsString="0" containsNumber="1" minValue="22992.449919999992" maxValue="65188.659999999996"/>
    </cacheField>
    <cacheField name="Gross profit margin" numFmtId="9">
      <sharedItems containsSemiMixedTypes="0" containsString="0" containsNumber="1" minValue="0.26305667130040061" maxValue="0.59672531214528945"/>
    </cacheField>
    <cacheField name="Price Band" numFmtId="0">
      <sharedItems/>
    </cacheField>
    <cacheField name="Revenue per order" numFmtId="43">
      <sharedItems containsSemiMixedTypes="0" containsString="0" containsNumber="1" minValue="685.06776000000002" maxValue="47962.717579999997"/>
    </cacheField>
    <cacheField name="Gross profit per order" numFmtId="43">
      <sharedItems containsSemiMixedTypes="0" containsString="0" containsNumber="1" minValue="-79116.530000000013" maxValue="-5467.6824200000046"/>
    </cacheField>
    <cacheField name="Purchase rate" numFmtId="0">
      <sharedItems containsSemiMixedTypes="0" containsString="0" containsNumber="1" containsInteger="1" minValue="1" maxValue="2"/>
    </cacheField>
    <cacheField name="Date of first order" numFmtId="14">
      <sharedItems containsSemiMixedTypes="0" containsNonDate="0" containsDate="1" containsString="0" minDate="2023-02-19T00:00:00" maxDate="2025-07-18T00:00:00"/>
    </cacheField>
    <cacheField name="COHORT" numFmtId="14">
      <sharedItems containsSemiMixedTypes="0" containsNonDate="0" containsDate="1" containsString="0" minDate="2023-02-28T00:00:00" maxDate="2025-08-01T00:00:00"/>
    </cacheField>
    <cacheField name="Service Level" numFmtId="0">
      <sharedItems/>
    </cacheField>
    <cacheField name="Count" numFmtId="0">
      <sharedItems containsSemiMixedTypes="0" containsString="0" containsNumber="1" containsInteger="1" minValue="1" maxValue="6"/>
    </cacheField>
    <cacheField name="Discount" numFmtId="0">
      <sharedItems/>
    </cacheField>
    <cacheField name="Revenue Scenario 1" numFmtId="43">
      <sharedItems containsSemiMixedTypes="0" containsString="0" containsNumber="1" minValue="685.06776000000002" maxValue="47962.717579999997"/>
    </cacheField>
    <cacheField name="Quantity increase by 20%" numFmtId="0">
      <sharedItems containsSemiMixedTypes="0" containsString="0" containsNumber="1" containsInteger="1" minValue="6" maxValue="49"/>
    </cacheField>
    <cacheField name="Revenue On increase in quantity by 20%" numFmtId="43">
      <sharedItems containsSemiMixedTypes="0" containsString="0" containsNumber="1" minValue="991.62" maxValue="75721.659999999989"/>
    </cacheField>
    <cacheField name="Quantity Up 20%" numFmtId="0">
      <sharedItems containsSemiMixedTypes="0" containsString="0" containsNumber="1" containsInteger="1" minValue="6" maxValue="49"/>
    </cacheField>
    <cacheField name="Cost of unit by inflation 15%" numFmtId="43">
      <sharedItems containsSemiMixedTypes="0" containsString="0" containsNumber="1" minValue="32.636999999999993" maxValue="1245.5534999999998"/>
    </cacheField>
    <cacheField name="Cost of sales Increase by 15%" numFmtId="43">
      <sharedItems containsSemiMixedTypes="0" containsString="0" containsNumber="1" minValue="587.46599999999989" maxValue="41697.573999999993"/>
    </cacheField>
  </cacheFields>
  <extLst>
    <ext xmlns:x14="http://schemas.microsoft.com/office/spreadsheetml/2009/9/main" uri="{725AE2AE-9491-48be-B2B4-4EB974FC3084}">
      <x14:pivotCacheDefinition pivotCacheId="609065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x v="0"/>
    <x v="0"/>
    <d v="2023-01-05T00:00:00"/>
    <n v="3"/>
    <x v="0"/>
    <x v="0"/>
    <s v="Canada"/>
    <s v="Toronto"/>
    <s v="Corporate"/>
    <x v="0"/>
    <x v="0"/>
    <s v="Laptops"/>
    <s v="LAP-8555"/>
    <n v="315.87"/>
    <n v="591.67999999999995"/>
    <n v="0"/>
    <n v="7"/>
    <n v="0.87317567353658132"/>
    <x v="0"/>
    <n v="2211.09"/>
    <n v="1930.6699999999992"/>
    <n v="0.46614724175229844"/>
    <s v="High"/>
    <n v="4141.7599999999993"/>
    <n v="1930.6699999999992"/>
  </r>
  <r>
    <x v="1"/>
    <x v="1"/>
    <d v="2023-01-30T00:00:00"/>
    <n v="23"/>
    <x v="0"/>
    <x v="1"/>
    <s v="South Africa"/>
    <s v="Cape Town"/>
    <s v="Consumer"/>
    <x v="1"/>
    <x v="1"/>
    <s v="Printers"/>
    <s v="PRN-4787"/>
    <n v="299.02"/>
    <n v="724.7"/>
    <n v="0.14000000000000001"/>
    <n v="5"/>
    <n v="1.4235837067754669"/>
    <x v="1"/>
    <n v="1495.1"/>
    <n v="1621.1100000000001"/>
    <n v="0.52021847051386139"/>
    <s v="High"/>
    <n v="3116.21"/>
    <n v="1621.1100000000001"/>
  </r>
  <r>
    <x v="2"/>
    <x v="2"/>
    <d v="2023-01-29T00:00:00"/>
    <n v="19"/>
    <x v="0"/>
    <x v="2"/>
    <s v="France"/>
    <s v="Lyon"/>
    <s v="Non-Profit"/>
    <x v="2"/>
    <x v="2"/>
    <s v="Laptops"/>
    <s v="LAP-4551"/>
    <n v="401.66"/>
    <n v="772.09"/>
    <n v="8.8999999999999996E-2"/>
    <n v="14"/>
    <n v="0.92224767216053372"/>
    <x v="2"/>
    <n v="5623.2400000000007"/>
    <n v="4223.99586"/>
    <n v="0.42895244107619046"/>
    <s v="High"/>
    <n v="9847.2358600000007"/>
    <n v="4223.99586"/>
  </r>
  <r>
    <x v="3"/>
    <x v="3"/>
    <d v="2023-01-26T00:00:00"/>
    <n v="14"/>
    <x v="0"/>
    <x v="3"/>
    <s v="China"/>
    <s v="Shenzhen"/>
    <s v="Non-Profit"/>
    <x v="3"/>
    <x v="3"/>
    <s v="Printers"/>
    <s v="PRN-1641"/>
    <n v="1083.0899999999999"/>
    <n v="1425.87"/>
    <n v="0"/>
    <n v="8"/>
    <n v="0.31648339473173975"/>
    <x v="3"/>
    <n v="8664.7199999999993"/>
    <n v="2742.24"/>
    <n v="0.24040059752992909"/>
    <s v="Medium"/>
    <n v="11406.96"/>
    <n v="2742.24"/>
  </r>
  <r>
    <x v="4"/>
    <x v="4"/>
    <d v="2023-01-19T00:00:00"/>
    <n v="6"/>
    <x v="0"/>
    <x v="0"/>
    <s v="USA"/>
    <s v="Chicago"/>
    <s v="Corporate"/>
    <x v="2"/>
    <x v="4"/>
    <s v="Phones"/>
    <s v="PHN-3159"/>
    <n v="833.57"/>
    <n v="881.57"/>
    <n v="5.7000000000000002E-2"/>
    <n v="18"/>
    <n v="5.7583646244466567E-2"/>
    <x v="4"/>
    <n v="15004.26"/>
    <n v="-40.490820000000895"/>
    <n v="-2.7059238560107821E-3"/>
    <s v="Low"/>
    <n v="14963.769179999999"/>
    <n v="-40.490820000000895"/>
  </r>
  <r>
    <x v="5"/>
    <x v="4"/>
    <d v="2023-01-15T00:00:00"/>
    <n v="2"/>
    <x v="0"/>
    <x v="1"/>
    <s v="Nigeria"/>
    <s v="Abuja"/>
    <s v="Education"/>
    <x v="1"/>
    <x v="5"/>
    <s v="Printers"/>
    <s v="PRN-6276"/>
    <n v="28.38"/>
    <n v="47.22"/>
    <n v="0.19400000000000001"/>
    <n v="18"/>
    <n v="0.66384778012684986"/>
    <x v="5"/>
    <n v="510.84"/>
    <n v="174.22776000000005"/>
    <n v="0.25432193743871417"/>
    <s v="Medium"/>
    <n v="685.06776000000002"/>
    <n v="174.22776000000005"/>
  </r>
  <r>
    <x v="6"/>
    <x v="5"/>
    <d v="2023-02-03T00:00:00"/>
    <n v="15"/>
    <x v="0"/>
    <x v="2"/>
    <s v="United Kingdom"/>
    <s v="London"/>
    <s v="Enterprise"/>
    <x v="0"/>
    <x v="6"/>
    <s v="Accessories"/>
    <s v="ACC-3645"/>
    <n v="873.06"/>
    <n v="2101.5500000000002"/>
    <n v="6.6000000000000003E-2"/>
    <n v="10"/>
    <n v="1.4071083316152386"/>
    <x v="6"/>
    <n v="8730.5999999999985"/>
    <n v="10897.877"/>
    <n v="0.55520746719167269"/>
    <s v="High"/>
    <n v="19628.476999999999"/>
    <n v="10897.877"/>
  </r>
  <r>
    <x v="7"/>
    <x v="6"/>
    <d v="2023-02-03T00:00:00"/>
    <n v="14"/>
    <x v="0"/>
    <x v="1"/>
    <s v="Kenya"/>
    <s v="Kisumu"/>
    <s v="Corporate"/>
    <x v="3"/>
    <x v="3"/>
    <s v="Networking"/>
    <s v="NET-6036"/>
    <n v="884.36"/>
    <n v="1545.34"/>
    <n v="0.24299999999999999"/>
    <n v="41"/>
    <n v="0.74741055678682877"/>
    <x v="7"/>
    <n v="36258.76"/>
    <n v="11703.957579999995"/>
    <n v="0.24402198562827965"/>
    <s v="Medium"/>
    <n v="47962.717579999997"/>
    <n v="11703.957579999995"/>
  </r>
  <r>
    <x v="8"/>
    <x v="7"/>
    <d v="2023-01-22T00:00:00"/>
    <n v="1"/>
    <x v="0"/>
    <x v="2"/>
    <s v="Germany"/>
    <s v="Munich"/>
    <s v="Corporate"/>
    <x v="2"/>
    <x v="7"/>
    <s v="Monitors"/>
    <s v="MON-2537"/>
    <n v="150.86000000000001"/>
    <n v="346.96"/>
    <n v="0.19600000000000001"/>
    <n v="8"/>
    <n v="1.2998806840779527"/>
    <x v="8"/>
    <n v="1206.8800000000001"/>
    <n v="1024.7667200000001"/>
    <n v="0.45919755614365343"/>
    <s v="High"/>
    <n v="2231.6467200000002"/>
    <n v="1024.7667200000001"/>
  </r>
  <r>
    <x v="9"/>
    <x v="8"/>
    <d v="2023-02-15T00:00:00"/>
    <n v="20"/>
    <x v="0"/>
    <x v="2"/>
    <s v="Germany"/>
    <s v="Berlin"/>
    <s v="Small Business"/>
    <x v="1"/>
    <x v="5"/>
    <s v="Networking"/>
    <s v="NET-8787"/>
    <n v="492.62"/>
    <n v="743.85620000000006"/>
    <n v="8.8999999999999996E-2"/>
    <n v="10"/>
    <n v="0.51000000000000012"/>
    <x v="9"/>
    <n v="4926.2"/>
    <n v="1850.3299820000011"/>
    <n v="0.27304977428195504"/>
    <s v="Medium"/>
    <n v="6776.5299820000009"/>
    <n v="1850.3299820000011"/>
  </r>
  <r>
    <x v="10"/>
    <x v="9"/>
    <d v="2023-01-31T00:00:00"/>
    <n v="4"/>
    <x v="0"/>
    <x v="2"/>
    <s v="United Kingdom"/>
    <s v="Manchester"/>
    <s v="Enterprise"/>
    <x v="1"/>
    <x v="8"/>
    <s v="Laptops"/>
    <s v="LAP-9782"/>
    <n v="941.2"/>
    <n v="1797.6920000000002"/>
    <n v="0.22"/>
    <n v="16"/>
    <n v="0.91000000000000014"/>
    <x v="10"/>
    <n v="15059.2"/>
    <n v="7375.9961600000024"/>
    <n v="0.32876896227681573"/>
    <s v="High"/>
    <n v="22435.196160000003"/>
    <n v="7375.9961600000024"/>
  </r>
  <r>
    <x v="11"/>
    <x v="10"/>
    <d v="2023-02-06T00:00:00"/>
    <n v="8"/>
    <x v="0"/>
    <x v="0"/>
    <s v="Brazil"/>
    <s v="Brasília"/>
    <s v="Corporate"/>
    <x v="4"/>
    <x v="2"/>
    <s v="Monitors"/>
    <s v="MON-7207"/>
    <n v="41.84"/>
    <n v="86.2"/>
    <n v="0.22600000000000001"/>
    <n v="27"/>
    <n v="1.0602294455066921"/>
    <x v="11"/>
    <n v="1129.68"/>
    <n v="671.72760000000017"/>
    <n v="0.37289039970742882"/>
    <s v="High"/>
    <n v="1801.4076000000002"/>
    <n v="671.72760000000017"/>
  </r>
  <r>
    <x v="12"/>
    <x v="11"/>
    <d v="2023-02-21T00:00:00"/>
    <n v="22"/>
    <x v="0"/>
    <x v="2"/>
    <s v="Germany"/>
    <s v="Munich"/>
    <s v="Small Business"/>
    <x v="4"/>
    <x v="6"/>
    <s v="Networking"/>
    <s v="NET-3460"/>
    <n v="1142.8800000000001"/>
    <n v="1465.29"/>
    <n v="0.186"/>
    <n v="7"/>
    <n v="0.2821031079378411"/>
    <x v="12"/>
    <n v="8000.1600000000008"/>
    <n v="349.06241999999929"/>
    <n v="4.1807775915017401E-2"/>
    <s v="Medium"/>
    <n v="8349.2224200000001"/>
    <n v="349.06241999999929"/>
  </r>
  <r>
    <x v="13"/>
    <x v="12"/>
    <d v="2023-02-28T00:00:00"/>
    <n v="23"/>
    <x v="0"/>
    <x v="0"/>
    <s v="USA"/>
    <s v="Austin"/>
    <s v="Non-Profit"/>
    <x v="0"/>
    <x v="9"/>
    <s v="Phones"/>
    <s v="PHN-2036"/>
    <n v="1214.49"/>
    <n v="1533.95"/>
    <n v="0"/>
    <n v="11"/>
    <n v="0.26304045319434499"/>
    <x v="13"/>
    <n v="13359.39"/>
    <n v="3514.0600000000013"/>
    <n v="0.20825972163369086"/>
    <s v="Medium"/>
    <n v="16873.45"/>
    <n v="3514.0600000000013"/>
  </r>
  <r>
    <x v="14"/>
    <x v="13"/>
    <d v="2023-02-12T00:00:00"/>
    <n v="5"/>
    <x v="0"/>
    <x v="0"/>
    <s v="Brazil"/>
    <s v="São Paulo"/>
    <s v="Education"/>
    <x v="1"/>
    <x v="8"/>
    <s v="Components"/>
    <s v="CMP-2693"/>
    <n v="948.55"/>
    <n v="2089.16"/>
    <n v="7.0000000000000001E-3"/>
    <n v="12"/>
    <n v="1.2024774656053976"/>
    <x v="14"/>
    <n v="11382.599999999999"/>
    <n v="13511.830559999999"/>
    <n v="0.54276519912492427"/>
    <s v="High"/>
    <n v="24894.430559999997"/>
    <n v="13511.830559999999"/>
  </r>
  <r>
    <x v="15"/>
    <x v="14"/>
    <d v="2023-02-11T00:00:00"/>
    <n v="3"/>
    <x v="0"/>
    <x v="1"/>
    <s v="South Africa"/>
    <s v="Cape Town"/>
    <s v="Corporate"/>
    <x v="2"/>
    <x v="3"/>
    <s v="Networking"/>
    <s v="NET-5018"/>
    <n v="1410.05"/>
    <n v="2763.95"/>
    <n v="0.161"/>
    <n v="26"/>
    <n v="0.9601787170667706"/>
    <x v="15"/>
    <n v="36661.299999999996"/>
    <n v="23631.505299999997"/>
    <n v="0.39194569206750779"/>
    <s v="High"/>
    <n v="60292.805299999993"/>
    <n v="23631.505299999997"/>
  </r>
  <r>
    <x v="16"/>
    <x v="15"/>
    <d v="2023-02-12T00:00:00"/>
    <n v="1"/>
    <x v="0"/>
    <x v="1"/>
    <s v="Nigeria"/>
    <s v="Port Harcourt"/>
    <s v="Non-Profit"/>
    <x v="2"/>
    <x v="2"/>
    <s v="Accessories"/>
    <s v="ACC-8242"/>
    <n v="944.61"/>
    <n v="1775.8668"/>
    <n v="5.8999999999999997E-2"/>
    <n v="6"/>
    <n v="0.88"/>
    <x v="16"/>
    <n v="5667.66"/>
    <n v="4358.8839528000008"/>
    <n v="0.43473443823908475"/>
    <s v="High"/>
    <n v="10026.543952800001"/>
    <n v="4358.8839528000008"/>
  </r>
  <r>
    <x v="17"/>
    <x v="16"/>
    <d v="2023-02-26T00:00:00"/>
    <n v="11"/>
    <x v="0"/>
    <x v="1"/>
    <s v="South Africa"/>
    <s v="Johannesburg"/>
    <s v="Non-Profit"/>
    <x v="3"/>
    <x v="10"/>
    <s v="Laptops"/>
    <s v="LAP-3393"/>
    <n v="498.5"/>
    <n v="755.87"/>
    <n v="0.13"/>
    <n v="40"/>
    <n v="0.51628886659979945"/>
    <x v="17"/>
    <n v="19940"/>
    <n v="6364.275999999998"/>
    <n v="0.24194834330357537"/>
    <s v="Medium"/>
    <n v="26304.275999999998"/>
    <n v="6364.275999999998"/>
  </r>
  <r>
    <x v="18"/>
    <x v="17"/>
    <d v="2023-03-12T00:00:00"/>
    <n v="21"/>
    <x v="0"/>
    <x v="2"/>
    <s v="Germany"/>
    <s v="Berlin"/>
    <s v="Small Business"/>
    <x v="2"/>
    <x v="9"/>
    <s v="Monitors"/>
    <s v="MON-6699"/>
    <n v="1234.81"/>
    <n v="2055.2399999999998"/>
    <n v="5.2999999999999999E-2"/>
    <n v="44"/>
    <n v="0.66441800762870395"/>
    <x v="18"/>
    <n v="54331.64"/>
    <n v="31306.100319999998"/>
    <n v="0.36556429680441616"/>
    <s v="Medium"/>
    <n v="85637.740319999997"/>
    <n v="31306.100319999998"/>
  </r>
  <r>
    <x v="19"/>
    <x v="18"/>
    <d v="2023-03-04T00:00:00"/>
    <n v="12"/>
    <x v="0"/>
    <x v="3"/>
    <s v="India"/>
    <s v="Delhi"/>
    <s v="Consumer"/>
    <x v="0"/>
    <x v="3"/>
    <s v="Monitors"/>
    <s v="MON-9906"/>
    <n v="299.75"/>
    <n v="523.01"/>
    <n v="0.157"/>
    <n v="50"/>
    <n v="0.74482068390325273"/>
    <x v="19"/>
    <n v="14987.5"/>
    <n v="7057.3714999999975"/>
    <n v="0.32013665854210122"/>
    <s v="Medium"/>
    <n v="22044.871499999997"/>
    <n v="7057.3714999999975"/>
  </r>
  <r>
    <x v="20"/>
    <x v="19"/>
    <d v="2023-03-12T00:00:00"/>
    <n v="19"/>
    <x v="0"/>
    <x v="1"/>
    <s v="Kenya"/>
    <s v="Nakuru"/>
    <s v="Corporate"/>
    <x v="1"/>
    <x v="7"/>
    <s v="Networking"/>
    <s v="NET-2499"/>
    <n v="352.65"/>
    <n v="485.86"/>
    <n v="4.1000000000000002E-2"/>
    <n v="6"/>
    <n v="0.37773996880759975"/>
    <x v="20"/>
    <n v="2115.8999999999996"/>
    <n v="679.73844000000008"/>
    <n v="0.24314247159943908"/>
    <s v="Medium"/>
    <n v="2795.6384399999997"/>
    <n v="679.73844000000008"/>
  </r>
  <r>
    <x v="21"/>
    <x v="20"/>
    <d v="2023-03-08T00:00:00"/>
    <n v="13"/>
    <x v="0"/>
    <x v="2"/>
    <s v="United Kingdom"/>
    <s v="Manchester"/>
    <s v="Small Business"/>
    <x v="2"/>
    <x v="11"/>
    <s v="Printers"/>
    <s v="PRN-7410"/>
    <n v="307.37"/>
    <n v="462.61"/>
    <n v="0.188"/>
    <n v="11"/>
    <n v="0.50505904935419854"/>
    <x v="21"/>
    <n v="3381.07"/>
    <n v="750.9625200000005"/>
    <n v="0.18174167709599739"/>
    <s v="Medium"/>
    <n v="4132.0325200000007"/>
    <n v="750.9625200000005"/>
  </r>
  <r>
    <x v="22"/>
    <x v="20"/>
    <d v="2023-03-18T00:00:00"/>
    <n v="23"/>
    <x v="0"/>
    <x v="3"/>
    <s v="China"/>
    <s v="Beijing"/>
    <s v="Education"/>
    <x v="0"/>
    <x v="10"/>
    <s v="Printers"/>
    <s v="PRN-1060"/>
    <n v="770.11"/>
    <n v="1667.82"/>
    <n v="6.9000000000000006E-2"/>
    <n v="7"/>
    <n v="1.1656906156263389"/>
    <x v="22"/>
    <n v="5390.77"/>
    <n v="5478.4129400000002"/>
    <n v="0.50403171703355287"/>
    <s v="High"/>
    <n v="10869.182940000001"/>
    <n v="5478.4129400000002"/>
  </r>
  <r>
    <x v="23"/>
    <x v="20"/>
    <d v="2023-03-25T00:00:00"/>
    <n v="30"/>
    <x v="0"/>
    <x v="0"/>
    <s v="Canada"/>
    <s v="Montreal"/>
    <s v="Enterprise"/>
    <x v="1"/>
    <x v="2"/>
    <s v="Phones"/>
    <s v="PHN-4854"/>
    <n v="1242.6600000000001"/>
    <n v="1794.07"/>
    <n v="8.8999999999999996E-2"/>
    <n v="16"/>
    <n v="0.44373360372104986"/>
    <x v="23"/>
    <n v="19882.560000000001"/>
    <n v="6267.8043199999993"/>
    <n v="0.23968325042440553"/>
    <s v="Medium"/>
    <n v="26150.364320000001"/>
    <n v="6267.8043199999993"/>
  </r>
  <r>
    <x v="24"/>
    <x v="21"/>
    <d v="2023-03-09T00:00:00"/>
    <n v="13"/>
    <x v="0"/>
    <x v="0"/>
    <s v="USA"/>
    <s v="New York"/>
    <s v="Enterprise"/>
    <x v="1"/>
    <x v="3"/>
    <s v="Components"/>
    <s v="CMP-1632"/>
    <n v="6.85"/>
    <n v="10.18"/>
    <n v="4.7E-2"/>
    <n v="10"/>
    <n v="0.48613138686131391"/>
    <x v="24"/>
    <n v="68.5"/>
    <n v="28.5154"/>
    <n v="0.2939265312517394"/>
    <s v="Medium"/>
    <n v="97.0154"/>
    <n v="28.5154"/>
  </r>
  <r>
    <x v="25"/>
    <x v="22"/>
    <d v="2023-02-27T00:00:00"/>
    <n v="1"/>
    <x v="0"/>
    <x v="0"/>
    <s v="USA"/>
    <s v="San Francisco"/>
    <s v="Non-Profit"/>
    <x v="1"/>
    <x v="9"/>
    <s v="Networking"/>
    <s v="NET-1282"/>
    <n v="1015.91"/>
    <n v="2331.48"/>
    <n v="0.14599999999999999"/>
    <n v="26"/>
    <n v="1.2949670738549677"/>
    <x v="25"/>
    <n v="26413.66"/>
    <n v="25354.521920000003"/>
    <n v="0.48977037592669626"/>
    <s v="High"/>
    <n v="51768.181920000003"/>
    <n v="25354.521920000003"/>
  </r>
  <r>
    <x v="26"/>
    <x v="23"/>
    <d v="2023-02-28T00:00:00"/>
    <n v="1"/>
    <x v="0"/>
    <x v="2"/>
    <s v="France"/>
    <s v="Marseille"/>
    <s v="Corporate"/>
    <x v="3"/>
    <x v="10"/>
    <s v="Networking"/>
    <s v="NET-5195"/>
    <n v="1299.81"/>
    <n v="3149.13"/>
    <n v="0.10299999999999999"/>
    <n v="14"/>
    <n v="1.4227617882613615"/>
    <x v="26"/>
    <n v="18197.34"/>
    <n v="21349.434539999998"/>
    <n v="0.53985273864511729"/>
    <s v="High"/>
    <n v="39546.774539999999"/>
    <n v="21349.434539999998"/>
  </r>
  <r>
    <x v="27"/>
    <x v="24"/>
    <d v="2023-03-20T00:00:00"/>
    <n v="20"/>
    <x v="0"/>
    <x v="2"/>
    <s v="Germany"/>
    <s v="Berlin"/>
    <s v="Small Business"/>
    <x v="2"/>
    <x v="4"/>
    <s v="Laptops"/>
    <s v="LAP-3679"/>
    <n v="1200.78"/>
    <n v="2001.17"/>
    <n v="0.29199999999999998"/>
    <n v="18"/>
    <n v="0.66655840370425901"/>
    <x v="27"/>
    <n v="21614.04"/>
    <n v="3888.8704799999978"/>
    <n v="0.15248732034132906"/>
    <s v="Medium"/>
    <n v="25502.910479999999"/>
    <n v="3888.8704799999978"/>
  </r>
  <r>
    <x v="28"/>
    <x v="24"/>
    <d v="2023-03-06T00:00:00"/>
    <n v="6"/>
    <x v="0"/>
    <x v="2"/>
    <s v="Germany"/>
    <s v="Frankfurt"/>
    <s v="Small Business"/>
    <x v="4"/>
    <x v="2"/>
    <s v="Printers"/>
    <s v="PRN-9624"/>
    <n v="880.02"/>
    <n v="1251.21"/>
    <n v="0.123"/>
    <n v="29"/>
    <n v="0.42179723188109369"/>
    <x v="28"/>
    <n v="25520.579999999998"/>
    <n v="6301.4439300000049"/>
    <n v="0.19802146915172672"/>
    <s v="Medium"/>
    <n v="31822.023930000003"/>
    <n v="6301.4439300000049"/>
  </r>
  <r>
    <x v="29"/>
    <x v="24"/>
    <d v="2023-03-25T00:00:00"/>
    <n v="25"/>
    <x v="0"/>
    <x v="1"/>
    <s v="Kenya"/>
    <s v="Nairobi"/>
    <s v="Corporate"/>
    <x v="3"/>
    <x v="12"/>
    <s v="Networking"/>
    <s v="NET-9666"/>
    <n v="1460.76"/>
    <n v="2790.0516000000002"/>
    <n v="0.13100000000000001"/>
    <n v="12"/>
    <n v="0.91000000000000014"/>
    <x v="29"/>
    <n v="17529.12"/>
    <n v="11565.538084800002"/>
    <n v="0.39751414335548479"/>
    <s v="High"/>
    <n v="29094.658084800001"/>
    <n v="11565.538084800002"/>
  </r>
  <r>
    <x v="30"/>
    <x v="25"/>
    <d v="2023-03-05T00:00:00"/>
    <n v="3"/>
    <x v="0"/>
    <x v="0"/>
    <s v="Brazil"/>
    <s v="Brasília"/>
    <s v="Enterprise"/>
    <x v="2"/>
    <x v="6"/>
    <s v="Monitors"/>
    <s v="MON-2828"/>
    <n v="1473.58"/>
    <n v="3436.52"/>
    <n v="0.108"/>
    <n v="8"/>
    <n v="1.3320891977361258"/>
    <x v="30"/>
    <n v="11788.64"/>
    <n v="12734.366720000002"/>
    <n v="0.51928243813652564"/>
    <s v="High"/>
    <n v="24523.006720000001"/>
    <n v="12734.366720000002"/>
  </r>
  <r>
    <x v="31"/>
    <x v="26"/>
    <d v="2023-03-20T00:00:00"/>
    <n v="17"/>
    <x v="0"/>
    <x v="3"/>
    <s v="Japan"/>
    <s v="Nagoya"/>
    <s v="Small Business"/>
    <x v="1"/>
    <x v="2"/>
    <s v="Networking"/>
    <s v="NET-7349"/>
    <n v="1171.17"/>
    <n v="2030.64"/>
    <n v="0.157"/>
    <n v="11"/>
    <n v="0.73385588770204158"/>
    <x v="31"/>
    <n v="12882.87"/>
    <n v="5947.254719999999"/>
    <n v="0.31583724528830415"/>
    <s v="Medium"/>
    <n v="18830.12472"/>
    <n v="5947.254719999999"/>
  </r>
  <r>
    <x v="32"/>
    <x v="27"/>
    <d v="2023-03-24T00:00:00"/>
    <n v="20"/>
    <x v="0"/>
    <x v="0"/>
    <s v="Canada"/>
    <s v="Montreal"/>
    <s v="Consumer"/>
    <x v="0"/>
    <x v="12"/>
    <s v="Laptops"/>
    <s v="LAP-6160"/>
    <n v="481.71"/>
    <n v="912.45"/>
    <n v="0.20300000000000001"/>
    <n v="24"/>
    <n v="0.89418945008407569"/>
    <x v="32"/>
    <n v="11561.039999999999"/>
    <n v="5892.3036000000011"/>
    <n v="0.33760313983619739"/>
    <s v="High"/>
    <n v="17453.3436"/>
    <n v="5892.3036000000011"/>
  </r>
  <r>
    <x v="33"/>
    <x v="28"/>
    <d v="2023-04-04T00:00:00"/>
    <n v="29"/>
    <x v="0"/>
    <x v="3"/>
    <s v="China"/>
    <s v="Beijing"/>
    <s v="Small Business"/>
    <x v="2"/>
    <x v="11"/>
    <s v="Monitors"/>
    <s v="MON-2073"/>
    <n v="1126.29"/>
    <n v="2050.87"/>
    <n v="6.4000000000000001E-2"/>
    <n v="7"/>
    <n v="0.82090758152873589"/>
    <x v="33"/>
    <n v="7884.03"/>
    <n v="5553.2702399999989"/>
    <n v="0.41327276616690373"/>
    <s v="High"/>
    <n v="13437.300239999999"/>
    <n v="5553.2702399999989"/>
  </r>
  <r>
    <x v="34"/>
    <x v="29"/>
    <d v="2023-04-01T00:00:00"/>
    <n v="25"/>
    <x v="0"/>
    <x v="1"/>
    <s v="Kenya"/>
    <s v="Nairobi"/>
    <s v="Consumer"/>
    <x v="4"/>
    <x v="2"/>
    <s v="Printers"/>
    <s v="PRN-7049"/>
    <n v="1024.0999999999999"/>
    <n v="2068.6819999999998"/>
    <n v="0.189"/>
    <n v="10"/>
    <n v="1.02"/>
    <x v="34"/>
    <n v="10241"/>
    <n v="6536.0110199999981"/>
    <n v="0.38958137490691108"/>
    <s v="High"/>
    <n v="16777.011019999998"/>
    <n v="6536.0110199999981"/>
  </r>
  <r>
    <x v="35"/>
    <x v="30"/>
    <d v="2023-04-04T00:00:00"/>
    <n v="22"/>
    <x v="0"/>
    <x v="1"/>
    <s v="South Africa"/>
    <s v="Durban"/>
    <s v="Small Business"/>
    <x v="3"/>
    <x v="1"/>
    <s v="Components"/>
    <s v="CMP-2574"/>
    <n v="1113.7"/>
    <n v="1620.6"/>
    <n v="0.13900000000000001"/>
    <n v="11"/>
    <n v="0.45514950166112944"/>
    <x v="35"/>
    <n v="12250.7"/>
    <n v="3098.002599999998"/>
    <n v="0.20184133348182787"/>
    <s v="Medium"/>
    <n v="15348.702599999999"/>
    <n v="3098.002599999998"/>
  </r>
  <r>
    <x v="36"/>
    <x v="31"/>
    <d v="2023-03-30T00:00:00"/>
    <n v="16"/>
    <x v="0"/>
    <x v="1"/>
    <s v="South Africa"/>
    <s v="Cape Town"/>
    <s v="Consumer"/>
    <x v="0"/>
    <x v="10"/>
    <s v="Components"/>
    <s v="CMP-8230"/>
    <n v="1309.77"/>
    <n v="1589.07"/>
    <n v="0.10199999999999999"/>
    <n v="10"/>
    <n v="0.21324354657687988"/>
    <x v="36"/>
    <n v="13097.7"/>
    <n v="1172.1485999999986"/>
    <n v="8.2141628328137886E-2"/>
    <s v="Low"/>
    <n v="14269.848599999999"/>
    <n v="1172.1485999999986"/>
  </r>
  <r>
    <x v="37"/>
    <x v="31"/>
    <d v="2023-03-18T00:00:00"/>
    <n v="4"/>
    <x v="0"/>
    <x v="2"/>
    <s v="Germany"/>
    <s v="Frankfurt"/>
    <s v="Enterprise"/>
    <x v="2"/>
    <x v="1"/>
    <s v="Components"/>
    <s v="CMP-8675"/>
    <n v="472.33"/>
    <n v="845.47069999999997"/>
    <n v="0.16500000000000001"/>
    <n v="14"/>
    <n v="0.79"/>
    <x v="37"/>
    <n v="6612.62"/>
    <n v="3270.9324829999996"/>
    <n v="0.33094704445856887"/>
    <s v="High"/>
    <n v="9883.5524829999995"/>
    <n v="3270.9324829999996"/>
  </r>
  <r>
    <x v="38"/>
    <x v="32"/>
    <d v="2023-04-06T00:00:00"/>
    <n v="20"/>
    <x v="0"/>
    <x v="2"/>
    <s v="Germany"/>
    <s v="Munich"/>
    <s v="Consumer"/>
    <x v="3"/>
    <x v="5"/>
    <s v="Phones"/>
    <s v="PHN-8483"/>
    <n v="692.18"/>
    <n v="1159.3499999999999"/>
    <n v="0.112"/>
    <n v="2"/>
    <n v="0.67492559738796265"/>
    <x v="38"/>
    <n v="1384.36"/>
    <n v="674.64560000000006"/>
    <n v="0.32765602968734037"/>
    <s v="Medium"/>
    <n v="2059.0056"/>
    <n v="674.64560000000006"/>
  </r>
  <r>
    <x v="39"/>
    <x v="33"/>
    <d v="2023-04-09T00:00:00"/>
    <n v="21"/>
    <x v="0"/>
    <x v="2"/>
    <s v="United Kingdom"/>
    <s v="Manchester"/>
    <s v="Consumer"/>
    <x v="3"/>
    <x v="9"/>
    <s v="Accessories"/>
    <s v="ACC-9150"/>
    <n v="1082.17"/>
    <n v="1234.0999999999999"/>
    <n v="0.189"/>
    <n v="16"/>
    <n v="0.14039383830636576"/>
    <x v="39"/>
    <n v="17314.72"/>
    <n v="-1301.0384000000031"/>
    <n v="-8.124542703534228E-2"/>
    <s v="Low"/>
    <n v="16013.681599999998"/>
    <n v="-1301.0384000000031"/>
  </r>
  <r>
    <x v="40"/>
    <x v="34"/>
    <d v="2023-04-15T00:00:00"/>
    <n v="23"/>
    <x v="0"/>
    <x v="1"/>
    <s v="Kenya"/>
    <s v="Mombasa"/>
    <s v="Small Business"/>
    <x v="3"/>
    <x v="11"/>
    <s v="Accessories"/>
    <s v="ACC-2988"/>
    <n v="875.36"/>
    <n v="1178.6199999999999"/>
    <n v="0.151"/>
    <n v="53"/>
    <n v="0.34644032169621625"/>
    <x v="40"/>
    <n v="46394.080000000002"/>
    <n v="6640.2841399999888"/>
    <n v="0.12520719815685888"/>
    <s v="Medium"/>
    <n v="53034.364139999991"/>
    <n v="6640.2841399999888"/>
  </r>
  <r>
    <x v="41"/>
    <x v="35"/>
    <d v="2023-03-26T00:00:00"/>
    <n v="1"/>
    <x v="0"/>
    <x v="3"/>
    <s v="Japan"/>
    <s v="Osaka"/>
    <s v="Small Business"/>
    <x v="0"/>
    <x v="12"/>
    <s v="Monitors"/>
    <s v="MON-9227"/>
    <n v="135.12"/>
    <n v="301.7"/>
    <n v="0.14000000000000001"/>
    <n v="47"/>
    <n v="1.2328300769686202"/>
    <x v="41"/>
    <n v="6350.64"/>
    <n v="5844.0739999999996"/>
    <n v="0.47923009920527859"/>
    <s v="High"/>
    <n v="12194.714"/>
    <n v="5844.0739999999996"/>
  </r>
  <r>
    <x v="42"/>
    <x v="36"/>
    <d v="2023-04-22T00:00:00"/>
    <n v="26"/>
    <x v="0"/>
    <x v="3"/>
    <s v="India"/>
    <s v="Delhi"/>
    <s v="Non-Profit"/>
    <x v="4"/>
    <x v="13"/>
    <s v="Printers"/>
    <s v="PRN-4506"/>
    <n v="178.53"/>
    <n v="199.37"/>
    <n v="0.10100000000000001"/>
    <n v="37"/>
    <n v="0.11673108161093375"/>
    <x v="42"/>
    <n v="6605.61"/>
    <n v="26.034310000000914"/>
    <n v="3.9257699573457538E-3"/>
    <s v="Low"/>
    <n v="6631.6443100000006"/>
    <n v="26.034310000000914"/>
  </r>
  <r>
    <x v="43"/>
    <x v="37"/>
    <d v="2023-04-12T00:00:00"/>
    <n v="12"/>
    <x v="0"/>
    <x v="1"/>
    <s v="Kenya"/>
    <s v="Mombasa"/>
    <s v="Small Business"/>
    <x v="1"/>
    <x v="11"/>
    <s v="Phones"/>
    <s v="PHN-8014"/>
    <n v="304.22000000000003"/>
    <n v="393.31"/>
    <n v="0.26500000000000001"/>
    <n v="15"/>
    <n v="0.29284728157254608"/>
    <x v="43"/>
    <n v="4563.3"/>
    <n v="-227.05725000000075"/>
    <n v="-5.2362670424759034E-2"/>
    <s v="Medium"/>
    <n v="4336.2427499999994"/>
    <n v="-227.05725000000075"/>
  </r>
  <r>
    <x v="44"/>
    <x v="37"/>
    <d v="2023-04-05T00:00:00"/>
    <n v="5"/>
    <x v="0"/>
    <x v="1"/>
    <s v="Kenya"/>
    <s v="Nakuru"/>
    <s v="Education"/>
    <x v="4"/>
    <x v="0"/>
    <s v="Laptops"/>
    <s v="LAP-7819"/>
    <n v="533.26"/>
    <n v="1055.8548000000001"/>
    <n v="0"/>
    <n v="15"/>
    <n v="0.9800000000000002"/>
    <x v="44"/>
    <n v="7998.9"/>
    <n v="7838.9220000000005"/>
    <n v="0.49494949494949497"/>
    <s v="High"/>
    <n v="15837.822"/>
    <n v="7838.9220000000005"/>
  </r>
  <r>
    <x v="45"/>
    <x v="38"/>
    <d v="2023-04-16T00:00:00"/>
    <n v="13"/>
    <x v="1"/>
    <x v="2"/>
    <s v="France"/>
    <s v="Marseille"/>
    <s v="Non-Profit"/>
    <x v="4"/>
    <x v="3"/>
    <s v="Accessories"/>
    <s v="ACC-4815"/>
    <n v="790.54"/>
    <n v="1375.5395999999998"/>
    <n v="0"/>
    <n v="15"/>
    <n v="0.73999999999999988"/>
    <x v="45"/>
    <n v="11858.099999999999"/>
    <n v="8774.9939999999988"/>
    <n v="0.42528735632183906"/>
    <s v="Medium"/>
    <n v="20633.093999999997"/>
    <n v="8774.9939999999988"/>
  </r>
  <r>
    <x v="46"/>
    <x v="39"/>
    <d v="2023-04-16T00:00:00"/>
    <n v="11"/>
    <x v="1"/>
    <x v="0"/>
    <s v="Canada"/>
    <s v="Vancouver"/>
    <s v="Non-Profit"/>
    <x v="1"/>
    <x v="5"/>
    <s v="Monitors"/>
    <s v="MON-5259"/>
    <n v="213.1"/>
    <n v="501.31"/>
    <n v="5.6000000000000001E-2"/>
    <n v="15"/>
    <n v="1.3524636320976069"/>
    <x v="46"/>
    <n v="3196.5"/>
    <n v="3902.0495999999994"/>
    <n v="0.54969674368409005"/>
    <s v="High"/>
    <n v="7098.5495999999994"/>
    <n v="3902.0495999999994"/>
  </r>
  <r>
    <x v="47"/>
    <x v="40"/>
    <d v="2023-04-08T00:00:00"/>
    <n v="2"/>
    <x v="1"/>
    <x v="1"/>
    <s v="Nigeria"/>
    <s v="Abuja"/>
    <s v="Small Business"/>
    <x v="4"/>
    <x v="10"/>
    <s v="Monitors"/>
    <s v="MON-4373"/>
    <n v="720.35"/>
    <n v="1571.66"/>
    <n v="0.107"/>
    <n v="23"/>
    <n v="1.1818005136392031"/>
    <x v="47"/>
    <n v="16568.05"/>
    <n v="15712.274740000001"/>
    <n v="0.4867446305622265"/>
    <s v="High"/>
    <n v="32280.32474"/>
    <n v="15712.274740000001"/>
  </r>
  <r>
    <x v="48"/>
    <x v="40"/>
    <d v="2023-04-27T00:00:00"/>
    <n v="21"/>
    <x v="1"/>
    <x v="2"/>
    <s v="United Kingdom"/>
    <s v="Manchester"/>
    <s v="Enterprise"/>
    <x v="0"/>
    <x v="12"/>
    <s v="Printers"/>
    <s v="PRN-8970"/>
    <n v="1084.79"/>
    <n v="2484.9899999999998"/>
    <n v="3.4000000000000002E-2"/>
    <n v="18"/>
    <n v="1.2907567363268466"/>
    <x v="48"/>
    <n v="19526.22"/>
    <n v="23682.78611999999"/>
    <n v="0.54809837685755114"/>
    <s v="High"/>
    <n v="43209.006119999991"/>
    <n v="23682.78611999999"/>
  </r>
  <r>
    <x v="49"/>
    <x v="41"/>
    <d v="2023-04-25T00:00:00"/>
    <n v="15"/>
    <x v="1"/>
    <x v="2"/>
    <s v="United Kingdom"/>
    <s v="London"/>
    <s v="Small Business"/>
    <x v="3"/>
    <x v="2"/>
    <s v="Printers"/>
    <s v="PRN-5067"/>
    <n v="405.66"/>
    <n v="962.51"/>
    <n v="0.19"/>
    <n v="7"/>
    <n v="1.3727012769314202"/>
    <x v="49"/>
    <n v="2839.6200000000003"/>
    <n v="2617.8116999999997"/>
    <n v="0.47967832561239376"/>
    <s v="High"/>
    <n v="5457.4317000000001"/>
    <n v="2617.8116999999997"/>
  </r>
  <r>
    <x v="50"/>
    <x v="42"/>
    <d v="2023-04-13T00:00:00"/>
    <n v="2"/>
    <x v="1"/>
    <x v="0"/>
    <s v="USA"/>
    <s v="San Francisco"/>
    <s v="Education"/>
    <x v="4"/>
    <x v="6"/>
    <s v="Networking"/>
    <s v="NET-1816"/>
    <n v="32.1"/>
    <n v="70.599999999999994"/>
    <n v="0.28199999999999997"/>
    <n v="22"/>
    <n v="1.1993769470404982"/>
    <x v="50"/>
    <n v="706.2"/>
    <n v="408.99759999999969"/>
    <n v="0.36674899587301818"/>
    <s v="High"/>
    <n v="1115.1975999999997"/>
    <n v="408.99759999999969"/>
  </r>
  <r>
    <x v="51"/>
    <x v="43"/>
    <d v="2023-04-17T00:00:00"/>
    <n v="5"/>
    <x v="1"/>
    <x v="2"/>
    <s v="France"/>
    <s v="Lyon"/>
    <s v="Enterprise"/>
    <x v="2"/>
    <x v="14"/>
    <s v="Monitors"/>
    <s v="MON-3043"/>
    <n v="1087.81"/>
    <n v="2323.87"/>
    <n v="9.4E-2"/>
    <n v="13"/>
    <n v="1.1362829905957843"/>
    <x v="51"/>
    <n v="14141.529999999999"/>
    <n v="13229.010859999999"/>
    <n v="0.48333026839572651"/>
    <s v="High"/>
    <n v="27370.540859999997"/>
    <n v="13229.010859999999"/>
  </r>
  <r>
    <x v="52"/>
    <x v="44"/>
    <d v="2023-04-20T00:00:00"/>
    <n v="7"/>
    <x v="1"/>
    <x v="2"/>
    <s v="France"/>
    <s v="Lyon"/>
    <s v="Small Business"/>
    <x v="1"/>
    <x v="1"/>
    <s v="Laptops"/>
    <s v="LAP-3565"/>
    <n v="227.02"/>
    <n v="434.72"/>
    <n v="9.8000000000000004E-2"/>
    <n v="10"/>
    <n v="0.91489736587084847"/>
    <x v="52"/>
    <n v="2270.2000000000003"/>
    <n v="1650.9744000000005"/>
    <n v="0.42104079838938052"/>
    <s v="High"/>
    <n v="3921.1744000000008"/>
    <n v="1650.9744000000005"/>
  </r>
  <r>
    <x v="53"/>
    <x v="44"/>
    <d v="2023-05-02T00:00:00"/>
    <n v="19"/>
    <x v="1"/>
    <x v="0"/>
    <s v="Canada"/>
    <s v="Montreal"/>
    <s v="Consumer"/>
    <x v="0"/>
    <x v="14"/>
    <s v="Monitors"/>
    <s v="MON-6053"/>
    <n v="671.05"/>
    <n v="1645.48"/>
    <n v="0.13700000000000001"/>
    <n v="6"/>
    <n v="1.4520974592057225"/>
    <x v="53"/>
    <n v="4026.2999999999997"/>
    <n v="4493.9954400000006"/>
    <n v="0.52744596377517172"/>
    <s v="High"/>
    <n v="8520.2954399999999"/>
    <n v="4493.9954400000006"/>
  </r>
  <r>
    <x v="54"/>
    <x v="45"/>
    <d v="2023-05-14T00:00:00"/>
    <n v="30"/>
    <x v="1"/>
    <x v="1"/>
    <s v="Kenya"/>
    <s v="Nakuru"/>
    <s v="Consumer"/>
    <x v="4"/>
    <x v="3"/>
    <s v="Phones"/>
    <s v="PHN-1784"/>
    <n v="209.25"/>
    <n v="434.8"/>
    <n v="0"/>
    <n v="9"/>
    <n v="1.0778972520908006"/>
    <x v="54"/>
    <n v="1883.25"/>
    <n v="2029.9500000000003"/>
    <n v="0.51874425022999082"/>
    <s v="High"/>
    <n v="3913.2000000000003"/>
    <n v="2029.9500000000003"/>
  </r>
  <r>
    <x v="55"/>
    <x v="45"/>
    <d v="2023-05-13T00:00:00"/>
    <n v="29"/>
    <x v="1"/>
    <x v="2"/>
    <s v="Germany"/>
    <s v="Frankfurt"/>
    <s v="Consumer"/>
    <x v="2"/>
    <x v="13"/>
    <s v="Printers"/>
    <s v="PRN-7019"/>
    <n v="1320.33"/>
    <n v="2645.23"/>
    <n v="0.155"/>
    <n v="25"/>
    <n v="1.0034612558981468"/>
    <x v="55"/>
    <n v="33008.25"/>
    <n v="22872.233749999999"/>
    <n v="0.40930629470436536"/>
    <s v="High"/>
    <n v="55880.483749999999"/>
    <n v="22872.233749999999"/>
  </r>
  <r>
    <x v="56"/>
    <x v="46"/>
    <d v="2023-04-23T00:00:00"/>
    <n v="7"/>
    <x v="1"/>
    <x v="0"/>
    <s v="USA"/>
    <s v="Austin"/>
    <s v="Corporate"/>
    <x v="0"/>
    <x v="5"/>
    <s v="Printers"/>
    <s v="PRN-9249"/>
    <n v="1099.1500000000001"/>
    <n v="1431.37"/>
    <n v="0.104"/>
    <n v="8"/>
    <n v="0.30225173998089411"/>
    <x v="56"/>
    <n v="8793.2000000000007"/>
    <n v="1466.8601599999984"/>
    <n v="0.14296798821109433"/>
    <s v="Medium"/>
    <n v="10260.060159999999"/>
    <n v="1466.8601599999984"/>
  </r>
  <r>
    <x v="57"/>
    <x v="46"/>
    <d v="2023-04-19T00:00:00"/>
    <n v="3"/>
    <x v="1"/>
    <x v="2"/>
    <s v="Germany"/>
    <s v="Munich"/>
    <s v="Corporate"/>
    <x v="2"/>
    <x v="0"/>
    <s v="Accessories"/>
    <s v="ACC-1731"/>
    <n v="553.61"/>
    <n v="699.47"/>
    <n v="0.02"/>
    <n v="33"/>
    <n v="0.26347067430140353"/>
    <x v="57"/>
    <n v="18269.13"/>
    <n v="4351.729800000001"/>
    <n v="0.19237685209472014"/>
    <s v="Medium"/>
    <n v="22620.859800000002"/>
    <n v="4351.729800000001"/>
  </r>
  <r>
    <x v="58"/>
    <x v="47"/>
    <d v="2023-05-18T00:00:00"/>
    <n v="30"/>
    <x v="1"/>
    <x v="3"/>
    <s v="China"/>
    <s v="Shenzhen"/>
    <s v="Non-Profit"/>
    <x v="3"/>
    <x v="4"/>
    <s v="Laptops"/>
    <s v="LAP-1482"/>
    <n v="329.03"/>
    <n v="391.15"/>
    <n v="0.19700000000000001"/>
    <n v="46"/>
    <n v="0.18879737409962621"/>
    <x v="58"/>
    <n v="15135.38"/>
    <n v="-687.08130000000165"/>
    <n v="-4.7554477815440081E-2"/>
    <s v="Low"/>
    <n v="14448.298699999998"/>
    <n v="-687.08130000000165"/>
  </r>
  <r>
    <x v="59"/>
    <x v="48"/>
    <d v="2023-05-07T00:00:00"/>
    <n v="18"/>
    <x v="1"/>
    <x v="2"/>
    <s v="United Kingdom"/>
    <s v="London"/>
    <s v="Non-Profit"/>
    <x v="2"/>
    <x v="4"/>
    <s v="Networking"/>
    <s v="NET-2439"/>
    <n v="516.96"/>
    <n v="745.38"/>
    <n v="0.19700000000000001"/>
    <n v="4"/>
    <n v="0.44185236768802216"/>
    <x v="59"/>
    <n v="2067.84"/>
    <n v="326.32055999999966"/>
    <n v="0.13629852794835101"/>
    <s v="Medium"/>
    <n v="2394.1605599999998"/>
    <n v="326.32055999999966"/>
  </r>
  <r>
    <x v="60"/>
    <x v="48"/>
    <d v="2023-04-21T00:00:00"/>
    <n v="2"/>
    <x v="1"/>
    <x v="3"/>
    <s v="Japan"/>
    <s v="Nagoya"/>
    <s v="Small Business"/>
    <x v="2"/>
    <x v="3"/>
    <s v="Components"/>
    <s v="CMP-8604"/>
    <n v="607.04"/>
    <n v="1229.3399999999999"/>
    <n v="0.14699999999999999"/>
    <n v="7"/>
    <n v="1.0251383763837638"/>
    <x v="60"/>
    <n v="4249.28"/>
    <n v="3091.1091399999996"/>
    <n v="0.42110970972310058"/>
    <s v="High"/>
    <n v="7340.3891399999993"/>
    <n v="3091.1091399999996"/>
  </r>
  <r>
    <x v="61"/>
    <x v="48"/>
    <d v="2023-04-30T00:00:00"/>
    <n v="11"/>
    <x v="1"/>
    <x v="3"/>
    <s v="India"/>
    <s v="Delhi"/>
    <s v="Small Business"/>
    <x v="3"/>
    <x v="1"/>
    <s v="Networking"/>
    <s v="NET-2062"/>
    <n v="826.55"/>
    <n v="1397.05"/>
    <n v="0.16900000000000001"/>
    <n v="28"/>
    <n v="0.69021837759361204"/>
    <x v="61"/>
    <n v="23143.399999999998"/>
    <n v="9363.1594000000005"/>
    <n v="0.28803907804527601"/>
    <s v="Medium"/>
    <n v="32506.559399999998"/>
    <n v="9363.1594000000005"/>
  </r>
  <r>
    <x v="62"/>
    <x v="48"/>
    <d v="2023-04-28T00:00:00"/>
    <n v="9"/>
    <x v="1"/>
    <x v="0"/>
    <s v="Brazil"/>
    <s v="Rio de Janeiro"/>
    <s v="Corporate"/>
    <x v="0"/>
    <x v="3"/>
    <s v="Phones"/>
    <s v="PHN-7132"/>
    <n v="1013.54"/>
    <n v="1956.1322"/>
    <n v="0.17499999999999999"/>
    <n v="16"/>
    <n v="0.93"/>
    <x v="62"/>
    <n v="16216.64"/>
    <n v="9604.3050399999993"/>
    <n v="0.37195792118071908"/>
    <s v="High"/>
    <n v="25820.945039999999"/>
    <n v="9604.3050399999993"/>
  </r>
  <r>
    <x v="63"/>
    <x v="48"/>
    <d v="2023-04-28T00:00:00"/>
    <n v="9"/>
    <x v="1"/>
    <x v="2"/>
    <s v="Germany"/>
    <s v="Berlin"/>
    <s v="Education"/>
    <x v="1"/>
    <x v="14"/>
    <s v="Monitors"/>
    <s v="MON-1663"/>
    <n v="1178.42"/>
    <n v="2446.56"/>
    <n v="2.9000000000000001E-2"/>
    <n v="11"/>
    <n v="1.0761358429083008"/>
    <x v="63"/>
    <n v="12962.62"/>
    <n v="13169.08736"/>
    <n v="0.5039505141618883"/>
    <s v="High"/>
    <n v="26131.70736"/>
    <n v="13169.08736"/>
  </r>
  <r>
    <x v="64"/>
    <x v="48"/>
    <d v="2023-05-07T00:00:00"/>
    <n v="18"/>
    <x v="1"/>
    <x v="2"/>
    <s v="United Kingdom"/>
    <s v="Birmingham"/>
    <s v="Enterprise"/>
    <x v="3"/>
    <x v="8"/>
    <s v="Laptops"/>
    <s v="LAP-9766"/>
    <n v="1089.1500000000001"/>
    <n v="2080.2765000000004"/>
    <n v="5.0999999999999997E-2"/>
    <n v="15"/>
    <n v="0.91000000000000025"/>
    <x v="64"/>
    <n v="16337.250000000002"/>
    <n v="13275.485977500002"/>
    <n v="0.44830325666587589"/>
    <s v="High"/>
    <n v="29612.735977500004"/>
    <n v="13275.485977500002"/>
  </r>
  <r>
    <x v="65"/>
    <x v="49"/>
    <d v="2023-05-10T00:00:00"/>
    <n v="19"/>
    <x v="1"/>
    <x v="3"/>
    <s v="China"/>
    <s v="Shanghai"/>
    <s v="Corporate"/>
    <x v="3"/>
    <x v="1"/>
    <s v="Components"/>
    <s v="CMP-7371"/>
    <n v="882.33"/>
    <n v="1880.15"/>
    <n v="0.05"/>
    <n v="5"/>
    <n v="1.130892069860483"/>
    <x v="65"/>
    <n v="4411.6500000000005"/>
    <n v="4519.0624999999991"/>
    <n v="0.50601365792482955"/>
    <s v="High"/>
    <n v="8930.7124999999996"/>
    <n v="4519.0624999999991"/>
  </r>
  <r>
    <x v="66"/>
    <x v="50"/>
    <d v="2023-04-23T00:00:00"/>
    <n v="1"/>
    <x v="1"/>
    <x v="1"/>
    <s v="Kenya"/>
    <s v="Nairobi"/>
    <s v="Small Business"/>
    <x v="2"/>
    <x v="14"/>
    <s v="Laptops"/>
    <s v="LAP-1698"/>
    <n v="756.51"/>
    <n v="850.8"/>
    <n v="7.3999999999999996E-2"/>
    <n v="9"/>
    <n v="0.12463814093666967"/>
    <x v="66"/>
    <n v="6808.59"/>
    <n v="281.97720000000027"/>
    <n v="3.9767932810791252E-2"/>
    <s v="Low"/>
    <n v="7090.5672000000004"/>
    <n v="281.97720000000027"/>
  </r>
  <r>
    <x v="67"/>
    <x v="50"/>
    <d v="2023-05-14T00:00:00"/>
    <n v="22"/>
    <x v="1"/>
    <x v="3"/>
    <s v="Japan"/>
    <s v="Nagoya"/>
    <s v="Enterprise"/>
    <x v="3"/>
    <x v="1"/>
    <s v="Accessories"/>
    <s v="ACC-7713"/>
    <n v="1209.22"/>
    <n v="1404.33"/>
    <n v="0.10299999999999999"/>
    <n v="11"/>
    <n v="0.16135194588246959"/>
    <x v="67"/>
    <n v="13301.42"/>
    <n v="555.10411000000022"/>
    <n v="4.0060848275751328E-2"/>
    <s v="Low"/>
    <n v="13856.52411"/>
    <n v="555.10411000000022"/>
  </r>
  <r>
    <x v="68"/>
    <x v="51"/>
    <d v="2023-04-26T00:00:00"/>
    <n v="0"/>
    <x v="1"/>
    <x v="2"/>
    <s v="France"/>
    <s v="Marseille"/>
    <s v="Consumer"/>
    <x v="2"/>
    <x v="3"/>
    <s v="Components"/>
    <s v="CMP-4945"/>
    <n v="81.489999999999995"/>
    <n v="113.08"/>
    <n v="0.121"/>
    <n v="5"/>
    <n v="0.38765492698490617"/>
    <x v="68"/>
    <n v="407.45"/>
    <n v="89.536600000000021"/>
    <n v="0.18015898215364362"/>
    <s v="Medium"/>
    <n v="496.98660000000001"/>
    <n v="89.536600000000021"/>
  </r>
  <r>
    <x v="69"/>
    <x v="52"/>
    <d v="2023-05-18T00:00:00"/>
    <n v="17"/>
    <x v="1"/>
    <x v="1"/>
    <s v="Nigeria"/>
    <s v="Port Harcourt"/>
    <s v="Corporate"/>
    <x v="2"/>
    <x v="7"/>
    <s v="Components"/>
    <s v="CMP-5633"/>
    <n v="327.97"/>
    <n v="639.54150000000004"/>
    <n v="4.9000000000000002E-2"/>
    <n v="3"/>
    <n v="0.95"/>
    <x v="69"/>
    <n v="983.91000000000008"/>
    <n v="840.70189949999985"/>
    <n v="0.46075655854835657"/>
    <s v="High"/>
    <n v="1824.6118994999999"/>
    <n v="840.70189949999985"/>
  </r>
  <r>
    <x v="70"/>
    <x v="53"/>
    <d v="2023-05-19T00:00:00"/>
    <n v="17"/>
    <x v="1"/>
    <x v="3"/>
    <s v="China"/>
    <s v="Shanghai"/>
    <s v="Non-Profit"/>
    <x v="2"/>
    <x v="13"/>
    <s v="Monitors"/>
    <s v="MON-5086"/>
    <n v="714.28"/>
    <n v="757.59"/>
    <n v="0.13600000000000001"/>
    <n v="12"/>
    <n v="6.0634485075880692E-2"/>
    <x v="70"/>
    <n v="8571.36"/>
    <n v="-716.66688000000067"/>
    <n v="-9.1240595787910383E-2"/>
    <s v="Low"/>
    <n v="7854.6931199999999"/>
    <n v="-716.66688000000067"/>
  </r>
  <r>
    <x v="71"/>
    <x v="53"/>
    <d v="2023-05-16T00:00:00"/>
    <n v="14"/>
    <x v="1"/>
    <x v="3"/>
    <s v="India"/>
    <s v="Bengaluru"/>
    <s v="Non-Profit"/>
    <x v="3"/>
    <x v="9"/>
    <s v="Monitors"/>
    <s v="MON-4830"/>
    <n v="475.37"/>
    <n v="963.73"/>
    <n v="4.1000000000000002E-2"/>
    <n v="22"/>
    <n v="1.0273260828407347"/>
    <x v="71"/>
    <n v="10458.14"/>
    <n v="9874.6355399999993"/>
    <n v="0.48565113604750881"/>
    <s v="High"/>
    <n v="20332.775539999999"/>
    <n v="9874.6355399999993"/>
  </r>
  <r>
    <x v="72"/>
    <x v="53"/>
    <d v="2023-05-18T00:00:00"/>
    <n v="16"/>
    <x v="1"/>
    <x v="3"/>
    <s v="India"/>
    <s v="Delhi"/>
    <s v="Small Business"/>
    <x v="4"/>
    <x v="10"/>
    <s v="Monitors"/>
    <s v="MON-2266"/>
    <n v="1463.92"/>
    <n v="2252.2399999999998"/>
    <n v="0.11799999999999999"/>
    <n v="44"/>
    <n v="0.53849937155035776"/>
    <x v="72"/>
    <n v="64412.480000000003"/>
    <n v="22992.449919999992"/>
    <n v="0.26305667130040061"/>
    <s v="Medium"/>
    <n v="87404.929919999995"/>
    <n v="22992.449919999992"/>
  </r>
  <r>
    <x v="73"/>
    <x v="54"/>
    <d v="2023-05-16T00:00:00"/>
    <n v="13"/>
    <x v="1"/>
    <x v="0"/>
    <s v="USA"/>
    <s v="New York"/>
    <s v="Corporate"/>
    <x v="4"/>
    <x v="9"/>
    <s v="Phones"/>
    <s v="PHN-5366"/>
    <n v="64.5"/>
    <n v="123.62"/>
    <n v="0"/>
    <n v="3"/>
    <n v="0.91658914728682173"/>
    <x v="73"/>
    <n v="193.5"/>
    <n v="177.36"/>
    <n v="0.47823976702798904"/>
    <s v="High"/>
    <n v="370.86"/>
    <n v="177.36"/>
  </r>
  <r>
    <x v="74"/>
    <x v="55"/>
    <d v="2023-05-26T00:00:00"/>
    <n v="22"/>
    <x v="1"/>
    <x v="0"/>
    <s v="USA"/>
    <s v="San Francisco"/>
    <s v="Enterprise"/>
    <x v="1"/>
    <x v="13"/>
    <s v="Networking"/>
    <s v="NET-5941"/>
    <n v="249.71"/>
    <n v="361.33"/>
    <n v="9.4E-2"/>
    <n v="12"/>
    <n v="0.44699851828120607"/>
    <x v="74"/>
    <n v="2996.52"/>
    <n v="931.85976000000028"/>
    <n v="0.23721223937881206"/>
    <s v="Medium"/>
    <n v="3928.3797600000003"/>
    <n v="931.85976000000028"/>
  </r>
  <r>
    <x v="75"/>
    <x v="55"/>
    <d v="2023-05-16T00:00:00"/>
    <n v="12"/>
    <x v="1"/>
    <x v="1"/>
    <s v="Nigeria"/>
    <s v="Abuja"/>
    <s v="Small Business"/>
    <x v="4"/>
    <x v="13"/>
    <s v="Phones"/>
    <s v="PHN-1670"/>
    <n v="77.739999999999995"/>
    <n v="147.12"/>
    <n v="0"/>
    <n v="15"/>
    <n v="0.89246205299717019"/>
    <x v="75"/>
    <n v="1166.0999999999999"/>
    <n v="1040.7000000000003"/>
    <n v="0.47158781946710177"/>
    <s v="High"/>
    <n v="2206.8000000000002"/>
    <n v="1040.7000000000003"/>
  </r>
  <r>
    <x v="76"/>
    <x v="56"/>
    <d v="2023-05-07T00:00:00"/>
    <n v="2"/>
    <x v="1"/>
    <x v="1"/>
    <s v="Nigeria"/>
    <s v="Port Harcourt"/>
    <s v="Non-Profit"/>
    <x v="4"/>
    <x v="1"/>
    <s v="Components"/>
    <s v="CMP-9392"/>
    <n v="1269.6500000000001"/>
    <n v="2462.77"/>
    <n v="0.107"/>
    <n v="8"/>
    <n v="0.9397235458590949"/>
    <x v="76"/>
    <n v="10157.200000000001"/>
    <n v="7436.8288800000009"/>
    <n v="0.42269050089225502"/>
    <s v="High"/>
    <n v="17594.028880000002"/>
    <n v="7436.8288800000009"/>
  </r>
  <r>
    <x v="77"/>
    <x v="57"/>
    <d v="2023-05-14T00:00:00"/>
    <n v="8"/>
    <x v="1"/>
    <x v="3"/>
    <s v="Japan"/>
    <s v="Osaka"/>
    <s v="Enterprise"/>
    <x v="4"/>
    <x v="0"/>
    <s v="Phones"/>
    <s v="PHN-6131"/>
    <n v="291.18"/>
    <n v="479.54"/>
    <n v="0.14099999999999999"/>
    <n v="22"/>
    <n v="0.64688508826155644"/>
    <x v="77"/>
    <n v="6405.96"/>
    <n v="2656.3869199999999"/>
    <n v="0.29312350801066001"/>
    <s v="Medium"/>
    <n v="9062.34692"/>
    <n v="2656.3869199999999"/>
  </r>
  <r>
    <x v="78"/>
    <x v="58"/>
    <d v="2023-05-29T00:00:00"/>
    <n v="22"/>
    <x v="1"/>
    <x v="1"/>
    <s v="South Africa"/>
    <s v="Durban"/>
    <s v="Education"/>
    <x v="0"/>
    <x v="10"/>
    <s v="Accessories"/>
    <s v="ACC-2364"/>
    <n v="653.86"/>
    <n v="931.84"/>
    <n v="0.121"/>
    <n v="12"/>
    <n v="0.42513687945431744"/>
    <x v="78"/>
    <n v="7846.32"/>
    <n v="1982.7283200000002"/>
    <n v="0.20172129136506273"/>
    <s v="Medium"/>
    <n v="9829.0483199999999"/>
    <n v="1982.7283200000002"/>
  </r>
  <r>
    <x v="79"/>
    <x v="58"/>
    <d v="2023-05-20T00:00:00"/>
    <n v="13"/>
    <x v="1"/>
    <x v="3"/>
    <s v="India"/>
    <s v="Mumbai"/>
    <s v="Enterprise"/>
    <x v="3"/>
    <x v="2"/>
    <s v="Accessories"/>
    <s v="ACC-9283"/>
    <n v="1443.28"/>
    <n v="2580.5700000000002"/>
    <n v="0"/>
    <n v="18"/>
    <n v="0.78798985643811337"/>
    <x v="79"/>
    <n v="25979.040000000001"/>
    <n v="20471.22"/>
    <n v="0.4407127107577008"/>
    <s v="High"/>
    <n v="46450.26"/>
    <n v="20471.22"/>
  </r>
  <r>
    <x v="80"/>
    <x v="59"/>
    <d v="2023-05-14T00:00:00"/>
    <n v="4"/>
    <x v="1"/>
    <x v="3"/>
    <s v="India"/>
    <s v="Delhi"/>
    <s v="Non-Profit"/>
    <x v="0"/>
    <x v="11"/>
    <s v="Monitors"/>
    <s v="MON-2465"/>
    <n v="622.6"/>
    <n v="833.69"/>
    <n v="0.20899999999999999"/>
    <n v="14"/>
    <n v="0.33904593639575975"/>
    <x v="80"/>
    <n v="8716.4"/>
    <n v="515.88306000000011"/>
    <n v="5.5878167582959715E-2"/>
    <s v="Medium"/>
    <n v="9232.2830599999998"/>
    <n v="515.88306000000011"/>
  </r>
  <r>
    <x v="81"/>
    <x v="59"/>
    <d v="2023-05-27T00:00:00"/>
    <n v="17"/>
    <x v="1"/>
    <x v="3"/>
    <s v="India"/>
    <s v="Mumbai"/>
    <s v="Consumer"/>
    <x v="3"/>
    <x v="3"/>
    <s v="Laptops"/>
    <s v="LAP-6499"/>
    <n v="1286.1600000000001"/>
    <n v="3101.11"/>
    <n v="0.1"/>
    <n v="23"/>
    <n v="1.4111385830689804"/>
    <x v="81"/>
    <n v="29581.68"/>
    <n v="34611.296999999999"/>
    <n v="0.53917575749758417"/>
    <s v="High"/>
    <n v="64192.976999999999"/>
    <n v="34611.296999999999"/>
  </r>
  <r>
    <x v="82"/>
    <x v="60"/>
    <d v="2023-06-07T00:00:00"/>
    <n v="27"/>
    <x v="1"/>
    <x v="1"/>
    <s v="Kenya"/>
    <s v="Mombasa"/>
    <s v="Corporate"/>
    <x v="1"/>
    <x v="13"/>
    <s v="Phones"/>
    <s v="PHN-8970"/>
    <n v="12.85"/>
    <n v="15.41"/>
    <n v="0.13700000000000001"/>
    <n v="39"/>
    <n v="0.19922178988326852"/>
    <x v="82"/>
    <n v="501.15"/>
    <n v="17.504369999999994"/>
    <n v="3.3749585489851353E-2"/>
    <s v="Low"/>
    <n v="518.65436999999997"/>
    <n v="17.504369999999994"/>
  </r>
  <r>
    <x v="83"/>
    <x v="60"/>
    <d v="2023-05-28T00:00:00"/>
    <n v="17"/>
    <x v="1"/>
    <x v="3"/>
    <s v="China"/>
    <s v="Shenzhen"/>
    <s v="Enterprise"/>
    <x v="4"/>
    <x v="14"/>
    <s v="Networking"/>
    <s v="NET-3255"/>
    <n v="1331.19"/>
    <n v="2903.09"/>
    <n v="0.14299999999999999"/>
    <n v="8"/>
    <n v="1.1808231732510011"/>
    <x v="83"/>
    <n v="10649.52"/>
    <n v="9254.0650400000013"/>
    <n v="0.46494463290920784"/>
    <s v="High"/>
    <n v="19903.585040000002"/>
    <n v="9254.0650400000013"/>
  </r>
  <r>
    <x v="84"/>
    <x v="61"/>
    <d v="2023-05-22T00:00:00"/>
    <n v="8"/>
    <x v="1"/>
    <x v="1"/>
    <s v="Kenya"/>
    <s v="Mombasa"/>
    <s v="Small Business"/>
    <x v="0"/>
    <x v="7"/>
    <s v="Printers"/>
    <s v="PRN-9488"/>
    <n v="432.01"/>
    <n v="913.78"/>
    <n v="4.9000000000000002E-2"/>
    <n v="12"/>
    <n v="1.115182518923173"/>
    <x v="84"/>
    <n v="5184.12"/>
    <n v="5243.9373600000008"/>
    <n v="0.50286809699711899"/>
    <s v="High"/>
    <n v="10428.057360000001"/>
    <n v="5243.9373600000008"/>
  </r>
  <r>
    <x v="85"/>
    <x v="62"/>
    <d v="2023-06-15T00:00:00"/>
    <n v="29"/>
    <x v="1"/>
    <x v="1"/>
    <s v="South Africa"/>
    <s v="Durban"/>
    <s v="Enterprise"/>
    <x v="3"/>
    <x v="10"/>
    <s v="Accessories"/>
    <s v="ACC-5206"/>
    <n v="40.89"/>
    <n v="62.82"/>
    <n v="0.129"/>
    <n v="17"/>
    <n v="0.53631694790902418"/>
    <x v="85"/>
    <n v="695.13"/>
    <n v="235.04574000000002"/>
    <n v="0.25268960465470752"/>
    <s v="Medium"/>
    <n v="930.17574000000002"/>
    <n v="235.04574000000002"/>
  </r>
  <r>
    <x v="86"/>
    <x v="62"/>
    <d v="2023-06-03T00:00:00"/>
    <n v="17"/>
    <x v="1"/>
    <x v="3"/>
    <s v="China"/>
    <s v="Beijing"/>
    <s v="Non-Profit"/>
    <x v="0"/>
    <x v="3"/>
    <s v="Printers"/>
    <s v="PRN-1923"/>
    <n v="979.59"/>
    <n v="2210.94"/>
    <n v="0.15"/>
    <n v="11"/>
    <n v="1.2570054818852785"/>
    <x v="86"/>
    <n v="10775.49"/>
    <n v="9896.7990000000009"/>
    <n v="0.47874712858358359"/>
    <s v="High"/>
    <n v="20672.289000000001"/>
    <n v="9896.7990000000009"/>
  </r>
  <r>
    <x v="87"/>
    <x v="63"/>
    <d v="2023-05-20T00:00:00"/>
    <n v="2"/>
    <x v="1"/>
    <x v="1"/>
    <s v="South Africa"/>
    <s v="Durban"/>
    <s v="Corporate"/>
    <x v="0"/>
    <x v="1"/>
    <s v="Components"/>
    <s v="CMP-5208"/>
    <n v="917.88"/>
    <n v="1347.92"/>
    <n v="0.12"/>
    <n v="5"/>
    <n v="0.46851440275417272"/>
    <x v="87"/>
    <n v="4589.3999999999996"/>
    <n v="1341.4480000000003"/>
    <n v="0.22618148365967233"/>
    <s v="Medium"/>
    <n v="5930.848"/>
    <n v="1341.4480000000003"/>
  </r>
  <r>
    <x v="88"/>
    <x v="64"/>
    <d v="2023-06-07T00:00:00"/>
    <n v="18"/>
    <x v="1"/>
    <x v="1"/>
    <s v="Nigeria"/>
    <s v="Port Harcourt"/>
    <s v="Enterprise"/>
    <x v="0"/>
    <x v="14"/>
    <s v="Components"/>
    <s v="CMP-4630"/>
    <n v="1120.06"/>
    <n v="2068.21"/>
    <n v="7.8E-2"/>
    <n v="12"/>
    <n v="0.84651715086691792"/>
    <x v="88"/>
    <n v="13440.72"/>
    <n v="9441.9554400000034"/>
    <n v="0.41262462795303284"/>
    <s v="High"/>
    <n v="22882.675440000003"/>
    <n v="9441.9554400000034"/>
  </r>
  <r>
    <x v="89"/>
    <x v="64"/>
    <d v="2023-06-19T00:00:00"/>
    <n v="30"/>
    <x v="1"/>
    <x v="3"/>
    <s v="India"/>
    <s v="Delhi"/>
    <s v="Non-Profit"/>
    <x v="4"/>
    <x v="4"/>
    <s v="Laptops"/>
    <s v="LAP-2806"/>
    <n v="1161.2"/>
    <n v="2275.9520000000002"/>
    <n v="0.19"/>
    <n v="31"/>
    <n v="0.96000000000000008"/>
    <x v="89"/>
    <n v="35997.200000000004"/>
    <n v="21151.954720000002"/>
    <n v="0.37011841773746534"/>
    <s v="High"/>
    <n v="57149.154720000006"/>
    <n v="21151.954720000002"/>
  </r>
  <r>
    <x v="90"/>
    <x v="65"/>
    <d v="2023-06-10T00:00:00"/>
    <n v="18"/>
    <x v="1"/>
    <x v="3"/>
    <s v="China"/>
    <s v="Shanghai"/>
    <s v="Corporate"/>
    <x v="0"/>
    <x v="14"/>
    <s v="Components"/>
    <s v="CMP-6925"/>
    <n v="54.62"/>
    <n v="96.677399999999992"/>
    <n v="0.14799999999999999"/>
    <n v="16"/>
    <n v="0.76999999999999991"/>
    <x v="90"/>
    <n v="873.92"/>
    <n v="443.98631679999983"/>
    <n v="0.33688761571311099"/>
    <s v="High"/>
    <n v="1317.9063167999998"/>
    <n v="443.98631679999983"/>
  </r>
  <r>
    <x v="91"/>
    <x v="65"/>
    <d v="2023-05-25T00:00:00"/>
    <n v="2"/>
    <x v="1"/>
    <x v="0"/>
    <s v="Brazil"/>
    <s v="Rio de Janeiro"/>
    <s v="Enterprise"/>
    <x v="3"/>
    <x v="3"/>
    <s v="Printers"/>
    <s v="PRN-1271"/>
    <n v="690.49"/>
    <n v="1290.29"/>
    <n v="4.2000000000000003E-2"/>
    <n v="22"/>
    <n v="0.86865848889918751"/>
    <x v="91"/>
    <n v="15190.78"/>
    <n v="12003.372039999997"/>
    <n v="0.44139534199647718"/>
    <s v="High"/>
    <n v="27194.152039999997"/>
    <n v="12003.372039999997"/>
  </r>
  <r>
    <x v="92"/>
    <x v="66"/>
    <d v="2023-06-21T00:00:00"/>
    <n v="28"/>
    <x v="1"/>
    <x v="0"/>
    <s v="USA"/>
    <s v="Austin"/>
    <s v="Small Business"/>
    <x v="4"/>
    <x v="6"/>
    <s v="Monitors"/>
    <s v="MON-6882"/>
    <n v="813.97"/>
    <n v="1568.83"/>
    <n v="1.7000000000000001E-2"/>
    <n v="15"/>
    <n v="0.9273806159932183"/>
    <x v="92"/>
    <n v="12209.550000000001"/>
    <n v="10922.848349999995"/>
    <n v="0.4721883215364911"/>
    <s v="High"/>
    <n v="23132.398349999996"/>
    <n v="10922.848349999995"/>
  </r>
  <r>
    <x v="93"/>
    <x v="67"/>
    <d v="2023-06-19T00:00:00"/>
    <n v="23"/>
    <x v="1"/>
    <x v="2"/>
    <s v="Germany"/>
    <s v="Berlin"/>
    <s v="Education"/>
    <x v="3"/>
    <x v="5"/>
    <s v="Accessories"/>
    <s v="ACC-1882"/>
    <n v="1471.58"/>
    <n v="2576.65"/>
    <n v="4.0000000000000001E-3"/>
    <n v="7"/>
    <n v="0.75094116527813659"/>
    <x v="93"/>
    <n v="10301.06"/>
    <n v="7663.3438000000006"/>
    <n v="0.4265849223451546"/>
    <s v="High"/>
    <n v="17964.4038"/>
    <n v="7663.3438000000006"/>
  </r>
  <r>
    <x v="94"/>
    <x v="68"/>
    <d v="2023-06-20T00:00:00"/>
    <n v="22"/>
    <x v="1"/>
    <x v="2"/>
    <s v="United Kingdom"/>
    <s v="London"/>
    <s v="Small Business"/>
    <x v="2"/>
    <x v="10"/>
    <s v="Components"/>
    <s v="CMP-8545"/>
    <n v="1295.3900000000001"/>
    <n v="2905.06"/>
    <n v="0.14799999999999999"/>
    <n v="8"/>
    <n v="1.2426141934089345"/>
    <x v="94"/>
    <n v="10363.120000000001"/>
    <n v="9437.7689599999994"/>
    <n v="0.47663359857556614"/>
    <s v="High"/>
    <n v="19800.88896"/>
    <n v="9437.7689599999994"/>
  </r>
  <r>
    <x v="95"/>
    <x v="69"/>
    <d v="2023-06-08T00:00:00"/>
    <n v="7"/>
    <x v="1"/>
    <x v="2"/>
    <s v="Germany"/>
    <s v="Frankfurt"/>
    <s v="Consumer"/>
    <x v="1"/>
    <x v="1"/>
    <s v="Phones"/>
    <s v="PHN-1924"/>
    <n v="804.17"/>
    <n v="1072.29"/>
    <n v="3.2000000000000001E-2"/>
    <n v="5"/>
    <n v="0.33341208948356693"/>
    <x v="95"/>
    <n v="4020.85"/>
    <n v="1169.0336000000002"/>
    <n v="0.2252523736755869"/>
    <s v="Medium"/>
    <n v="5189.8836000000001"/>
    <n v="1169.0336000000002"/>
  </r>
  <r>
    <x v="96"/>
    <x v="69"/>
    <d v="2023-06-01T00:00:00"/>
    <n v="0"/>
    <x v="1"/>
    <x v="3"/>
    <s v="India"/>
    <s v="Bengaluru"/>
    <s v="Corporate"/>
    <x v="3"/>
    <x v="14"/>
    <s v="Accessories"/>
    <s v="ACC-4587"/>
    <n v="669.37"/>
    <n v="997.2"/>
    <n v="8.2000000000000003E-2"/>
    <n v="5"/>
    <n v="0.48975902714492736"/>
    <x v="96"/>
    <n v="3346.85"/>
    <n v="1230.2980000000002"/>
    <n v="0.26879139586484863"/>
    <s v="Medium"/>
    <n v="4577.1480000000001"/>
    <n v="1230.2980000000002"/>
  </r>
  <r>
    <x v="97"/>
    <x v="70"/>
    <d v="2023-07-01T00:00:00"/>
    <n v="28"/>
    <x v="1"/>
    <x v="0"/>
    <s v="Brazil"/>
    <s v="Brasília"/>
    <s v="Small Business"/>
    <x v="4"/>
    <x v="1"/>
    <s v="Components"/>
    <s v="CMP-1223"/>
    <n v="860.4"/>
    <n v="2066.6"/>
    <n v="0.01"/>
    <n v="3"/>
    <n v="1.4019060901906089"/>
    <x v="97"/>
    <n v="2581.1999999999998"/>
    <n v="3556.601999999999"/>
    <n v="0.57945857491004105"/>
    <s v="High"/>
    <n v="6137.8019999999988"/>
    <n v="3556.601999999999"/>
  </r>
  <r>
    <x v="98"/>
    <x v="71"/>
    <d v="2023-06-28T00:00:00"/>
    <n v="23"/>
    <x v="1"/>
    <x v="2"/>
    <s v="United Kingdom"/>
    <s v="Birmingham"/>
    <s v="Corporate"/>
    <x v="2"/>
    <x v="10"/>
    <s v="Printers"/>
    <s v="PRN-3690"/>
    <n v="605.82000000000005"/>
    <n v="771.12"/>
    <n v="0.13200000000000001"/>
    <n v="19"/>
    <n v="0.27285332276913926"/>
    <x v="98"/>
    <n v="11510.580000000002"/>
    <n v="1206.7310399999988"/>
    <n v="9.4888851597986767E-2"/>
    <s v="Medium"/>
    <n v="12717.311040000001"/>
    <n v="1206.7310399999988"/>
  </r>
  <r>
    <x v="99"/>
    <x v="72"/>
    <d v="2023-06-19T00:00:00"/>
    <n v="10"/>
    <x v="1"/>
    <x v="3"/>
    <s v="China"/>
    <s v="Beijing"/>
    <s v="Enterprise"/>
    <x v="3"/>
    <x v="7"/>
    <s v="Monitors"/>
    <s v="MON-9194"/>
    <n v="339.61"/>
    <n v="621.02"/>
    <n v="7.0999999999999994E-2"/>
    <n v="10"/>
    <n v="0.82862695444774881"/>
    <x v="99"/>
    <n v="3396.1000000000004"/>
    <n v="2373.1758"/>
    <n v="0.41134726129750981"/>
    <s v="High"/>
    <n v="5769.2758000000003"/>
    <n v="2373.1758"/>
  </r>
  <r>
    <x v="100"/>
    <x v="73"/>
    <d v="2023-06-18T00:00:00"/>
    <n v="8"/>
    <x v="1"/>
    <x v="1"/>
    <s v="Kenya"/>
    <s v="Nakuru"/>
    <s v="Enterprise"/>
    <x v="2"/>
    <x v="4"/>
    <s v="Phones"/>
    <s v="PHN-2337"/>
    <n v="894.23"/>
    <n v="1421.55"/>
    <n v="0.109"/>
    <n v="3"/>
    <n v="0.58969169005736766"/>
    <x v="100"/>
    <n v="2682.69"/>
    <n v="1117.1131499999997"/>
    <n v="0.29399237431549574"/>
    <s v="Medium"/>
    <n v="3799.8031499999997"/>
    <n v="1117.1131499999997"/>
  </r>
  <r>
    <x v="101"/>
    <x v="74"/>
    <d v="2023-06-24T00:00:00"/>
    <n v="11"/>
    <x v="1"/>
    <x v="0"/>
    <s v="Canada"/>
    <s v="Toronto"/>
    <s v="Corporate"/>
    <x v="1"/>
    <x v="11"/>
    <s v="Printers"/>
    <s v="PRN-8008"/>
    <n v="247.07"/>
    <n v="495.19"/>
    <n v="2.8000000000000001E-2"/>
    <n v="4"/>
    <n v="1.0042498077467925"/>
    <x v="101"/>
    <n v="988.28"/>
    <n v="937.01872000000003"/>
    <n v="0.48668744764968214"/>
    <s v="High"/>
    <n v="1925.29872"/>
    <n v="937.01872000000003"/>
  </r>
  <r>
    <x v="102"/>
    <x v="75"/>
    <d v="2023-06-16T00:00:00"/>
    <n v="2"/>
    <x v="1"/>
    <x v="2"/>
    <s v="United Kingdom"/>
    <s v="Manchester"/>
    <s v="Non-Profit"/>
    <x v="2"/>
    <x v="10"/>
    <s v="Components"/>
    <s v="CMP-5820"/>
    <n v="357.36"/>
    <n v="703.62"/>
    <n v="0.25700000000000001"/>
    <n v="20"/>
    <n v="0.968938885157824"/>
    <x v="102"/>
    <n v="7147.2000000000007"/>
    <n v="3308.5931999999993"/>
    <n v="0.31643636563125593"/>
    <s v="High"/>
    <n v="10455.7932"/>
    <n v="3308.5931999999993"/>
  </r>
  <r>
    <x v="103"/>
    <x v="76"/>
    <d v="2023-07-12T00:00:00"/>
    <n v="27"/>
    <x v="1"/>
    <x v="2"/>
    <s v="United Kingdom"/>
    <s v="Manchester"/>
    <s v="Consumer"/>
    <x v="2"/>
    <x v="12"/>
    <s v="Accessories"/>
    <s v="ACC-3833"/>
    <n v="751.28"/>
    <n v="1111.8800000000001"/>
    <n v="0.13500000000000001"/>
    <n v="7"/>
    <n v="0.4799808327121714"/>
    <x v="103"/>
    <n v="5258.96"/>
    <n v="1473.4734000000008"/>
    <n v="0.21886193482433863"/>
    <s v="Medium"/>
    <n v="6732.4334000000008"/>
    <n v="1473.4734000000008"/>
  </r>
  <r>
    <x v="104"/>
    <x v="76"/>
    <d v="2023-06-23T00:00:00"/>
    <n v="8"/>
    <x v="1"/>
    <x v="0"/>
    <s v="USA"/>
    <s v="San Francisco"/>
    <s v="Consumer"/>
    <x v="0"/>
    <x v="5"/>
    <s v="Monitors"/>
    <s v="MON-5424"/>
    <n v="1097.0899999999999"/>
    <n v="2182.31"/>
    <n v="0.112"/>
    <n v="9"/>
    <n v="0.98918046832985451"/>
    <x v="104"/>
    <n v="9873.81"/>
    <n v="7567.2115200000026"/>
    <n v="0.43387432962699546"/>
    <s v="High"/>
    <n v="17441.021520000002"/>
    <n v="7567.2115200000026"/>
  </r>
  <r>
    <x v="105"/>
    <x v="77"/>
    <d v="2023-06-24T00:00:00"/>
    <n v="7"/>
    <x v="1"/>
    <x v="0"/>
    <s v="USA"/>
    <s v="San Francisco"/>
    <s v="Corporate"/>
    <x v="3"/>
    <x v="12"/>
    <s v="Printers"/>
    <s v="PRN-6536"/>
    <n v="313.99"/>
    <n v="454.42"/>
    <n v="0.129"/>
    <n v="9"/>
    <n v="0.44724354278798689"/>
    <x v="105"/>
    <n v="2825.91"/>
    <n v="736.28838000000042"/>
    <n v="0.20669493988147858"/>
    <s v="Medium"/>
    <n v="3562.1983800000003"/>
    <n v="736.28838000000042"/>
  </r>
  <r>
    <x v="106"/>
    <x v="78"/>
    <d v="2023-07-08T00:00:00"/>
    <n v="18"/>
    <x v="1"/>
    <x v="0"/>
    <s v="USA"/>
    <s v="New York"/>
    <s v="Consumer"/>
    <x v="4"/>
    <x v="5"/>
    <s v="Networking"/>
    <s v="NET-3828"/>
    <n v="1145.53"/>
    <n v="1278.3"/>
    <n v="0.09"/>
    <n v="41"/>
    <n v="0.11590268260106674"/>
    <x v="106"/>
    <n v="46966.729999999996"/>
    <n v="726.64300000000367"/>
    <n v="1.5235722581416158E-2"/>
    <s v="Low"/>
    <n v="47693.373"/>
    <n v="726.64300000000367"/>
  </r>
  <r>
    <x v="107"/>
    <x v="78"/>
    <d v="2023-07-08T00:00:00"/>
    <n v="18"/>
    <x v="1"/>
    <x v="0"/>
    <s v="USA"/>
    <s v="Austin"/>
    <s v="Non-Profit"/>
    <x v="2"/>
    <x v="7"/>
    <s v="Monitors"/>
    <s v="MON-4326"/>
    <n v="337"/>
    <n v="511.03"/>
    <n v="0.108"/>
    <n v="7"/>
    <n v="0.51640949554896132"/>
    <x v="107"/>
    <n v="2359"/>
    <n v="831.8713200000002"/>
    <n v="0.26070349963219458"/>
    <s v="Medium"/>
    <n v="3190.8713200000002"/>
    <n v="831.8713200000002"/>
  </r>
  <r>
    <x v="108"/>
    <x v="78"/>
    <d v="2023-07-04T00:00:00"/>
    <n v="14"/>
    <x v="1"/>
    <x v="0"/>
    <s v="Brazil"/>
    <s v="Brasília"/>
    <s v="Non-Profit"/>
    <x v="2"/>
    <x v="11"/>
    <s v="Networking"/>
    <s v="NET-1228"/>
    <n v="1292.8599999999999"/>
    <n v="2981.01"/>
    <n v="0.14199999999999999"/>
    <n v="12"/>
    <n v="1.3057484955834355"/>
    <x v="108"/>
    <n v="15514.32"/>
    <n v="15178.158960000001"/>
    <n v="0.49452372288927687"/>
    <s v="High"/>
    <n v="30692.47896"/>
    <n v="15178.158960000001"/>
  </r>
  <r>
    <x v="109"/>
    <x v="79"/>
    <d v="2023-07-21T00:00:00"/>
    <n v="29"/>
    <x v="1"/>
    <x v="2"/>
    <s v="France"/>
    <s v="Lyon"/>
    <s v="Corporate"/>
    <x v="3"/>
    <x v="13"/>
    <s v="Accessories"/>
    <s v="ACC-3385"/>
    <n v="734.34"/>
    <n v="887.9"/>
    <n v="2.5000000000000001E-2"/>
    <n v="12"/>
    <n v="0.20911294495737662"/>
    <x v="109"/>
    <n v="8812.08"/>
    <n v="1576.3499999999985"/>
    <n v="0.15174092716608753"/>
    <s v="Low"/>
    <n v="10388.429999999998"/>
    <n v="1576.3499999999985"/>
  </r>
  <r>
    <x v="110"/>
    <x v="79"/>
    <d v="2023-06-24T00:00:00"/>
    <n v="2"/>
    <x v="1"/>
    <x v="0"/>
    <s v="Canada"/>
    <s v="Toronto"/>
    <s v="Non-Profit"/>
    <x v="3"/>
    <x v="3"/>
    <s v="Accessories"/>
    <s v="ACC-2903"/>
    <n v="471.42"/>
    <n v="824.81"/>
    <n v="8.7999999999999995E-2"/>
    <n v="15"/>
    <n v="0.74962878112935372"/>
    <x v="110"/>
    <n v="7071.3"/>
    <n v="4212.1007999999993"/>
    <n v="0.37330064531608231"/>
    <s v="Medium"/>
    <n v="11283.400799999999"/>
    <n v="4212.1007999999993"/>
  </r>
  <r>
    <x v="111"/>
    <x v="80"/>
    <d v="2023-07-03T00:00:00"/>
    <n v="10"/>
    <x v="1"/>
    <x v="1"/>
    <s v="Nigeria"/>
    <s v="Abuja"/>
    <s v="Consumer"/>
    <x v="1"/>
    <x v="13"/>
    <s v="Printers"/>
    <s v="PRN-2542"/>
    <n v="337.75"/>
    <n v="548.89"/>
    <n v="0"/>
    <n v="13"/>
    <n v="0.62513693560325678"/>
    <x v="111"/>
    <n v="4390.75"/>
    <n v="2744.8199999999997"/>
    <n v="0.38466723751571352"/>
    <s v="Medium"/>
    <n v="7135.57"/>
    <n v="2744.8199999999997"/>
  </r>
  <r>
    <x v="112"/>
    <x v="80"/>
    <d v="2023-06-24T00:00:00"/>
    <n v="1"/>
    <x v="1"/>
    <x v="0"/>
    <s v="Brazil"/>
    <s v="Rio de Janeiro"/>
    <s v="Non-Profit"/>
    <x v="3"/>
    <x v="14"/>
    <s v="Printers"/>
    <s v="PRN-6490"/>
    <n v="804.01"/>
    <n v="1405.07"/>
    <n v="9.6000000000000002E-2"/>
    <n v="8"/>
    <n v="0.74757776644569096"/>
    <x v="112"/>
    <n v="6432.08"/>
    <n v="3729.3862399999998"/>
    <n v="0.36701260939287439"/>
    <s v="Medium"/>
    <n v="10161.46624"/>
    <n v="3729.3862399999998"/>
  </r>
  <r>
    <x v="113"/>
    <x v="80"/>
    <d v="2023-07-18T00:00:00"/>
    <n v="25"/>
    <x v="1"/>
    <x v="0"/>
    <s v="Canada"/>
    <s v="Vancouver"/>
    <s v="Enterprise"/>
    <x v="1"/>
    <x v="8"/>
    <s v="Phones"/>
    <s v="PHN-4677"/>
    <n v="807.02"/>
    <n v="1435.54"/>
    <n v="0"/>
    <n v="23"/>
    <n v="0.77881589056033307"/>
    <x v="113"/>
    <n v="18561.46"/>
    <n v="14455.96"/>
    <n v="0.43782827368098415"/>
    <s v="High"/>
    <n v="33017.42"/>
    <n v="14455.96"/>
  </r>
  <r>
    <x v="114"/>
    <x v="81"/>
    <d v="2023-07-21T00:00:00"/>
    <n v="27"/>
    <x v="1"/>
    <x v="3"/>
    <s v="Japan"/>
    <s v="Nagoya"/>
    <s v="Consumer"/>
    <x v="4"/>
    <x v="13"/>
    <s v="Phones"/>
    <s v="PHN-6818"/>
    <n v="554.76"/>
    <n v="728.69"/>
    <n v="0.22"/>
    <n v="7"/>
    <n v="0.31352296488571646"/>
    <x v="114"/>
    <n v="3883.3199999999997"/>
    <n v="95.32740000000058"/>
    <n v="2.395975074343119E-2"/>
    <s v="Medium"/>
    <n v="3978.6474000000003"/>
    <n v="95.32740000000058"/>
  </r>
  <r>
    <x v="115"/>
    <x v="82"/>
    <d v="2023-07-02T00:00:00"/>
    <n v="3"/>
    <x v="1"/>
    <x v="3"/>
    <s v="Japan"/>
    <s v="Nagoya"/>
    <s v="Education"/>
    <x v="4"/>
    <x v="7"/>
    <s v="Monitors"/>
    <s v="MON-2990"/>
    <n v="55.65"/>
    <n v="83.57"/>
    <n v="6.6000000000000003E-2"/>
    <n v="8"/>
    <n v="0.50170709793351298"/>
    <x v="115"/>
    <n v="445.2"/>
    <n v="179.23503999999997"/>
    <n v="0.2870355257449998"/>
    <s v="Medium"/>
    <n v="624.43503999999996"/>
    <n v="179.23503999999997"/>
  </r>
  <r>
    <x v="116"/>
    <x v="83"/>
    <d v="2023-07-11T00:00:00"/>
    <n v="10"/>
    <x v="2"/>
    <x v="2"/>
    <s v="France"/>
    <s v="Paris"/>
    <s v="Corporate"/>
    <x v="2"/>
    <x v="7"/>
    <s v="Networking"/>
    <s v="NET-6533"/>
    <n v="479.5"/>
    <n v="656.66"/>
    <n v="0.14899999999999999"/>
    <n v="14"/>
    <n v="0.36946819603753905"/>
    <x v="116"/>
    <n v="6713"/>
    <n v="1110.4472399999995"/>
    <n v="0.14193835606412289"/>
    <s v="Medium"/>
    <n v="7823.4472399999995"/>
    <n v="1110.4472399999995"/>
  </r>
  <r>
    <x v="117"/>
    <x v="83"/>
    <d v="2023-07-08T00:00:00"/>
    <n v="7"/>
    <x v="2"/>
    <x v="2"/>
    <s v="Germany"/>
    <s v="Frankfurt"/>
    <s v="Small Business"/>
    <x v="0"/>
    <x v="8"/>
    <s v="Laptops"/>
    <s v="LAP-4666"/>
    <n v="460.21"/>
    <n v="1139.1500000000001"/>
    <n v="0.115"/>
    <n v="14"/>
    <n v="1.4752830229677758"/>
    <x v="117"/>
    <n v="6442.94"/>
    <n v="7671.1285000000016"/>
    <n v="0.54350937151821255"/>
    <s v="High"/>
    <n v="14114.068500000001"/>
    <n v="7671.1285000000016"/>
  </r>
  <r>
    <x v="118"/>
    <x v="83"/>
    <d v="2023-07-08T00:00:00"/>
    <n v="7"/>
    <x v="2"/>
    <x v="1"/>
    <s v="Nigeria"/>
    <s v="Port Harcourt"/>
    <s v="Corporate"/>
    <x v="3"/>
    <x v="1"/>
    <s v="Laptops"/>
    <s v="LAP-3904"/>
    <n v="834.26"/>
    <n v="1780.56"/>
    <n v="1.4E-2"/>
    <n v="47"/>
    <n v="1.1342986598902021"/>
    <x v="118"/>
    <n v="39210.22"/>
    <n v="43304.491519999996"/>
    <n v="0.5248093427497933"/>
    <s v="High"/>
    <n v="82514.711519999997"/>
    <n v="43304.491519999996"/>
  </r>
  <r>
    <x v="119"/>
    <x v="84"/>
    <d v="2023-08-01T00:00:00"/>
    <n v="30"/>
    <x v="2"/>
    <x v="2"/>
    <s v="United Kingdom"/>
    <s v="Birmingham"/>
    <s v="Small Business"/>
    <x v="3"/>
    <x v="0"/>
    <s v="Components"/>
    <s v="CMP-7256"/>
    <n v="137.46"/>
    <n v="188.3"/>
    <n v="3.7999999999999999E-2"/>
    <n v="37"/>
    <n v="0.36985304815946457"/>
    <x v="119"/>
    <n v="5086.0200000000004"/>
    <n v="1616.3301999999994"/>
    <n v="0.24115872071262398"/>
    <s v="Medium"/>
    <n v="6702.3501999999999"/>
    <n v="1616.3301999999994"/>
  </r>
  <r>
    <x v="120"/>
    <x v="85"/>
    <d v="2023-07-23T00:00:00"/>
    <n v="20"/>
    <x v="2"/>
    <x v="1"/>
    <s v="South Africa"/>
    <s v="Johannesburg"/>
    <s v="Small Business"/>
    <x v="0"/>
    <x v="7"/>
    <s v="Laptops"/>
    <s v="LAP-6342"/>
    <n v="1001.96"/>
    <n v="1254.95"/>
    <n v="4.4999999999999998E-2"/>
    <n v="18"/>
    <n v="0.25249510958521298"/>
    <x v="120"/>
    <n v="18035.28"/>
    <n v="3537.3105000000032"/>
    <n v="0.16397244920585699"/>
    <s v="Medium"/>
    <n v="21572.590500000002"/>
    <n v="3537.3105000000032"/>
  </r>
  <r>
    <x v="121"/>
    <x v="86"/>
    <d v="2023-07-14T00:00:00"/>
    <n v="9"/>
    <x v="2"/>
    <x v="0"/>
    <s v="Brazil"/>
    <s v="Brasília"/>
    <s v="Enterprise"/>
    <x v="2"/>
    <x v="0"/>
    <s v="Networking"/>
    <s v="NET-2394"/>
    <n v="578.85"/>
    <n v="998.76"/>
    <n v="8.2000000000000003E-2"/>
    <n v="28"/>
    <n v="0.72542109354755113"/>
    <x v="121"/>
    <n v="16207.800000000001"/>
    <n v="9464.3270399999983"/>
    <n v="0.36866158480960831"/>
    <s v="Medium"/>
    <n v="25672.127039999999"/>
    <n v="9464.3270399999983"/>
  </r>
  <r>
    <x v="122"/>
    <x v="87"/>
    <d v="2023-07-13T00:00:00"/>
    <n v="6"/>
    <x v="2"/>
    <x v="1"/>
    <s v="South Africa"/>
    <s v="Cape Town"/>
    <s v="Small Business"/>
    <x v="4"/>
    <x v="0"/>
    <s v="Accessories"/>
    <s v="ACC-9445"/>
    <n v="612.59"/>
    <n v="1424.74"/>
    <n v="4.3999999999999997E-2"/>
    <n v="15"/>
    <n v="1.3257643774792274"/>
    <x v="122"/>
    <n v="9188.85"/>
    <n v="11241.921599999996"/>
    <n v="0.55024459281802152"/>
    <s v="High"/>
    <n v="20430.771599999996"/>
    <n v="11241.921599999996"/>
  </r>
  <r>
    <x v="123"/>
    <x v="88"/>
    <d v="2023-07-09T00:00:00"/>
    <n v="1"/>
    <x v="2"/>
    <x v="1"/>
    <s v="Kenya"/>
    <s v="Nairobi"/>
    <s v="Consumer"/>
    <x v="1"/>
    <x v="2"/>
    <s v="Laptops"/>
    <s v="LAP-1989"/>
    <n v="1258.72"/>
    <n v="2797.41"/>
    <n v="0"/>
    <n v="7"/>
    <n v="1.2224243676115418"/>
    <x v="123"/>
    <n v="8811.0400000000009"/>
    <n v="10770.829999999998"/>
    <n v="0.55004093071805704"/>
    <s v="High"/>
    <n v="19581.87"/>
    <n v="10770.829999999998"/>
  </r>
  <r>
    <x v="124"/>
    <x v="89"/>
    <d v="2023-07-19T00:00:00"/>
    <n v="10"/>
    <x v="2"/>
    <x v="3"/>
    <s v="Japan"/>
    <s v="Tokyo"/>
    <s v="Enterprise"/>
    <x v="0"/>
    <x v="8"/>
    <s v="Components"/>
    <s v="CMP-6649"/>
    <n v="141.26"/>
    <n v="206.88"/>
    <n v="0.107"/>
    <n v="9"/>
    <n v="0.46453348435508995"/>
    <x v="124"/>
    <n v="1271.3399999999999"/>
    <n v="391.35456000000022"/>
    <n v="0.23537369365062469"/>
    <s v="Medium"/>
    <n v="1662.6945600000001"/>
    <n v="391.35456000000022"/>
  </r>
  <r>
    <x v="125"/>
    <x v="90"/>
    <d v="2023-08-01T00:00:00"/>
    <n v="22"/>
    <x v="2"/>
    <x v="2"/>
    <s v="France"/>
    <s v="Marseille"/>
    <s v="Consumer"/>
    <x v="4"/>
    <x v="0"/>
    <s v="Printers"/>
    <s v="PRN-1504"/>
    <n v="1303.56"/>
    <n v="1791.37"/>
    <n v="0.126"/>
    <n v="22"/>
    <n v="0.37421369173647545"/>
    <x v="125"/>
    <n v="28678.32"/>
    <n v="5766.142359999998"/>
    <n v="0.16740404596055358"/>
    <s v="Medium"/>
    <n v="34444.462359999998"/>
    <n v="5766.142359999998"/>
  </r>
  <r>
    <x v="126"/>
    <x v="91"/>
    <d v="2023-07-14T00:00:00"/>
    <n v="0"/>
    <x v="2"/>
    <x v="1"/>
    <s v="Nigeria"/>
    <s v="Lagos"/>
    <s v="Education"/>
    <x v="3"/>
    <x v="12"/>
    <s v="Accessories"/>
    <s v="ACC-5334"/>
    <n v="956.38"/>
    <n v="1454.22"/>
    <n v="3.9E-2"/>
    <n v="19"/>
    <n v="0.52054622639536585"/>
    <x v="126"/>
    <n v="18171.22"/>
    <n v="8381.3829799999985"/>
    <n v="0.31565202802576603"/>
    <s v="Medium"/>
    <n v="26552.60298"/>
    <n v="8381.3829799999985"/>
  </r>
  <r>
    <x v="127"/>
    <x v="91"/>
    <d v="2023-07-21T00:00:00"/>
    <n v="7"/>
    <x v="2"/>
    <x v="1"/>
    <s v="South Africa"/>
    <s v="Durban"/>
    <s v="Enterprise"/>
    <x v="4"/>
    <x v="7"/>
    <s v="Monitors"/>
    <s v="MON-1018"/>
    <n v="620.74"/>
    <n v="1330.07"/>
    <n v="0.29899999999999999"/>
    <n v="28"/>
    <n v="1.1427167574185648"/>
    <x v="127"/>
    <n v="17380.72"/>
    <n v="8725.8939600000012"/>
    <n v="0.33424073965967516"/>
    <s v="High"/>
    <n v="26106.613960000002"/>
    <n v="8725.8939600000012"/>
  </r>
  <r>
    <x v="128"/>
    <x v="92"/>
    <d v="2023-08-13T00:00:00"/>
    <n v="28"/>
    <x v="2"/>
    <x v="2"/>
    <s v="United Kingdom"/>
    <s v="Manchester"/>
    <s v="Non-Profit"/>
    <x v="1"/>
    <x v="13"/>
    <s v="Laptops"/>
    <s v="LAP-1178"/>
    <n v="1039.03"/>
    <n v="2545.81"/>
    <n v="0.216"/>
    <n v="21"/>
    <n v="1.4501794943360635"/>
    <x v="128"/>
    <n v="21819.63"/>
    <n v="20094.585840000003"/>
    <n v="0.47942172929364774"/>
    <s v="High"/>
    <n v="41914.215840000004"/>
    <n v="20094.585840000003"/>
  </r>
  <r>
    <x v="129"/>
    <x v="93"/>
    <d v="2023-08-10T00:00:00"/>
    <n v="23"/>
    <x v="2"/>
    <x v="1"/>
    <s v="South Africa"/>
    <s v="Johannesburg"/>
    <s v="Small Business"/>
    <x v="3"/>
    <x v="9"/>
    <s v="Components"/>
    <s v="CMP-8659"/>
    <n v="1271.56"/>
    <n v="2047.2115999999999"/>
    <n v="0.192"/>
    <n v="13"/>
    <n v="0.61"/>
    <x v="129"/>
    <n v="16530.28"/>
    <n v="4973.6306464000008"/>
    <n v="0.23128958858618787"/>
    <s v="Medium"/>
    <n v="21503.9106464"/>
    <n v="4973.6306464000008"/>
  </r>
  <r>
    <x v="130"/>
    <x v="93"/>
    <d v="2023-07-22T00:00:00"/>
    <n v="4"/>
    <x v="2"/>
    <x v="0"/>
    <s v="Brazil"/>
    <s v="São Paulo"/>
    <s v="Consumer"/>
    <x v="2"/>
    <x v="7"/>
    <s v="Networking"/>
    <s v="NET-1699"/>
    <n v="1269.55"/>
    <n v="2071.1"/>
    <n v="0.129"/>
    <n v="22"/>
    <n v="0.63136544444882048"/>
    <x v="130"/>
    <n v="27930.1"/>
    <n v="11756.318200000002"/>
    <n v="0.29623026549672354"/>
    <s v="Medium"/>
    <n v="39686.4182"/>
    <n v="11756.318200000002"/>
  </r>
  <r>
    <x v="131"/>
    <x v="94"/>
    <d v="2023-07-31T00:00:00"/>
    <n v="12"/>
    <x v="2"/>
    <x v="0"/>
    <s v="Brazil"/>
    <s v="Rio de Janeiro"/>
    <s v="Corporate"/>
    <x v="3"/>
    <x v="11"/>
    <s v="Monitors"/>
    <s v="MON-7869"/>
    <n v="1334.64"/>
    <n v="2273.42"/>
    <n v="0.11799999999999999"/>
    <n v="14"/>
    <n v="0.70339567224120358"/>
    <x v="131"/>
    <n v="18684.960000000003"/>
    <n v="9387.2301599999992"/>
    <n v="0.33439607335575267"/>
    <s v="Medium"/>
    <n v="28072.190160000002"/>
    <n v="9387.2301599999992"/>
  </r>
  <r>
    <x v="132"/>
    <x v="95"/>
    <d v="2023-07-22T00:00:00"/>
    <n v="1"/>
    <x v="2"/>
    <x v="3"/>
    <s v="India"/>
    <s v="Delhi"/>
    <s v="Small Business"/>
    <x v="0"/>
    <x v="14"/>
    <s v="Printers"/>
    <s v="PRN-2301"/>
    <n v="946.99"/>
    <n v="2132.19"/>
    <n v="0.16500000000000001"/>
    <n v="7"/>
    <n v="1.251544366888774"/>
    <x v="132"/>
    <n v="6628.93"/>
    <n v="5833.72055"/>
    <n v="0.46809629513362228"/>
    <s v="High"/>
    <n v="12462.65055"/>
    <n v="5833.72055"/>
  </r>
  <r>
    <x v="133"/>
    <x v="96"/>
    <d v="2023-08-13T00:00:00"/>
    <n v="20"/>
    <x v="2"/>
    <x v="0"/>
    <s v="Canada"/>
    <s v="Montreal"/>
    <s v="Education"/>
    <x v="2"/>
    <x v="11"/>
    <s v="Monitors"/>
    <s v="MON-3307"/>
    <n v="1082.3800000000001"/>
    <n v="1766.55"/>
    <n v="0.16400000000000001"/>
    <n v="20"/>
    <n v="0.63209778451190879"/>
    <x v="133"/>
    <n v="21647.600000000002"/>
    <n v="7889.1159999999982"/>
    <n v="0.26709523157550752"/>
    <s v="Medium"/>
    <n v="29536.716"/>
    <n v="7889.1159999999982"/>
  </r>
  <r>
    <x v="134"/>
    <x v="96"/>
    <d v="2023-08-19T00:00:00"/>
    <n v="26"/>
    <x v="2"/>
    <x v="1"/>
    <s v="Kenya"/>
    <s v="Nairobi"/>
    <s v="Enterprise"/>
    <x v="0"/>
    <x v="3"/>
    <s v="Accessories"/>
    <s v="ACC-1238"/>
    <n v="661.45"/>
    <n v="1634.86"/>
    <n v="0.16"/>
    <n v="24"/>
    <n v="1.4716305087308184"/>
    <x v="134"/>
    <n v="15874.800000000001"/>
    <n v="17083.977599999998"/>
    <n v="0.51834378711909501"/>
    <s v="High"/>
    <n v="32958.777600000001"/>
    <n v="17083.977599999998"/>
  </r>
  <r>
    <x v="135"/>
    <x v="97"/>
    <d v="2023-08-10T00:00:00"/>
    <n v="16"/>
    <x v="2"/>
    <x v="1"/>
    <s v="Nigeria"/>
    <s v="Port Harcourt"/>
    <s v="Corporate"/>
    <x v="0"/>
    <x v="12"/>
    <s v="Accessories"/>
    <s v="ACC-8178"/>
    <n v="506.83"/>
    <n v="952.84039999999993"/>
    <n v="0.24"/>
    <n v="9"/>
    <n v="0.87999999999999989"/>
    <x v="135"/>
    <n v="4561.47"/>
    <n v="1955.9583359999997"/>
    <n v="0.30011198208286671"/>
    <s v="High"/>
    <n v="6517.4283359999999"/>
    <n v="1955.9583359999997"/>
  </r>
  <r>
    <x v="136"/>
    <x v="98"/>
    <d v="2023-08-25T00:00:00"/>
    <n v="30"/>
    <x v="2"/>
    <x v="0"/>
    <s v="USA"/>
    <s v="New York"/>
    <s v="Consumer"/>
    <x v="3"/>
    <x v="3"/>
    <s v="Accessories"/>
    <s v="ACC-7078"/>
    <n v="1261.48"/>
    <n v="1643.18"/>
    <n v="0.151"/>
    <n v="23"/>
    <n v="0.30258109522148591"/>
    <x v="136"/>
    <n v="29014.04"/>
    <n v="3072.3358599999992"/>
    <n v="9.5752037357079045E-2"/>
    <s v="Medium"/>
    <n v="32086.37586"/>
    <n v="3072.3358599999992"/>
  </r>
  <r>
    <x v="137"/>
    <x v="99"/>
    <d v="2023-08-19T00:00:00"/>
    <n v="20"/>
    <x v="2"/>
    <x v="2"/>
    <s v="France"/>
    <s v="Paris"/>
    <s v="Enterprise"/>
    <x v="4"/>
    <x v="6"/>
    <s v="Networking"/>
    <s v="NET-5423"/>
    <n v="1418.51"/>
    <n v="2789.61"/>
    <n v="0.17100000000000001"/>
    <n v="8"/>
    <n v="0.96657760607961885"/>
    <x v="137"/>
    <n v="11348.08"/>
    <n v="7152.6135200000008"/>
    <n v="0.38661326464695689"/>
    <s v="High"/>
    <n v="18500.693520000001"/>
    <n v="7152.6135200000008"/>
  </r>
  <r>
    <x v="138"/>
    <x v="99"/>
    <d v="2023-08-07T00:00:00"/>
    <n v="8"/>
    <x v="2"/>
    <x v="3"/>
    <s v="Japan"/>
    <s v="Nagoya"/>
    <s v="Education"/>
    <x v="4"/>
    <x v="1"/>
    <s v="Networking"/>
    <s v="NET-1645"/>
    <n v="1352.44"/>
    <n v="2698.01"/>
    <n v="0.13100000000000001"/>
    <n v="13"/>
    <n v="0.99492029221259359"/>
    <x v="138"/>
    <n v="17581.72"/>
    <n v="12897.698970000001"/>
    <n v="0.42316091992090887"/>
    <s v="High"/>
    <n v="30479.418970000002"/>
    <n v="12897.698970000001"/>
  </r>
  <r>
    <x v="139"/>
    <x v="100"/>
    <d v="2023-08-19T00:00:00"/>
    <n v="17"/>
    <x v="2"/>
    <x v="0"/>
    <s v="Canada"/>
    <s v="Vancouver"/>
    <s v="Corporate"/>
    <x v="1"/>
    <x v="7"/>
    <s v="Networking"/>
    <s v="NET-3689"/>
    <n v="175.38"/>
    <n v="347.9"/>
    <n v="7.1999999999999995E-2"/>
    <n v="43"/>
    <n v="0.98369255331280636"/>
    <x v="139"/>
    <n v="7541.34"/>
    <n v="6341.2615999999998"/>
    <n v="0.45677761148169804"/>
    <s v="High"/>
    <n v="13882.6016"/>
    <n v="6341.2615999999998"/>
  </r>
  <r>
    <x v="140"/>
    <x v="100"/>
    <d v="2023-08-03T00:00:00"/>
    <n v="1"/>
    <x v="2"/>
    <x v="3"/>
    <s v="China"/>
    <s v="Shanghai"/>
    <s v="Non-Profit"/>
    <x v="2"/>
    <x v="13"/>
    <s v="Networking"/>
    <s v="NET-4735"/>
    <n v="1021.97"/>
    <n v="2296.25"/>
    <n v="0.161"/>
    <n v="26"/>
    <n v="1.2468859164163331"/>
    <x v="140"/>
    <n v="26571.22"/>
    <n v="23519.177499999998"/>
    <n v="0.46953465482081669"/>
    <s v="High"/>
    <n v="50090.397499999999"/>
    <n v="23519.177499999998"/>
  </r>
  <r>
    <x v="141"/>
    <x v="101"/>
    <d v="2023-08-14T00:00:00"/>
    <n v="11"/>
    <x v="2"/>
    <x v="0"/>
    <s v="Brazil"/>
    <s v="Brasília"/>
    <s v="Corporate"/>
    <x v="2"/>
    <x v="13"/>
    <s v="Accessories"/>
    <s v="ACC-3951"/>
    <n v="232.73"/>
    <n v="334.19"/>
    <n v="0.13400000000000001"/>
    <n v="25"/>
    <n v="0.43595582864263316"/>
    <x v="141"/>
    <n v="5818.25"/>
    <n v="1416.9634999999998"/>
    <n v="0.1958426658729559"/>
    <s v="Medium"/>
    <n v="7235.2134999999998"/>
    <n v="1416.9634999999998"/>
  </r>
  <r>
    <x v="142"/>
    <x v="101"/>
    <d v="2023-08-30T00:00:00"/>
    <n v="27"/>
    <x v="2"/>
    <x v="3"/>
    <s v="China"/>
    <s v="Shanghai"/>
    <s v="Consumer"/>
    <x v="0"/>
    <x v="8"/>
    <s v="Monitors"/>
    <s v="MON-3773"/>
    <n v="226.04"/>
    <n v="545.72"/>
    <n v="0.151"/>
    <n v="11"/>
    <n v="1.4142629623075564"/>
    <x v="142"/>
    <n v="2486.44"/>
    <n v="2610.03908"/>
    <n v="0.51212592831834014"/>
    <s v="High"/>
    <n v="5096.4790800000001"/>
    <n v="2610.03908"/>
  </r>
  <r>
    <x v="143"/>
    <x v="102"/>
    <d v="2023-08-24T00:00:00"/>
    <n v="20"/>
    <x v="2"/>
    <x v="0"/>
    <s v="Brazil"/>
    <s v="Brasília"/>
    <s v="Non-Profit"/>
    <x v="2"/>
    <x v="11"/>
    <s v="Networking"/>
    <s v="NET-9125"/>
    <n v="582.88"/>
    <n v="1044.1400000000001"/>
    <n v="0.216"/>
    <n v="10"/>
    <n v="0.79134641778753789"/>
    <x v="143"/>
    <n v="5828.8"/>
    <n v="2357.2576000000008"/>
    <n v="0.28796005539956138"/>
    <s v="High"/>
    <n v="8186.057600000001"/>
    <n v="2357.2576000000008"/>
  </r>
  <r>
    <x v="144"/>
    <x v="103"/>
    <d v="2023-08-22T00:00:00"/>
    <n v="14"/>
    <x v="2"/>
    <x v="2"/>
    <s v="United Kingdom"/>
    <s v="Birmingham"/>
    <s v="Non-Profit"/>
    <x v="2"/>
    <x v="8"/>
    <s v="Monitors"/>
    <s v="MON-7511"/>
    <n v="446.69"/>
    <n v="967.25"/>
    <n v="9.4E-2"/>
    <n v="10"/>
    <n v="1.1653719581812889"/>
    <x v="144"/>
    <n v="4466.8999999999996"/>
    <n v="4296.3850000000002"/>
    <n v="0.49027105702941309"/>
    <s v="High"/>
    <n v="8763.2849999999999"/>
    <n v="4296.3850000000002"/>
  </r>
  <r>
    <x v="145"/>
    <x v="104"/>
    <d v="2023-08-15T00:00:00"/>
    <n v="5"/>
    <x v="2"/>
    <x v="0"/>
    <s v="Brazil"/>
    <s v="São Paulo"/>
    <s v="Education"/>
    <x v="2"/>
    <x v="6"/>
    <s v="Networking"/>
    <s v="NET-2894"/>
    <n v="1307.52"/>
    <n v="1921.65"/>
    <n v="0.123"/>
    <n v="13"/>
    <n v="0.46969071218795899"/>
    <x v="145"/>
    <n v="16997.759999999998"/>
    <n v="4910.9716500000031"/>
    <n v="0.22415590863289445"/>
    <s v="Medium"/>
    <n v="21908.731650000002"/>
    <n v="4910.9716500000031"/>
  </r>
  <r>
    <x v="146"/>
    <x v="105"/>
    <d v="2023-09-06T00:00:00"/>
    <n v="25"/>
    <x v="2"/>
    <x v="3"/>
    <s v="China"/>
    <s v="Shanghai"/>
    <s v="Small Business"/>
    <x v="3"/>
    <x v="0"/>
    <s v="Components"/>
    <s v="CMP-6352"/>
    <n v="950.77"/>
    <n v="1682.8629000000001"/>
    <n v="8.4000000000000005E-2"/>
    <n v="14"/>
    <n v="0.77000000000000013"/>
    <x v="146"/>
    <n v="13310.779999999999"/>
    <n v="8270.2538296000021"/>
    <n v="0.38321861199516449"/>
    <s v="High"/>
    <n v="21581.033829600001"/>
    <n v="8270.2538296000021"/>
  </r>
  <r>
    <x v="147"/>
    <x v="106"/>
    <d v="2023-08-25T00:00:00"/>
    <n v="10"/>
    <x v="2"/>
    <x v="1"/>
    <s v="Kenya"/>
    <s v="Nairobi"/>
    <s v="Small Business"/>
    <x v="3"/>
    <x v="8"/>
    <s v="Phones"/>
    <s v="PHN-1234"/>
    <n v="91.85"/>
    <n v="111.29"/>
    <n v="0"/>
    <n v="6"/>
    <n v="0.21164942841589562"/>
    <x v="147"/>
    <n v="551.09999999999991"/>
    <n v="116.6400000000001"/>
    <n v="0.17467876718483258"/>
    <s v="Low"/>
    <n v="667.74"/>
    <n v="116.6400000000001"/>
  </r>
  <r>
    <x v="148"/>
    <x v="106"/>
    <d v="2023-09-07T00:00:00"/>
    <n v="23"/>
    <x v="2"/>
    <x v="0"/>
    <s v="USA"/>
    <s v="New York"/>
    <s v="Enterprise"/>
    <x v="1"/>
    <x v="10"/>
    <s v="Phones"/>
    <s v="PHN-2013"/>
    <n v="590.33000000000004"/>
    <n v="973.04"/>
    <n v="0"/>
    <n v="26"/>
    <n v="0.64829840936425376"/>
    <x v="148"/>
    <n v="15348.580000000002"/>
    <n v="9950.4599999999991"/>
    <n v="0.39331373838691108"/>
    <s v="Medium"/>
    <n v="25299.040000000001"/>
    <n v="9950.4599999999991"/>
  </r>
  <r>
    <x v="149"/>
    <x v="107"/>
    <d v="2023-09-03T00:00:00"/>
    <n v="17"/>
    <x v="2"/>
    <x v="1"/>
    <s v="South Africa"/>
    <s v="Durban"/>
    <s v="Enterprise"/>
    <x v="3"/>
    <x v="1"/>
    <s v="Phones"/>
    <s v="PHN-8072"/>
    <n v="676.37"/>
    <n v="1276.67"/>
    <n v="6.6000000000000003E-2"/>
    <n v="10"/>
    <n v="0.88753197214542345"/>
    <x v="149"/>
    <n v="6763.7"/>
    <n v="5160.3977999999997"/>
    <n v="0.4327705027712872"/>
    <s v="High"/>
    <n v="11924.0978"/>
    <n v="5160.3977999999997"/>
  </r>
  <r>
    <x v="150"/>
    <x v="108"/>
    <d v="2023-09-12T00:00:00"/>
    <n v="24"/>
    <x v="2"/>
    <x v="0"/>
    <s v="Canada"/>
    <s v="Vancouver"/>
    <s v="Enterprise"/>
    <x v="3"/>
    <x v="12"/>
    <s v="Printers"/>
    <s v="PRN-9669"/>
    <n v="1183.95"/>
    <n v="1503.53"/>
    <n v="0.24099999999999999"/>
    <n v="16"/>
    <n v="0.26992693948224156"/>
    <x v="150"/>
    <n v="18943.2"/>
    <n v="-684.33167999999932"/>
    <n v="-3.7479413729623705E-2"/>
    <s v="Medium"/>
    <n v="18258.868320000001"/>
    <n v="-684.33167999999932"/>
  </r>
  <r>
    <x v="151"/>
    <x v="108"/>
    <d v="2023-09-07T00:00:00"/>
    <n v="19"/>
    <x v="2"/>
    <x v="1"/>
    <s v="South Africa"/>
    <s v="Johannesburg"/>
    <s v="Enterprise"/>
    <x v="3"/>
    <x v="2"/>
    <s v="Monitors"/>
    <s v="MON-2296"/>
    <n v="494.61"/>
    <n v="605.23"/>
    <n v="0.20399999999999999"/>
    <n v="18"/>
    <n v="0.22365095731990861"/>
    <x v="151"/>
    <n v="8902.98"/>
    <n v="-231.24455999999918"/>
    <n v="-2.6666468505639647E-2"/>
    <s v="Low"/>
    <n v="8671.7354400000004"/>
    <n v="-231.24455999999918"/>
  </r>
  <r>
    <x v="152"/>
    <x v="108"/>
    <d v="2023-08-23T00:00:00"/>
    <n v="4"/>
    <x v="2"/>
    <x v="1"/>
    <s v="Nigeria"/>
    <s v="Abuja"/>
    <s v="Small Business"/>
    <x v="1"/>
    <x v="13"/>
    <s v="Monitors"/>
    <s v="MON-5517"/>
    <n v="790.63"/>
    <n v="1382.31"/>
    <n v="0.10100000000000001"/>
    <n v="7"/>
    <n v="0.74836522772978509"/>
    <x v="152"/>
    <n v="5534.41"/>
    <n v="3164.4668300000012"/>
    <n v="0.36377878338116448"/>
    <s v="Medium"/>
    <n v="8698.8768300000011"/>
    <n v="3164.4668300000012"/>
  </r>
  <r>
    <x v="153"/>
    <x v="109"/>
    <d v="2023-09-04T00:00:00"/>
    <n v="14"/>
    <x v="2"/>
    <x v="0"/>
    <s v="Canada"/>
    <s v="Montreal"/>
    <s v="Education"/>
    <x v="0"/>
    <x v="7"/>
    <s v="Components"/>
    <s v="CMP-2136"/>
    <n v="178.19"/>
    <n v="284.43"/>
    <n v="8.8999999999999996E-2"/>
    <n v="8"/>
    <n v="0.59621752062405309"/>
    <x v="153"/>
    <n v="1425.52"/>
    <n v="647.40584000000035"/>
    <n v="0.31231500302972742"/>
    <s v="Medium"/>
    <n v="2072.9258400000003"/>
    <n v="647.40584000000035"/>
  </r>
  <r>
    <x v="154"/>
    <x v="110"/>
    <d v="2023-09-22T00:00:00"/>
    <n v="30"/>
    <x v="2"/>
    <x v="2"/>
    <s v="United Kingdom"/>
    <s v="London"/>
    <s v="Consumer"/>
    <x v="0"/>
    <x v="5"/>
    <s v="Accessories"/>
    <s v="ACC-1492"/>
    <n v="209.81"/>
    <n v="523"/>
    <n v="5.8999999999999997E-2"/>
    <n v="15"/>
    <n v="1.492731518993375"/>
    <x v="154"/>
    <n v="3147.15"/>
    <n v="4234.9950000000008"/>
    <n v="0.57368082041195356"/>
    <s v="High"/>
    <n v="7382.1450000000004"/>
    <n v="4234.9950000000008"/>
  </r>
  <r>
    <x v="155"/>
    <x v="111"/>
    <d v="2023-09-20T00:00:00"/>
    <n v="27"/>
    <x v="2"/>
    <x v="1"/>
    <s v="South Africa"/>
    <s v="Durban"/>
    <s v="Small Business"/>
    <x v="4"/>
    <x v="3"/>
    <s v="Printers"/>
    <s v="PRN-4732"/>
    <n v="1399.64"/>
    <n v="3342.11"/>
    <n v="0"/>
    <n v="10"/>
    <n v="1.3878354433997313"/>
    <x v="155"/>
    <n v="13996.400000000001"/>
    <n v="19424.699999999997"/>
    <n v="0.58121067229983447"/>
    <s v="High"/>
    <n v="33421.1"/>
    <n v="19424.699999999997"/>
  </r>
  <r>
    <x v="156"/>
    <x v="112"/>
    <d v="2023-09-16T00:00:00"/>
    <n v="22"/>
    <x v="2"/>
    <x v="1"/>
    <s v="Nigeria"/>
    <s v="Abuja"/>
    <s v="Corporate"/>
    <x v="4"/>
    <x v="9"/>
    <s v="Phones"/>
    <s v="PHN-3971"/>
    <n v="1196.83"/>
    <n v="2513.5100000000002"/>
    <n v="8.3000000000000004E-2"/>
    <n v="7"/>
    <n v="1.1001395352723446"/>
    <x v="156"/>
    <n v="8377.81"/>
    <n v="7756.4106900000006"/>
    <n v="0.48074281609445374"/>
    <s v="High"/>
    <n v="16134.22069"/>
    <n v="7756.4106900000006"/>
  </r>
  <r>
    <x v="157"/>
    <x v="113"/>
    <d v="2023-09-10T00:00:00"/>
    <n v="15"/>
    <x v="2"/>
    <x v="1"/>
    <s v="South Africa"/>
    <s v="Cape Town"/>
    <s v="Non-Profit"/>
    <x v="2"/>
    <x v="8"/>
    <s v="Components"/>
    <s v="CMP-7063"/>
    <n v="241.14"/>
    <n v="496.52"/>
    <n v="9.2999999999999999E-2"/>
    <n v="10"/>
    <n v="1.0590528323795305"/>
    <x v="157"/>
    <n v="2411.3999999999996"/>
    <n v="2092.0364"/>
    <n v="0.46454223268257994"/>
    <s v="High"/>
    <n v="4503.4363999999996"/>
    <n v="2092.0364"/>
  </r>
  <r>
    <x v="158"/>
    <x v="114"/>
    <d v="2023-09-11T00:00:00"/>
    <n v="15"/>
    <x v="2"/>
    <x v="2"/>
    <s v="United Kingdom"/>
    <s v="London"/>
    <s v="Consumer"/>
    <x v="4"/>
    <x v="8"/>
    <s v="Printers"/>
    <s v="PRN-5107"/>
    <n v="943.79"/>
    <n v="1913.76"/>
    <n v="9.0999999999999998E-2"/>
    <n v="9"/>
    <n v="1.0277392216488839"/>
    <x v="158"/>
    <n v="8494.11"/>
    <n v="7162.3605599999992"/>
    <n v="0.45746967891338081"/>
    <s v="High"/>
    <n v="15656.47056"/>
    <n v="7162.3605599999992"/>
  </r>
  <r>
    <x v="159"/>
    <x v="115"/>
    <d v="2023-09-13T00:00:00"/>
    <n v="15"/>
    <x v="2"/>
    <x v="0"/>
    <s v="Canada"/>
    <s v="Vancouver"/>
    <s v="Small Business"/>
    <x v="4"/>
    <x v="5"/>
    <s v="Printers"/>
    <s v="PRN-9975"/>
    <n v="1287.6400000000001"/>
    <n v="2717.15"/>
    <n v="3.2000000000000001E-2"/>
    <n v="7"/>
    <n v="1.1101783107079617"/>
    <x v="159"/>
    <n v="9013.4800000000014"/>
    <n v="9397.9283999999989"/>
    <n v="0.51044049405802105"/>
    <s v="High"/>
    <n v="18411.4084"/>
    <n v="9397.9283999999989"/>
  </r>
  <r>
    <x v="160"/>
    <x v="115"/>
    <d v="2023-09-19T00:00:00"/>
    <n v="21"/>
    <x v="2"/>
    <x v="2"/>
    <s v="France"/>
    <s v="Lyon"/>
    <s v="Small Business"/>
    <x v="2"/>
    <x v="0"/>
    <s v="Printers"/>
    <s v="PRN-7079"/>
    <n v="784.46"/>
    <n v="1843.51"/>
    <n v="0.13800000000000001"/>
    <n v="23"/>
    <n v="1.3500369681054483"/>
    <x v="160"/>
    <n v="18042.580000000002"/>
    <n v="18506.849260000003"/>
    <n v="0.50635125184441798"/>
    <s v="High"/>
    <n v="36549.429260000004"/>
    <n v="18506.849260000003"/>
  </r>
  <r>
    <x v="161"/>
    <x v="116"/>
    <d v="2023-09-01T00:00:00"/>
    <n v="2"/>
    <x v="2"/>
    <x v="2"/>
    <s v="Germany"/>
    <s v="Munich"/>
    <s v="Corporate"/>
    <x v="2"/>
    <x v="8"/>
    <s v="Networking"/>
    <s v="NET-9989"/>
    <n v="44.42"/>
    <n v="67.074200000000005"/>
    <n v="0.14399999999999999"/>
    <n v="6"/>
    <n v="0.51"/>
    <x v="161"/>
    <n v="266.52"/>
    <n v="77.973091199999999"/>
    <n v="0.22634152379773473"/>
    <s v="Medium"/>
    <n v="344.49309119999998"/>
    <n v="77.973091199999999"/>
  </r>
  <r>
    <x v="162"/>
    <x v="116"/>
    <d v="2023-09-03T00:00:00"/>
    <n v="4"/>
    <x v="2"/>
    <x v="3"/>
    <s v="India"/>
    <s v="Delhi"/>
    <s v="Small Business"/>
    <x v="4"/>
    <x v="9"/>
    <s v="Accessories"/>
    <s v="ACC-3068"/>
    <n v="1082.25"/>
    <n v="2433.34"/>
    <n v="0.27"/>
    <n v="4"/>
    <n v="1.2484084084084086"/>
    <x v="162"/>
    <n v="4329"/>
    <n v="2776.3528000000006"/>
    <n v="0.3907410199251472"/>
    <s v="High"/>
    <n v="7105.3528000000006"/>
    <n v="2776.3528000000006"/>
  </r>
  <r>
    <x v="163"/>
    <x v="117"/>
    <d v="2023-09-14T00:00:00"/>
    <n v="6"/>
    <x v="2"/>
    <x v="1"/>
    <s v="Kenya"/>
    <s v="Nakuru"/>
    <s v="Education"/>
    <x v="2"/>
    <x v="12"/>
    <s v="Accessories"/>
    <s v="ACC-4766"/>
    <n v="251.03"/>
    <n v="411.48"/>
    <n v="0.16500000000000001"/>
    <n v="3"/>
    <n v="0.63916663347010327"/>
    <x v="163"/>
    <n v="753.09"/>
    <n v="277.66739999999993"/>
    <n v="0.26938191275658069"/>
    <s v="Medium"/>
    <n v="1030.7574"/>
    <n v="277.66739999999993"/>
  </r>
  <r>
    <x v="164"/>
    <x v="117"/>
    <d v="2023-10-02T00:00:00"/>
    <n v="24"/>
    <x v="2"/>
    <x v="0"/>
    <s v="Canada"/>
    <s v="Toronto"/>
    <s v="Education"/>
    <x v="2"/>
    <x v="1"/>
    <s v="Accessories"/>
    <s v="ACC-3415"/>
    <n v="1299.03"/>
    <n v="2451.2199999999998"/>
    <n v="0.20799999999999999"/>
    <n v="8"/>
    <n v="0.88696180996589746"/>
    <x v="164"/>
    <n v="10392.24"/>
    <n v="5138.6899199999989"/>
    <n v="0.3308681416032041"/>
    <s v="High"/>
    <n v="15530.929919999999"/>
    <n v="5138.6899199999989"/>
  </r>
  <r>
    <x v="165"/>
    <x v="118"/>
    <d v="2023-09-16T00:00:00"/>
    <n v="2"/>
    <x v="2"/>
    <x v="2"/>
    <s v="France"/>
    <s v="Lyon"/>
    <s v="Non-Profit"/>
    <x v="2"/>
    <x v="0"/>
    <s v="Printers"/>
    <s v="PRN-4432"/>
    <n v="376.83"/>
    <n v="732.88"/>
    <n v="0.188"/>
    <n v="25"/>
    <n v="0.94485577050659453"/>
    <x v="165"/>
    <n v="9420.75"/>
    <n v="5456.7140000000018"/>
    <n v="0.36677716040852132"/>
    <s v="High"/>
    <n v="14877.464000000002"/>
    <n v="5456.7140000000018"/>
  </r>
  <r>
    <x v="166"/>
    <x v="119"/>
    <d v="2023-10-02T00:00:00"/>
    <n v="15"/>
    <x v="2"/>
    <x v="0"/>
    <s v="Brazil"/>
    <s v="Rio de Janeiro"/>
    <s v="Small Business"/>
    <x v="3"/>
    <x v="0"/>
    <s v="Laptops"/>
    <s v="LAP-4932"/>
    <n v="689.33"/>
    <n v="1392.4466"/>
    <n v="0.186"/>
    <n v="13"/>
    <n v="1.0199999999999998"/>
    <x v="166"/>
    <n v="8961.2900000000009"/>
    <n v="5773.5799211999984"/>
    <n v="0.39183107499939174"/>
    <s v="High"/>
    <n v="14734.869921199999"/>
    <n v="5773.5799211999984"/>
  </r>
  <r>
    <x v="167"/>
    <x v="120"/>
    <d v="2023-10-08T00:00:00"/>
    <n v="20"/>
    <x v="2"/>
    <x v="3"/>
    <s v="India"/>
    <s v="Delhi"/>
    <s v="Small Business"/>
    <x v="2"/>
    <x v="0"/>
    <s v="Components"/>
    <s v="CMP-1009"/>
    <n v="825.64"/>
    <n v="1108.43"/>
    <n v="0.114"/>
    <n v="7"/>
    <n v="0.34251005280751912"/>
    <x v="167"/>
    <n v="5779.48"/>
    <n v="1095.0028600000005"/>
    <n v="0.15928512475773349"/>
    <s v="Medium"/>
    <n v="6874.4828600000001"/>
    <n v="1095.0028600000005"/>
  </r>
  <r>
    <x v="168"/>
    <x v="121"/>
    <d v="2023-10-08T00:00:00"/>
    <n v="19"/>
    <x v="2"/>
    <x v="3"/>
    <s v="India"/>
    <s v="Bengaluru"/>
    <s v="Education"/>
    <x v="2"/>
    <x v="13"/>
    <s v="Printers"/>
    <s v="PRN-5005"/>
    <n v="385.32"/>
    <n v="606.76"/>
    <n v="8.5999999999999993E-2"/>
    <n v="8"/>
    <n v="0.57469116578428314"/>
    <x v="168"/>
    <n v="3082.56"/>
    <n v="1354.0691200000006"/>
    <n v="0.30520223425842735"/>
    <s v="Medium"/>
    <n v="4436.6291200000005"/>
    <n v="1354.0691200000006"/>
  </r>
  <r>
    <x v="169"/>
    <x v="122"/>
    <d v="2023-09-28T00:00:00"/>
    <n v="8"/>
    <x v="2"/>
    <x v="3"/>
    <s v="India"/>
    <s v="Bengaluru"/>
    <s v="Corporate"/>
    <x v="3"/>
    <x v="0"/>
    <s v="Accessories"/>
    <s v="ACC-1375"/>
    <n v="1362.06"/>
    <n v="3398.37"/>
    <n v="0.157"/>
    <n v="11"/>
    <n v="1.4950222457160478"/>
    <x v="169"/>
    <n v="14982.66"/>
    <n v="16530.425009999999"/>
    <n v="0.52455749745714919"/>
    <s v="High"/>
    <n v="31513.085009999999"/>
    <n v="16530.425009999999"/>
  </r>
  <r>
    <x v="170"/>
    <x v="123"/>
    <d v="2023-10-10T00:00:00"/>
    <n v="19"/>
    <x v="2"/>
    <x v="3"/>
    <s v="Japan"/>
    <s v="Tokyo"/>
    <s v="Education"/>
    <x v="1"/>
    <x v="2"/>
    <s v="Components"/>
    <s v="CMP-5211"/>
    <n v="845.63"/>
    <n v="2062.12"/>
    <n v="0.13400000000000001"/>
    <n v="5"/>
    <n v="1.4385605997895059"/>
    <x v="170"/>
    <n v="4228.1499999999996"/>
    <n v="4700.8295999999991"/>
    <n v="0.52646884757133949"/>
    <s v="High"/>
    <n v="8928.9795999999988"/>
    <n v="4700.8295999999991"/>
  </r>
  <r>
    <x v="171"/>
    <x v="124"/>
    <d v="2023-10-02T00:00:00"/>
    <n v="7"/>
    <x v="2"/>
    <x v="0"/>
    <s v="USA"/>
    <s v="New York"/>
    <s v="Education"/>
    <x v="4"/>
    <x v="12"/>
    <s v="Accessories"/>
    <s v="ACC-3551"/>
    <n v="145.58000000000001"/>
    <n v="228.15"/>
    <n v="0.20399999999999999"/>
    <n v="5"/>
    <n v="0.56717955763154271"/>
    <x v="171"/>
    <n v="727.90000000000009"/>
    <n v="180.13699999999994"/>
    <n v="0.19838068272548359"/>
    <s v="Medium"/>
    <n v="908.03700000000003"/>
    <n v="180.13699999999994"/>
  </r>
  <r>
    <x v="172"/>
    <x v="124"/>
    <d v="2023-10-09T00:00:00"/>
    <n v="14"/>
    <x v="2"/>
    <x v="0"/>
    <s v="USA"/>
    <s v="New York"/>
    <s v="Small Business"/>
    <x v="4"/>
    <x v="13"/>
    <s v="Laptops"/>
    <s v="LAP-6750"/>
    <n v="1279.56"/>
    <n v="3083.8"/>
    <n v="0.106"/>
    <n v="5"/>
    <n v="1.4100472037262812"/>
    <x v="172"/>
    <n v="6397.7999999999993"/>
    <n v="7386.7860000000019"/>
    <n v="0.53587289455047848"/>
    <s v="High"/>
    <n v="13784.586000000001"/>
    <n v="7386.7860000000019"/>
  </r>
  <r>
    <x v="173"/>
    <x v="125"/>
    <d v="2023-10-30T00:00:00"/>
    <n v="30"/>
    <x v="2"/>
    <x v="3"/>
    <s v="Japan"/>
    <s v="Tokyo"/>
    <s v="Enterprise"/>
    <x v="1"/>
    <x v="2"/>
    <s v="Printers"/>
    <s v="PRN-1786"/>
    <n v="649.13"/>
    <n v="975.43"/>
    <n v="0.157"/>
    <n v="27"/>
    <n v="0.50267280822023319"/>
    <x v="173"/>
    <n v="17526.509999999998"/>
    <n v="4675.2522299999982"/>
    <n v="0.21058023149543473"/>
    <s v="Medium"/>
    <n v="22201.762229999997"/>
    <n v="4675.2522299999982"/>
  </r>
  <r>
    <x v="174"/>
    <x v="125"/>
    <d v="2023-10-03T00:00:00"/>
    <n v="3"/>
    <x v="2"/>
    <x v="3"/>
    <s v="China"/>
    <s v="Beijing"/>
    <s v="Non-Profit"/>
    <x v="3"/>
    <x v="13"/>
    <s v="Laptops"/>
    <s v="LAP-5763"/>
    <n v="1019.36"/>
    <n v="1763.4928"/>
    <n v="0.14699999999999999"/>
    <n v="17"/>
    <n v="0.73"/>
    <x v="174"/>
    <n v="17329.12"/>
    <n v="8243.2890928000015"/>
    <n v="0.32235090025682905"/>
    <s v="Medium"/>
    <n v="25572.409092800001"/>
    <n v="8243.2890928000015"/>
  </r>
  <r>
    <x v="175"/>
    <x v="126"/>
    <d v="2023-10-29T00:00:00"/>
    <n v="25"/>
    <x v="3"/>
    <x v="0"/>
    <s v="USA"/>
    <s v="San Francisco"/>
    <s v="Small Business"/>
    <x v="0"/>
    <x v="5"/>
    <s v="Accessories"/>
    <s v="ACC-5079"/>
    <n v="1239.8399999999999"/>
    <n v="1482.75"/>
    <n v="6.7000000000000004E-2"/>
    <n v="4"/>
    <n v="0.19592044134727069"/>
    <x v="175"/>
    <n v="4959.3599999999997"/>
    <n v="574.26300000000083"/>
    <n v="0.10377703721413634"/>
    <s v="Low"/>
    <n v="5533.6230000000005"/>
    <n v="574.26300000000083"/>
  </r>
  <r>
    <x v="176"/>
    <x v="127"/>
    <d v="2023-10-31T00:00:00"/>
    <n v="26"/>
    <x v="3"/>
    <x v="3"/>
    <s v="China"/>
    <s v="Shanghai"/>
    <s v="Consumer"/>
    <x v="4"/>
    <x v="13"/>
    <s v="Printers"/>
    <s v="PRN-6520"/>
    <n v="649.91"/>
    <n v="1360.12"/>
    <n v="0.19400000000000001"/>
    <n v="9"/>
    <n v="1.0927820775184256"/>
    <x v="176"/>
    <n v="5849.19"/>
    <n v="4017.1204799999987"/>
    <n v="0.40715528749506769"/>
    <s v="High"/>
    <n v="9866.3104799999983"/>
    <n v="4017.1204799999987"/>
  </r>
  <r>
    <x v="177"/>
    <x v="127"/>
    <d v="2023-10-06T00:00:00"/>
    <n v="1"/>
    <x v="3"/>
    <x v="3"/>
    <s v="India"/>
    <s v="Bengaluru"/>
    <s v="Non-Profit"/>
    <x v="1"/>
    <x v="12"/>
    <s v="Components"/>
    <s v="CMP-4807"/>
    <n v="1470.26"/>
    <n v="2562.5500000000002"/>
    <n v="0.17299999999999999"/>
    <n v="9"/>
    <n v="0.7429230204181575"/>
    <x v="177"/>
    <n v="13232.34"/>
    <n v="5840.7196499999991"/>
    <n v="0.30622877279157462"/>
    <s v="Medium"/>
    <n v="19073.059649999999"/>
    <n v="5840.7196499999991"/>
  </r>
  <r>
    <x v="178"/>
    <x v="128"/>
    <d v="2023-10-23T00:00:00"/>
    <n v="16"/>
    <x v="3"/>
    <x v="3"/>
    <s v="India"/>
    <s v="Hyderabad"/>
    <s v="Consumer"/>
    <x v="3"/>
    <x v="6"/>
    <s v="Monitors"/>
    <s v="MON-7602"/>
    <n v="906.81"/>
    <n v="1395.56"/>
    <n v="0.185"/>
    <n v="6"/>
    <n v="0.53897729403072314"/>
    <x v="178"/>
    <n v="5440.86"/>
    <n v="1383.4284000000007"/>
    <n v="0.20272126834498974"/>
    <s v="Medium"/>
    <n v="6824.2884000000004"/>
    <n v="1383.4284000000007"/>
  </r>
  <r>
    <x v="179"/>
    <x v="129"/>
    <d v="2023-10-11T00:00:00"/>
    <n v="2"/>
    <x v="3"/>
    <x v="1"/>
    <s v="Nigeria"/>
    <s v="Port Harcourt"/>
    <s v="Education"/>
    <x v="4"/>
    <x v="10"/>
    <s v="Networking"/>
    <s v="NET-8856"/>
    <n v="391.16"/>
    <n v="902.47"/>
    <n v="4.0000000000000001E-3"/>
    <n v="12"/>
    <n v="1.3071633091318129"/>
    <x v="179"/>
    <n v="4693.92"/>
    <n v="6092.4014399999996"/>
    <n v="0.56482661618139207"/>
    <s v="High"/>
    <n v="10786.32144"/>
    <n v="6092.4014399999996"/>
  </r>
  <r>
    <x v="180"/>
    <x v="129"/>
    <d v="2023-10-26T00:00:00"/>
    <n v="17"/>
    <x v="3"/>
    <x v="3"/>
    <s v="China"/>
    <s v="Shanghai"/>
    <s v="Consumer"/>
    <x v="4"/>
    <x v="11"/>
    <s v="Components"/>
    <s v="CMP-2096"/>
    <n v="1132.03"/>
    <n v="2137.21"/>
    <n v="0.08"/>
    <n v="35"/>
    <n v="0.88794466577740883"/>
    <x v="180"/>
    <n v="39621.049999999996"/>
    <n v="29197.112000000016"/>
    <n v="0.42426462944476795"/>
    <s v="High"/>
    <n v="68818.162000000011"/>
    <n v="29197.112000000016"/>
  </r>
  <r>
    <x v="181"/>
    <x v="130"/>
    <d v="2023-10-13T00:00:00"/>
    <n v="2"/>
    <x v="3"/>
    <x v="0"/>
    <s v="Brazil"/>
    <s v="Brasília"/>
    <s v="Consumer"/>
    <x v="0"/>
    <x v="1"/>
    <s v="Accessories"/>
    <s v="ACC-3567"/>
    <n v="715.94"/>
    <n v="1331.6484"/>
    <n v="0.14000000000000001"/>
    <n v="16"/>
    <n v="0.85999999999999988"/>
    <x v="181"/>
    <n v="11455.04"/>
    <n v="6868.441984000001"/>
    <n v="0.37484371092773194"/>
    <s v="High"/>
    <n v="18323.481984000002"/>
    <n v="6868.441984000001"/>
  </r>
  <r>
    <x v="182"/>
    <x v="131"/>
    <d v="2023-10-29T00:00:00"/>
    <n v="17"/>
    <x v="3"/>
    <x v="3"/>
    <s v="Japan"/>
    <s v="Nagoya"/>
    <s v="Non-Profit"/>
    <x v="2"/>
    <x v="4"/>
    <s v="Phones"/>
    <s v="PHN-8478"/>
    <n v="1102.19"/>
    <n v="1711.16"/>
    <n v="0.151"/>
    <n v="10"/>
    <n v="0.55250909552799421"/>
    <x v="182"/>
    <n v="11021.900000000001"/>
    <n v="3505.8484000000008"/>
    <n v="0.24132083675127525"/>
    <s v="Medium"/>
    <n v="14527.748400000002"/>
    <n v="3505.8484000000008"/>
  </r>
  <r>
    <x v="183"/>
    <x v="132"/>
    <d v="2023-11-13T00:00:00"/>
    <n v="29"/>
    <x v="3"/>
    <x v="3"/>
    <s v="China"/>
    <s v="Shenzhen"/>
    <s v="Non-Profit"/>
    <x v="0"/>
    <x v="13"/>
    <s v="Printers"/>
    <s v="PRN-4983"/>
    <n v="986.44"/>
    <n v="1696.6768"/>
    <n v="7.1999999999999995E-2"/>
    <n v="6"/>
    <n v="0.71999999999999986"/>
    <x v="183"/>
    <n v="5918.64"/>
    <n v="3528.4564223999996"/>
    <n v="0.37349639133921408"/>
    <s v="Medium"/>
    <n v="9447.0964223999999"/>
    <n v="3528.4564223999996"/>
  </r>
  <r>
    <x v="184"/>
    <x v="133"/>
    <d v="2023-10-20T00:00:00"/>
    <n v="2"/>
    <x v="3"/>
    <x v="1"/>
    <s v="Kenya"/>
    <s v="Kisumu"/>
    <s v="Consumer"/>
    <x v="3"/>
    <x v="13"/>
    <s v="Phones"/>
    <s v="PHN-8891"/>
    <n v="774.12"/>
    <n v="908.3"/>
    <n v="0"/>
    <n v="30"/>
    <n v="0.17333229990182394"/>
    <x v="184"/>
    <n v="23223.599999999999"/>
    <n v="4025.4000000000015"/>
    <n v="0.14772652207420461"/>
    <s v="Low"/>
    <n v="27249"/>
    <n v="4025.4000000000015"/>
  </r>
  <r>
    <x v="185"/>
    <x v="134"/>
    <d v="2023-10-21T00:00:00"/>
    <n v="0"/>
    <x v="3"/>
    <x v="2"/>
    <s v="United Kingdom"/>
    <s v="Manchester"/>
    <s v="Enterprise"/>
    <x v="0"/>
    <x v="13"/>
    <s v="Monitors"/>
    <s v="MON-8697"/>
    <n v="384.19"/>
    <n v="860.58560000000011"/>
    <n v="5.6000000000000001E-2"/>
    <n v="10"/>
    <n v="1.2400000000000002"/>
    <x v="185"/>
    <n v="3841.9"/>
    <n v="4282.0280640000001"/>
    <n v="0.52708837772397088"/>
    <s v="High"/>
    <n v="8123.9280640000006"/>
    <n v="4282.0280640000001"/>
  </r>
  <r>
    <x v="186"/>
    <x v="134"/>
    <d v="2023-11-09T00:00:00"/>
    <n v="19"/>
    <x v="3"/>
    <x v="2"/>
    <s v="United Kingdom"/>
    <s v="London"/>
    <s v="Non-Profit"/>
    <x v="2"/>
    <x v="1"/>
    <s v="Accessories"/>
    <s v="ACC-8557"/>
    <n v="1142.48"/>
    <n v="2105.5300000000002"/>
    <n v="0.20699999999999999"/>
    <n v="14"/>
    <n v="0.84294692248442005"/>
    <x v="186"/>
    <n v="15994.720000000001"/>
    <n v="7380.8740600000019"/>
    <n v="0.31575129346680658"/>
    <s v="High"/>
    <n v="23375.594060000003"/>
    <n v="7380.8740600000019"/>
  </r>
  <r>
    <x v="187"/>
    <x v="135"/>
    <d v="2023-11-16T00:00:00"/>
    <n v="25"/>
    <x v="3"/>
    <x v="0"/>
    <s v="Canada"/>
    <s v="Toronto"/>
    <s v="Small Business"/>
    <x v="4"/>
    <x v="12"/>
    <s v="Laptops"/>
    <s v="LAP-9024"/>
    <n v="1373.31"/>
    <n v="3154.14"/>
    <n v="0.2"/>
    <n v="11"/>
    <n v="1.2967429058260698"/>
    <x v="187"/>
    <n v="15106.41"/>
    <n v="12650.022000000001"/>
    <n v="0.45575101295440279"/>
    <s v="High"/>
    <n v="27756.432000000001"/>
    <n v="12650.022000000001"/>
  </r>
  <r>
    <x v="188"/>
    <x v="136"/>
    <d v="2023-11-24T00:00:00"/>
    <n v="30"/>
    <x v="3"/>
    <x v="2"/>
    <s v="France"/>
    <s v="Paris"/>
    <s v="Enterprise"/>
    <x v="0"/>
    <x v="11"/>
    <s v="Phones"/>
    <s v="PHN-5938"/>
    <n v="287.85000000000002"/>
    <n v="602.91999999999996"/>
    <n v="0.222"/>
    <n v="11"/>
    <n v="1.0945631405245784"/>
    <x v="188"/>
    <n v="3166.3500000000004"/>
    <n v="1993.4393599999994"/>
    <n v="0.38634122847216373"/>
    <s v="High"/>
    <n v="5159.7893599999998"/>
    <n v="1993.4393599999994"/>
  </r>
  <r>
    <x v="189"/>
    <x v="136"/>
    <d v="2023-10-28T00:00:00"/>
    <n v="3"/>
    <x v="3"/>
    <x v="0"/>
    <s v="Brazil"/>
    <s v="Brasília"/>
    <s v="Corporate"/>
    <x v="0"/>
    <x v="9"/>
    <s v="Accessories"/>
    <s v="ACC-2867"/>
    <n v="509.31"/>
    <n v="1145.9000000000001"/>
    <n v="5.7000000000000002E-2"/>
    <n v="8"/>
    <n v="1.2499067365651571"/>
    <x v="189"/>
    <n v="4074.48"/>
    <n v="4570.1896000000015"/>
    <n v="0.52867140231709964"/>
    <s v="High"/>
    <n v="8644.6696000000011"/>
    <n v="4570.1896000000015"/>
  </r>
  <r>
    <x v="190"/>
    <x v="137"/>
    <d v="2023-11-05T00:00:00"/>
    <n v="10"/>
    <x v="3"/>
    <x v="1"/>
    <s v="South Africa"/>
    <s v="Cape Town"/>
    <s v="Non-Profit"/>
    <x v="1"/>
    <x v="12"/>
    <s v="Laptops"/>
    <s v="LAP-7320"/>
    <n v="20.38"/>
    <n v="42.56"/>
    <n v="7.1999999999999995E-2"/>
    <n v="11"/>
    <n v="1.0883218842001965"/>
    <x v="190"/>
    <n v="224.17999999999998"/>
    <n v="210.27248000000006"/>
    <n v="0.48399419885921713"/>
    <s v="High"/>
    <n v="434.45248000000004"/>
    <n v="210.27248000000006"/>
  </r>
  <r>
    <x v="191"/>
    <x v="138"/>
    <d v="2023-11-14T00:00:00"/>
    <n v="15"/>
    <x v="3"/>
    <x v="3"/>
    <s v="India"/>
    <s v="Bengaluru"/>
    <s v="Corporate"/>
    <x v="1"/>
    <x v="7"/>
    <s v="Laptops"/>
    <s v="LAP-2378"/>
    <n v="953.46"/>
    <n v="2066.75"/>
    <n v="0.13800000000000001"/>
    <n v="5"/>
    <n v="1.1676315734273068"/>
    <x v="191"/>
    <n v="4767.3"/>
    <n v="4140.392499999999"/>
    <n v="0.46481089238318446"/>
    <s v="High"/>
    <n v="8907.6924999999992"/>
    <n v="4140.392499999999"/>
  </r>
  <r>
    <x v="192"/>
    <x v="139"/>
    <d v="2023-11-02T00:00:00"/>
    <n v="2"/>
    <x v="3"/>
    <x v="1"/>
    <s v="Kenya"/>
    <s v="Kisumu"/>
    <s v="Education"/>
    <x v="3"/>
    <x v="5"/>
    <s v="Accessories"/>
    <s v="ACC-4124"/>
    <n v="867.89"/>
    <n v="1349.94"/>
    <n v="0.184"/>
    <n v="10"/>
    <n v="0.55542753113873888"/>
    <x v="192"/>
    <n v="8678.9"/>
    <n v="2336.6104000000032"/>
    <n v="0.21212003031652557"/>
    <s v="Medium"/>
    <n v="11015.510400000003"/>
    <n v="2336.6104000000032"/>
  </r>
  <r>
    <x v="193"/>
    <x v="140"/>
    <d v="2023-11-28T00:00:00"/>
    <n v="18"/>
    <x v="3"/>
    <x v="0"/>
    <s v="Brazil"/>
    <s v="Brasília"/>
    <s v="Education"/>
    <x v="4"/>
    <x v="9"/>
    <s v="Accessories"/>
    <s v="ACC-5260"/>
    <n v="388.51"/>
    <n v="776.46"/>
    <n v="0.157"/>
    <n v="12"/>
    <n v="0.99855859566034355"/>
    <x v="193"/>
    <n v="4662.12"/>
    <n v="3192.54936"/>
    <n v="0.40645241876864946"/>
    <s v="High"/>
    <n v="7854.6693599999999"/>
    <n v="3192.54936"/>
  </r>
  <r>
    <x v="194"/>
    <x v="141"/>
    <d v="2023-11-30T00:00:00"/>
    <n v="16"/>
    <x v="3"/>
    <x v="0"/>
    <s v="Brazil"/>
    <s v="São Paulo"/>
    <s v="Enterprise"/>
    <x v="2"/>
    <x v="10"/>
    <s v="Networking"/>
    <s v="NET-4104"/>
    <n v="1017.92"/>
    <n v="1175.25"/>
    <n v="7.4999999999999997E-2"/>
    <n v="15"/>
    <n v="0.1545602797862308"/>
    <x v="194"/>
    <n v="15268.8"/>
    <n v="1037.7937500000007"/>
    <n v="6.3642583234159542E-2"/>
    <s v="Low"/>
    <n v="16306.59375"/>
    <n v="1037.7937500000007"/>
  </r>
  <r>
    <x v="195"/>
    <x v="142"/>
    <d v="2023-12-06T00:00:00"/>
    <n v="21"/>
    <x v="3"/>
    <x v="2"/>
    <s v="United Kingdom"/>
    <s v="Manchester"/>
    <s v="Education"/>
    <x v="2"/>
    <x v="4"/>
    <s v="Accessories"/>
    <s v="ACC-1060"/>
    <n v="1184.99"/>
    <n v="2215.9313000000002"/>
    <n v="2.8000000000000001E-2"/>
    <n v="5"/>
    <n v="0.87000000000000011"/>
    <x v="195"/>
    <n v="5924.95"/>
    <n v="4844.4761180000014"/>
    <n v="0.44983605114324077"/>
    <s v="High"/>
    <n v="10769.426118000001"/>
    <n v="4844.4761180000014"/>
  </r>
  <r>
    <x v="196"/>
    <x v="143"/>
    <d v="2023-12-19T00:00:00"/>
    <n v="30"/>
    <x v="3"/>
    <x v="3"/>
    <s v="Japan"/>
    <s v="Nagoya"/>
    <s v="Consumer"/>
    <x v="3"/>
    <x v="9"/>
    <s v="Phones"/>
    <s v="PHN-9184"/>
    <n v="807.11"/>
    <n v="1853.86"/>
    <n v="0.13900000000000001"/>
    <n v="8"/>
    <n v="1.2969112016949362"/>
    <x v="196"/>
    <n v="6456.88"/>
    <n v="6312.5076799999997"/>
    <n v="0.49434693645388639"/>
    <s v="High"/>
    <n v="12769.38768"/>
    <n v="6312.5076799999997"/>
  </r>
  <r>
    <x v="197"/>
    <x v="143"/>
    <d v="2023-12-13T00:00:00"/>
    <n v="24"/>
    <x v="3"/>
    <x v="2"/>
    <s v="France"/>
    <s v="Lyon"/>
    <s v="Non-Profit"/>
    <x v="2"/>
    <x v="4"/>
    <s v="Monitors"/>
    <s v="MON-3745"/>
    <n v="1297.42"/>
    <n v="2742.97"/>
    <n v="6.9000000000000006E-2"/>
    <n v="9"/>
    <n v="1.1141727428280739"/>
    <x v="197"/>
    <n v="11676.78"/>
    <n v="11306.565629999999"/>
    <n v="0.49194602961727291"/>
    <s v="High"/>
    <n v="22983.34563"/>
    <n v="11306.565629999999"/>
  </r>
  <r>
    <x v="198"/>
    <x v="143"/>
    <d v="2023-12-12T00:00:00"/>
    <n v="23"/>
    <x v="3"/>
    <x v="3"/>
    <s v="India"/>
    <s v="Delhi"/>
    <s v="Small Business"/>
    <x v="2"/>
    <x v="11"/>
    <s v="Networking"/>
    <s v="NET-2460"/>
    <n v="1349.04"/>
    <n v="2636.6"/>
    <n v="0.114"/>
    <n v="14"/>
    <n v="0.9544268516871256"/>
    <x v="198"/>
    <n v="18886.559999999998"/>
    <n v="13817.826400000005"/>
    <n v="0.42250682312143928"/>
    <s v="High"/>
    <n v="32704.386400000003"/>
    <n v="13817.826400000005"/>
  </r>
  <r>
    <x v="199"/>
    <x v="144"/>
    <d v="2023-12-05T00:00:00"/>
    <n v="15"/>
    <x v="3"/>
    <x v="3"/>
    <s v="Japan"/>
    <s v="Tokyo"/>
    <s v="Enterprise"/>
    <x v="3"/>
    <x v="9"/>
    <s v="Networking"/>
    <s v="NET-3033"/>
    <n v="354.24"/>
    <n v="648.25920000000008"/>
    <n v="0"/>
    <n v="6"/>
    <n v="0.83000000000000018"/>
    <x v="199"/>
    <n v="2125.44"/>
    <n v="1764.1152000000006"/>
    <n v="0.45355191256830607"/>
    <s v="High"/>
    <n v="3889.5552000000007"/>
    <n v="1764.1152000000006"/>
  </r>
  <r>
    <x v="200"/>
    <x v="145"/>
    <d v="2023-12-07T00:00:00"/>
    <n v="9"/>
    <x v="3"/>
    <x v="3"/>
    <s v="India"/>
    <s v="Delhi"/>
    <s v="Enterprise"/>
    <x v="4"/>
    <x v="9"/>
    <s v="Phones"/>
    <s v="PHN-2447"/>
    <n v="699.33"/>
    <n v="873.75"/>
    <n v="0.23499999999999999"/>
    <n v="10"/>
    <n v="0.24941014971472689"/>
    <x v="200"/>
    <n v="6993.3"/>
    <n v="-309.11250000000018"/>
    <n v="-4.6245336475076469E-2"/>
    <s v="Low"/>
    <n v="6684.1875"/>
    <n v="-309.11250000000018"/>
  </r>
  <r>
    <x v="201"/>
    <x v="146"/>
    <d v="2023-11-30T00:00:00"/>
    <n v="1"/>
    <x v="3"/>
    <x v="1"/>
    <s v="South Africa"/>
    <s v="Durban"/>
    <s v="Small Business"/>
    <x v="4"/>
    <x v="14"/>
    <s v="Laptops"/>
    <s v="LAP-1525"/>
    <n v="275.56"/>
    <n v="630.72"/>
    <n v="0.107"/>
    <n v="23"/>
    <n v="1.2888663086079257"/>
    <x v="201"/>
    <n v="6337.88"/>
    <n v="6616.4780800000017"/>
    <n v="0.5107530638831933"/>
    <s v="High"/>
    <n v="12954.358080000002"/>
    <n v="6616.4780800000017"/>
  </r>
  <r>
    <x v="202"/>
    <x v="147"/>
    <d v="2023-12-10T00:00:00"/>
    <n v="10"/>
    <x v="3"/>
    <x v="2"/>
    <s v="Germany"/>
    <s v="Munich"/>
    <s v="Small Business"/>
    <x v="2"/>
    <x v="7"/>
    <s v="Laptops"/>
    <s v="LAP-4899"/>
    <n v="174.74"/>
    <n v="415.96"/>
    <n v="0.125"/>
    <n v="21"/>
    <n v="1.3804509557056195"/>
    <x v="202"/>
    <n v="3669.54"/>
    <n v="3973.7249999999995"/>
    <n v="0.51989889137691803"/>
    <s v="High"/>
    <n v="7643.2649999999994"/>
    <n v="3973.7249999999995"/>
  </r>
  <r>
    <x v="203"/>
    <x v="148"/>
    <d v="2023-12-18T00:00:00"/>
    <n v="17"/>
    <x v="3"/>
    <x v="3"/>
    <s v="Japan"/>
    <s v="Nagoya"/>
    <s v="Small Business"/>
    <x v="2"/>
    <x v="8"/>
    <s v="Laptops"/>
    <s v="LAP-3604"/>
    <n v="1495.79"/>
    <n v="2783.12"/>
    <n v="0.02"/>
    <n v="5"/>
    <n v="0.8606355170177632"/>
    <x v="203"/>
    <n v="7478.95"/>
    <n v="6158.3379999999988"/>
    <n v="0.45158084217331185"/>
    <s v="High"/>
    <n v="13637.287999999999"/>
    <n v="6158.3379999999988"/>
  </r>
  <r>
    <x v="204"/>
    <x v="149"/>
    <d v="2023-12-16T00:00:00"/>
    <n v="14"/>
    <x v="3"/>
    <x v="2"/>
    <s v="Germany"/>
    <s v="Frankfurt"/>
    <s v="Education"/>
    <x v="2"/>
    <x v="8"/>
    <s v="Monitors"/>
    <s v="MON-4278"/>
    <n v="879.08"/>
    <n v="1093.3900000000001"/>
    <n v="0.113"/>
    <n v="17"/>
    <n v="0.24378896118669524"/>
    <x v="204"/>
    <n v="14944.36"/>
    <n v="1542.8678099999997"/>
    <n v="9.3579577341935186E-2"/>
    <s v="Low"/>
    <n v="16487.22781"/>
    <n v="1542.8678099999997"/>
  </r>
  <r>
    <x v="205"/>
    <x v="150"/>
    <d v="2023-12-26T00:00:00"/>
    <n v="23"/>
    <x v="3"/>
    <x v="0"/>
    <s v="Brazil"/>
    <s v="Rio de Janeiro"/>
    <s v="Education"/>
    <x v="3"/>
    <x v="5"/>
    <s v="Phones"/>
    <s v="PHN-4644"/>
    <n v="1303.1099999999999"/>
    <n v="2515.0023000000001"/>
    <n v="0.184"/>
    <n v="13"/>
    <n v="0.93000000000000027"/>
    <x v="205"/>
    <n v="16940.43"/>
    <n v="9738.7143984000031"/>
    <n v="0.36503098648785948"/>
    <s v="High"/>
    <n v="26679.144398400003"/>
    <n v="9738.7143984000031"/>
  </r>
  <r>
    <x v="206"/>
    <x v="151"/>
    <d v="2023-12-07T00:00:00"/>
    <n v="2"/>
    <x v="3"/>
    <x v="3"/>
    <s v="Japan"/>
    <s v="Tokyo"/>
    <s v="Non-Profit"/>
    <x v="4"/>
    <x v="4"/>
    <s v="Printers"/>
    <s v="PRN-8175"/>
    <n v="1097.5899999999999"/>
    <n v="1854.9270999999999"/>
    <n v="0.184"/>
    <n v="6"/>
    <n v="0.69000000000000006"/>
    <x v="206"/>
    <n v="6585.5399999999991"/>
    <n v="2496.1830816000002"/>
    <n v="0.27485787214294005"/>
    <s v="Medium"/>
    <n v="9081.7230815999992"/>
    <n v="2496.1830816000002"/>
  </r>
  <r>
    <x v="207"/>
    <x v="151"/>
    <d v="2023-12-12T00:00:00"/>
    <n v="7"/>
    <x v="3"/>
    <x v="0"/>
    <s v="Brazil"/>
    <s v="Brasília"/>
    <s v="Corporate"/>
    <x v="2"/>
    <x v="7"/>
    <s v="Phones"/>
    <s v="PHN-6506"/>
    <n v="307.43"/>
    <n v="495.19"/>
    <n v="0"/>
    <n v="42"/>
    <n v="0.61074065640958908"/>
    <x v="207"/>
    <n v="12912.06"/>
    <n v="7885.92"/>
    <n v="0.37916759223732305"/>
    <s v="Medium"/>
    <n v="20797.98"/>
    <n v="7885.92"/>
  </r>
  <r>
    <x v="208"/>
    <x v="152"/>
    <d v="2023-12-31T00:00:00"/>
    <n v="25"/>
    <x v="3"/>
    <x v="3"/>
    <s v="Japan"/>
    <s v="Osaka"/>
    <s v="Consumer"/>
    <x v="3"/>
    <x v="9"/>
    <s v="Printers"/>
    <s v="PRN-8041"/>
    <n v="663.03"/>
    <n v="813.51"/>
    <n v="0.10199999999999999"/>
    <n v="15"/>
    <n v="0.22695805619655224"/>
    <x v="208"/>
    <n v="9945.4499999999989"/>
    <n v="1012.529700000001"/>
    <n v="9.2401129379715952E-2"/>
    <s v="Low"/>
    <n v="10957.9797"/>
    <n v="1012.529700000001"/>
  </r>
  <r>
    <x v="209"/>
    <x v="153"/>
    <d v="2024-01-02T00:00:00"/>
    <n v="26"/>
    <x v="3"/>
    <x v="2"/>
    <s v="Germany"/>
    <s v="Frankfurt"/>
    <s v="Enterprise"/>
    <x v="0"/>
    <x v="14"/>
    <s v="Components"/>
    <s v="CMP-1940"/>
    <n v="1071.99"/>
    <n v="2397.3000000000002"/>
    <n v="6.2E-2"/>
    <n v="18"/>
    <n v="1.2363081745165534"/>
    <x v="209"/>
    <n v="19295.82"/>
    <n v="21180.193200000002"/>
    <n v="0.52327765324476183"/>
    <s v="High"/>
    <n v="40476.013200000001"/>
    <n v="21180.193200000002"/>
  </r>
  <r>
    <x v="210"/>
    <x v="154"/>
    <d v="2023-12-19T00:00:00"/>
    <n v="3"/>
    <x v="3"/>
    <x v="3"/>
    <s v="China"/>
    <s v="Beijing"/>
    <s v="Education"/>
    <x v="3"/>
    <x v="1"/>
    <s v="Accessories"/>
    <s v="ACC-9644"/>
    <n v="1415.05"/>
    <n v="1972.38"/>
    <n v="0"/>
    <n v="12"/>
    <n v="0.39385887424472643"/>
    <x v="210"/>
    <n v="16980.599999999999"/>
    <n v="6687.9600000000028"/>
    <n v="0.28256725377462771"/>
    <s v="Medium"/>
    <n v="23668.560000000001"/>
    <n v="6687.9600000000028"/>
  </r>
  <r>
    <x v="211"/>
    <x v="155"/>
    <d v="2024-01-14T00:00:00"/>
    <n v="27"/>
    <x v="3"/>
    <x v="3"/>
    <s v="India"/>
    <s v="Mumbai"/>
    <s v="Consumer"/>
    <x v="0"/>
    <x v="2"/>
    <s v="Networking"/>
    <s v="NET-6014"/>
    <n v="1408.3"/>
    <n v="2193.13"/>
    <n v="7.0999999999999994E-2"/>
    <n v="7"/>
    <n v="0.55728892991550105"/>
    <x v="211"/>
    <n v="9858.1"/>
    <n v="4403.8243899999998"/>
    <n v="0.30878191957656281"/>
    <s v="Medium"/>
    <n v="14261.92439"/>
    <n v="4403.8243899999998"/>
  </r>
  <r>
    <x v="212"/>
    <x v="156"/>
    <d v="2024-01-01T00:00:00"/>
    <n v="13"/>
    <x v="3"/>
    <x v="0"/>
    <s v="Canada"/>
    <s v="Toronto"/>
    <s v="Enterprise"/>
    <x v="3"/>
    <x v="10"/>
    <s v="Monitors"/>
    <s v="MON-6065"/>
    <n v="856.1"/>
    <n v="901.48"/>
    <n v="5.6000000000000001E-2"/>
    <n v="17"/>
    <n v="5.3007826188529374E-2"/>
    <x v="212"/>
    <n v="14553.7"/>
    <n v="-86.748960000000807"/>
    <n v="-5.9963540182134192E-3"/>
    <s v="Low"/>
    <n v="14466.95104"/>
    <n v="-86.748960000000807"/>
  </r>
  <r>
    <x v="213"/>
    <x v="156"/>
    <d v="2023-12-20T00:00:00"/>
    <n v="1"/>
    <x v="3"/>
    <x v="0"/>
    <s v="Brazil"/>
    <s v="Rio de Janeiro"/>
    <s v="Consumer"/>
    <x v="0"/>
    <x v="13"/>
    <s v="Phones"/>
    <s v="PHN-7274"/>
    <n v="1080.43"/>
    <n v="2529.15"/>
    <n v="0.14699999999999999"/>
    <n v="10"/>
    <n v="1.3408735410901216"/>
    <x v="213"/>
    <n v="10804.300000000001"/>
    <n v="10769.349499999998"/>
    <n v="0.49918997247081437"/>
    <s v="High"/>
    <n v="21573.6495"/>
    <n v="10769.349499999998"/>
  </r>
  <r>
    <x v="214"/>
    <x v="157"/>
    <d v="2024-01-14T00:00:00"/>
    <n v="25"/>
    <x v="3"/>
    <x v="3"/>
    <s v="India"/>
    <s v="Mumbai"/>
    <s v="Non-Profit"/>
    <x v="4"/>
    <x v="9"/>
    <s v="Monitors"/>
    <s v="MON-1572"/>
    <n v="1085.6099999999999"/>
    <n v="1246.4100000000001"/>
    <n v="0.113"/>
    <n v="7"/>
    <n v="0.14811949042473835"/>
    <x v="214"/>
    <n v="7599.2699999999995"/>
    <n v="139.68969000000106"/>
    <n v="1.8050189637310417E-2"/>
    <s v="Low"/>
    <n v="7738.9596900000006"/>
    <n v="139.68969000000106"/>
  </r>
  <r>
    <x v="215"/>
    <x v="158"/>
    <d v="2024-01-06T00:00:00"/>
    <n v="16"/>
    <x v="3"/>
    <x v="1"/>
    <s v="Nigeria"/>
    <s v="Abuja"/>
    <s v="Corporate"/>
    <x v="4"/>
    <x v="10"/>
    <s v="Components"/>
    <s v="CMP-4792"/>
    <n v="932.61"/>
    <n v="1982.98"/>
    <n v="0.14399999999999999"/>
    <n v="16"/>
    <n v="1.1262692872690621"/>
    <x v="215"/>
    <n v="14921.76"/>
    <n v="12237.134079999998"/>
    <n v="0.45057556629345635"/>
    <s v="High"/>
    <n v="27158.894079999998"/>
    <n v="12237.134079999998"/>
  </r>
  <r>
    <x v="216"/>
    <x v="159"/>
    <d v="2023-12-23T00:00:00"/>
    <n v="1"/>
    <x v="3"/>
    <x v="1"/>
    <s v="South Africa"/>
    <s v="Cape Town"/>
    <s v="Non-Profit"/>
    <x v="4"/>
    <x v="2"/>
    <s v="Components"/>
    <s v="CMP-4531"/>
    <n v="1186.18"/>
    <n v="1285.0899999999999"/>
    <n v="7.0000000000000007E-2"/>
    <n v="11"/>
    <n v="8.3385320946230634E-2"/>
    <x v="216"/>
    <n v="13047.980000000001"/>
    <n v="98.49069999999665"/>
    <n v="7.4917977796121861E-3"/>
    <s v="Low"/>
    <n v="13146.470699999998"/>
    <n v="98.49069999999665"/>
  </r>
  <r>
    <x v="217"/>
    <x v="159"/>
    <d v="2024-01-16T00:00:00"/>
    <n v="25"/>
    <x v="3"/>
    <x v="3"/>
    <s v="India"/>
    <s v="Hyderabad"/>
    <s v="Small Business"/>
    <x v="3"/>
    <x v="1"/>
    <s v="Components"/>
    <s v="CMP-1555"/>
    <n v="1346.81"/>
    <n v="2424.2579999999998"/>
    <n v="0.159"/>
    <n v="17"/>
    <n v="0.79999999999999993"/>
    <x v="217"/>
    <n v="22895.77"/>
    <n v="11763.846625999995"/>
    <n v="0.3394107543929184"/>
    <s v="High"/>
    <n v="34659.616625999995"/>
    <n v="11763.846625999995"/>
  </r>
  <r>
    <x v="218"/>
    <x v="160"/>
    <d v="2024-01-13T00:00:00"/>
    <n v="20"/>
    <x v="3"/>
    <x v="3"/>
    <s v="Japan"/>
    <s v="Nagoya"/>
    <s v="Education"/>
    <x v="2"/>
    <x v="0"/>
    <s v="Laptops"/>
    <s v="LAP-1946"/>
    <n v="625.37"/>
    <n v="1319.04"/>
    <n v="7.3999999999999996E-2"/>
    <n v="8"/>
    <n v="1.1092153445160464"/>
    <x v="218"/>
    <n v="5002.96"/>
    <n v="4768.4883199999995"/>
    <n v="0.48800220436513547"/>
    <s v="High"/>
    <n v="9771.4483199999995"/>
    <n v="4768.4883199999995"/>
  </r>
  <r>
    <x v="219"/>
    <x v="160"/>
    <d v="2024-01-01T00:00:00"/>
    <n v="8"/>
    <x v="3"/>
    <x v="0"/>
    <s v="Brazil"/>
    <s v="São Paulo"/>
    <s v="Education"/>
    <x v="2"/>
    <x v="11"/>
    <s v="Phones"/>
    <s v="PHN-3014"/>
    <n v="526.49"/>
    <n v="1016.1257000000001"/>
    <n v="0"/>
    <n v="14"/>
    <n v="0.93"/>
    <x v="219"/>
    <n v="7370.8600000000006"/>
    <n v="6854.8997999999992"/>
    <n v="0.4818652849740932"/>
    <s v="High"/>
    <n v="14225.7598"/>
    <n v="6854.8997999999992"/>
  </r>
  <r>
    <x v="220"/>
    <x v="161"/>
    <d v="2024-01-03T00:00:00"/>
    <n v="8"/>
    <x v="3"/>
    <x v="2"/>
    <s v="France"/>
    <s v="Lyon"/>
    <s v="Small Business"/>
    <x v="3"/>
    <x v="3"/>
    <s v="Laptops"/>
    <s v="LAP-2942"/>
    <n v="492.75"/>
    <n v="731.29"/>
    <n v="5.8000000000000003E-2"/>
    <n v="6"/>
    <n v="0.48409944190766102"/>
    <x v="220"/>
    <n v="2956.5"/>
    <n v="1176.75108"/>
    <n v="0.28470350753528384"/>
    <s v="Medium"/>
    <n v="4133.25108"/>
    <n v="1176.75108"/>
  </r>
  <r>
    <x v="221"/>
    <x v="162"/>
    <d v="2024-01-01T00:00:00"/>
    <n v="4"/>
    <x v="3"/>
    <x v="1"/>
    <s v="South Africa"/>
    <s v="Cape Town"/>
    <s v="Education"/>
    <x v="0"/>
    <x v="1"/>
    <s v="Printers"/>
    <s v="PRN-1654"/>
    <n v="1141.8"/>
    <n v="2318.7399999999998"/>
    <n v="0.107"/>
    <n v="32"/>
    <n v="1.0307759677701873"/>
    <x v="221"/>
    <n v="36537.599999999999"/>
    <n v="29722.714239999994"/>
    <n v="0.44857490612468304"/>
    <s v="High"/>
    <n v="66260.314239999992"/>
    <n v="29722.714239999994"/>
  </r>
  <r>
    <x v="222"/>
    <x v="163"/>
    <d v="2024-01-20T00:00:00"/>
    <n v="22"/>
    <x v="3"/>
    <x v="1"/>
    <s v="Kenya"/>
    <s v="Kisumu"/>
    <s v="Corporate"/>
    <x v="2"/>
    <x v="9"/>
    <s v="Phones"/>
    <s v="PHN-7924"/>
    <n v="1395.49"/>
    <n v="1679.42"/>
    <n v="0.20300000000000001"/>
    <n v="12"/>
    <n v="0.20346258303534964"/>
    <x v="222"/>
    <n v="16745.88"/>
    <n v="-683.90712000000167"/>
    <n v="-4.2579272490964493E-2"/>
    <s v="Low"/>
    <n v="16061.972879999999"/>
    <n v="-683.90712000000167"/>
  </r>
  <r>
    <x v="223"/>
    <x v="164"/>
    <d v="2024-01-08T00:00:00"/>
    <n v="9"/>
    <x v="3"/>
    <x v="2"/>
    <s v="France"/>
    <s v="Marseille"/>
    <s v="Consumer"/>
    <x v="4"/>
    <x v="9"/>
    <s v="Accessories"/>
    <s v="ACC-6594"/>
    <n v="861.1"/>
    <n v="1224.72"/>
    <n v="0.17399999999999999"/>
    <n v="24"/>
    <n v="0.42227383579142957"/>
    <x v="223"/>
    <n v="20666.400000000001"/>
    <n v="3612.4492800000007"/>
    <n v="0.14878997098827909"/>
    <s v="Medium"/>
    <n v="24278.849280000002"/>
    <n v="3612.4492800000007"/>
  </r>
  <r>
    <x v="224"/>
    <x v="165"/>
    <d v="2024-01-02T00:00:00"/>
    <n v="1"/>
    <x v="4"/>
    <x v="0"/>
    <s v="USA"/>
    <s v="Chicago"/>
    <s v="Education"/>
    <x v="4"/>
    <x v="0"/>
    <s v="Networking"/>
    <s v="NET-4554"/>
    <n v="404.77"/>
    <n v="433.88"/>
    <n v="0.215"/>
    <n v="22"/>
    <n v="7.1917385181708163E-2"/>
    <x v="224"/>
    <n v="8904.9399999999987"/>
    <n v="-1411.8323999999975"/>
    <n v="-0.18841747314558746"/>
    <s v="Low"/>
    <n v="7493.1076000000012"/>
    <n v="-1411.8323999999975"/>
  </r>
  <r>
    <x v="225"/>
    <x v="165"/>
    <d v="2024-01-27T00:00:00"/>
    <n v="26"/>
    <x v="4"/>
    <x v="2"/>
    <s v="United Kingdom"/>
    <s v="Manchester"/>
    <s v="Education"/>
    <x v="0"/>
    <x v="2"/>
    <s v="Accessories"/>
    <s v="ACC-3103"/>
    <n v="657.45"/>
    <n v="1325.96"/>
    <n v="0.16700000000000001"/>
    <n v="21"/>
    <n v="1.0168225720587116"/>
    <x v="225"/>
    <n v="13806.45"/>
    <n v="9388.5682799999995"/>
    <n v="0.40476658249048808"/>
    <s v="High"/>
    <n v="23195.01828"/>
    <n v="9388.5682799999995"/>
  </r>
  <r>
    <x v="226"/>
    <x v="166"/>
    <d v="2024-01-02T00:00:00"/>
    <n v="0"/>
    <x v="4"/>
    <x v="0"/>
    <s v="Canada"/>
    <s v="Vancouver"/>
    <s v="Education"/>
    <x v="2"/>
    <x v="1"/>
    <s v="Laptops"/>
    <s v="LAP-3581"/>
    <n v="444.41"/>
    <n v="754.24"/>
    <n v="0.20699999999999999"/>
    <n v="32"/>
    <n v="0.69717153079363647"/>
    <x v="226"/>
    <n v="14221.12"/>
    <n v="4918.4742400000014"/>
    <n v="0.25697902360546598"/>
    <s v="Medium"/>
    <n v="19139.594240000002"/>
    <n v="4918.4742400000014"/>
  </r>
  <r>
    <x v="227"/>
    <x v="166"/>
    <d v="2024-01-15T00:00:00"/>
    <n v="13"/>
    <x v="4"/>
    <x v="3"/>
    <s v="Japan"/>
    <s v="Nagoya"/>
    <s v="Small Business"/>
    <x v="4"/>
    <x v="6"/>
    <s v="Networking"/>
    <s v="NET-1893"/>
    <n v="1219.06"/>
    <n v="2738.69"/>
    <n v="7.5999999999999998E-2"/>
    <n v="16"/>
    <n v="1.2465588240119438"/>
    <x v="227"/>
    <n v="19504.96"/>
    <n v="20983.832960000007"/>
    <n v="0.51826274447673737"/>
    <s v="High"/>
    <n v="40488.792960000006"/>
    <n v="20983.832960000007"/>
  </r>
  <r>
    <x v="228"/>
    <x v="167"/>
    <d v="2024-01-12T00:00:00"/>
    <n v="4"/>
    <x v="4"/>
    <x v="3"/>
    <s v="India"/>
    <s v="Bengaluru"/>
    <s v="Corporate"/>
    <x v="2"/>
    <x v="14"/>
    <s v="Printers"/>
    <s v="PRN-6585"/>
    <n v="802.32"/>
    <n v="1299.7584000000002"/>
    <n v="0.12"/>
    <n v="25"/>
    <n v="0.62000000000000011"/>
    <x v="228"/>
    <n v="20058"/>
    <n v="8536.6848000000027"/>
    <n v="0.29854096520763196"/>
    <s v="Medium"/>
    <n v="28594.684800000003"/>
    <n v="8536.6848000000027"/>
  </r>
  <r>
    <x v="229"/>
    <x v="168"/>
    <d v="2024-01-23T00:00:00"/>
    <n v="13"/>
    <x v="4"/>
    <x v="2"/>
    <s v="France"/>
    <s v="Marseille"/>
    <s v="Corporate"/>
    <x v="2"/>
    <x v="1"/>
    <s v="Printers"/>
    <s v="PRN-6776"/>
    <n v="720"/>
    <n v="907.59"/>
    <n v="0.154"/>
    <n v="10"/>
    <n v="0.26054166666666673"/>
    <x v="229"/>
    <n v="7200"/>
    <n v="478.21139999999923"/>
    <n v="6.2281614179052078E-2"/>
    <s v="Medium"/>
    <n v="7678.2113999999992"/>
    <n v="478.21139999999923"/>
  </r>
  <r>
    <x v="230"/>
    <x v="169"/>
    <d v="2024-02-02T00:00:00"/>
    <n v="22"/>
    <x v="4"/>
    <x v="3"/>
    <s v="Japan"/>
    <s v="Nagoya"/>
    <s v="Small Business"/>
    <x v="1"/>
    <x v="2"/>
    <s v="Printers"/>
    <s v="PRN-7816"/>
    <n v="1237.68"/>
    <n v="1432.8"/>
    <n v="6.8000000000000005E-2"/>
    <n v="13"/>
    <n v="0.1576497963932518"/>
    <x v="230"/>
    <n v="16089.84"/>
    <n v="1269.9647999999979"/>
    <n v="7.315547695559331E-2"/>
    <s v="Low"/>
    <n v="17359.804799999998"/>
    <n v="1269.9647999999979"/>
  </r>
  <r>
    <x v="231"/>
    <x v="169"/>
    <d v="2024-02-02T00:00:00"/>
    <n v="22"/>
    <x v="4"/>
    <x v="1"/>
    <s v="South Africa"/>
    <s v="Durban"/>
    <s v="Consumer"/>
    <x v="1"/>
    <x v="10"/>
    <s v="Networking"/>
    <s v="NET-1412"/>
    <n v="1206.2"/>
    <n v="1759.79"/>
    <n v="0"/>
    <n v="6"/>
    <n v="0.45895373901508862"/>
    <x v="231"/>
    <n v="7237.2000000000007"/>
    <n v="3321.5399999999991"/>
    <n v="0.31457730751964713"/>
    <s v="Medium"/>
    <n v="10558.74"/>
    <n v="3321.5399999999991"/>
  </r>
  <r>
    <x v="232"/>
    <x v="170"/>
    <d v="2024-01-29T00:00:00"/>
    <n v="17"/>
    <x v="4"/>
    <x v="0"/>
    <s v="USA"/>
    <s v="Chicago"/>
    <s v="Education"/>
    <x v="0"/>
    <x v="1"/>
    <s v="Printers"/>
    <s v="PRN-8604"/>
    <n v="493.76"/>
    <n v="625.04"/>
    <n v="0.25800000000000001"/>
    <n v="10"/>
    <n v="0.2658781594296824"/>
    <x v="232"/>
    <n v="4937.6000000000004"/>
    <n v="-299.80320000000029"/>
    <n v="-6.464345311549663E-2"/>
    <s v="Medium"/>
    <n v="4637.7968000000001"/>
    <n v="-299.80320000000029"/>
  </r>
  <r>
    <x v="233"/>
    <x v="170"/>
    <d v="2024-01-29T00:00:00"/>
    <n v="17"/>
    <x v="4"/>
    <x v="3"/>
    <s v="India"/>
    <s v="Hyderabad"/>
    <s v="Small Business"/>
    <x v="2"/>
    <x v="0"/>
    <s v="Components"/>
    <s v="CMP-5138"/>
    <n v="310.02"/>
    <n v="619.51"/>
    <n v="4.2000000000000003E-2"/>
    <n v="4"/>
    <n v="0.99829043287529851"/>
    <x v="233"/>
    <n v="1240.08"/>
    <n v="1133.8823200000002"/>
    <n v="0.47763282106347843"/>
    <s v="High"/>
    <n v="2373.9623200000001"/>
    <n v="1133.8823200000002"/>
  </r>
  <r>
    <x v="234"/>
    <x v="171"/>
    <d v="2024-01-22T00:00:00"/>
    <n v="9"/>
    <x v="4"/>
    <x v="3"/>
    <s v="India"/>
    <s v="Mumbai"/>
    <s v="Enterprise"/>
    <x v="4"/>
    <x v="13"/>
    <s v="Components"/>
    <s v="CMP-8141"/>
    <n v="313.60000000000002"/>
    <n v="334.28"/>
    <n v="0.14000000000000001"/>
    <n v="22"/>
    <n v="6.5943877551020241E-2"/>
    <x v="234"/>
    <n v="6899.2000000000007"/>
    <n v="-574.62240000000111"/>
    <n v="-9.0855458868905517E-2"/>
    <s v="Low"/>
    <n v="6324.5775999999996"/>
    <n v="-574.62240000000111"/>
  </r>
  <r>
    <x v="235"/>
    <x v="171"/>
    <d v="2024-01-15T00:00:00"/>
    <n v="2"/>
    <x v="4"/>
    <x v="0"/>
    <s v="USA"/>
    <s v="San Francisco"/>
    <s v="Non-Profit"/>
    <x v="2"/>
    <x v="14"/>
    <s v="Components"/>
    <s v="CMP-2410"/>
    <n v="1061.3699999999999"/>
    <n v="1938.33"/>
    <n v="0.17"/>
    <n v="4"/>
    <n v="0.82625286186720948"/>
    <x v="235"/>
    <n v="4245.4799999999996"/>
    <n v="2189.7755999999999"/>
    <n v="0.34027795259600879"/>
    <s v="High"/>
    <n v="6435.2555999999995"/>
    <n v="2189.7755999999999"/>
  </r>
  <r>
    <x v="236"/>
    <x v="171"/>
    <d v="2024-02-05T00:00:00"/>
    <n v="23"/>
    <x v="4"/>
    <x v="2"/>
    <s v="Germany"/>
    <s v="Frankfurt"/>
    <s v="Education"/>
    <x v="2"/>
    <x v="0"/>
    <s v="Laptops"/>
    <s v="LAP-9931"/>
    <n v="1017.93"/>
    <n v="1529.14"/>
    <n v="0.155"/>
    <n v="12"/>
    <n v="0.50220545617085677"/>
    <x v="236"/>
    <n v="12215.16"/>
    <n v="3290.3196000000007"/>
    <n v="0.21220366508366503"/>
    <s v="Medium"/>
    <n v="15505.479600000001"/>
    <n v="3290.3196000000007"/>
  </r>
  <r>
    <x v="237"/>
    <x v="172"/>
    <d v="2024-02-11T00:00:00"/>
    <n v="26"/>
    <x v="4"/>
    <x v="2"/>
    <s v="Germany"/>
    <s v="Frankfurt"/>
    <s v="Non-Profit"/>
    <x v="0"/>
    <x v="14"/>
    <s v="Monitors"/>
    <s v="MON-4195"/>
    <n v="504.93"/>
    <n v="819.06"/>
    <n v="0.22600000000000001"/>
    <n v="15"/>
    <n v="0.62212583922523901"/>
    <x v="237"/>
    <n v="7573.95"/>
    <n v="1935.3365999999996"/>
    <n v="0.20352069312959814"/>
    <s v="Medium"/>
    <n v="9509.2865999999995"/>
    <n v="1935.3365999999996"/>
  </r>
  <r>
    <x v="238"/>
    <x v="173"/>
    <d v="2024-02-03T00:00:00"/>
    <n v="16"/>
    <x v="4"/>
    <x v="1"/>
    <s v="South Africa"/>
    <s v="Cape Town"/>
    <s v="Non-Profit"/>
    <x v="0"/>
    <x v="9"/>
    <s v="Printers"/>
    <s v="PRN-6660"/>
    <n v="666.23"/>
    <n v="1382.91"/>
    <n v="0.17599999999999999"/>
    <n v="13"/>
    <n v="1.0757245996127465"/>
    <x v="238"/>
    <n v="8660.99"/>
    <n v="6152.7419200000022"/>
    <n v="0.41534043907553048"/>
    <s v="High"/>
    <n v="14813.731920000002"/>
    <n v="6152.7419200000022"/>
  </r>
  <r>
    <x v="239"/>
    <x v="174"/>
    <d v="2024-02-13T00:00:00"/>
    <n v="24"/>
    <x v="4"/>
    <x v="2"/>
    <s v="France"/>
    <s v="Marseille"/>
    <s v="Corporate"/>
    <x v="3"/>
    <x v="4"/>
    <s v="Printers"/>
    <s v="PRN-8392"/>
    <n v="643.53"/>
    <n v="1439.01"/>
    <n v="0"/>
    <n v="15"/>
    <n v="1.2361195282271225"/>
    <x v="239"/>
    <n v="9652.9499999999989"/>
    <n v="11932.200000000003"/>
    <n v="0.55279671440782208"/>
    <s v="High"/>
    <n v="21585.15"/>
    <n v="11932.200000000003"/>
  </r>
  <r>
    <x v="240"/>
    <x v="175"/>
    <d v="2024-01-25T00:00:00"/>
    <n v="4"/>
    <x v="4"/>
    <x v="3"/>
    <s v="India"/>
    <s v="Delhi"/>
    <s v="Consumer"/>
    <x v="2"/>
    <x v="11"/>
    <s v="Monitors"/>
    <s v="MON-8973"/>
    <n v="523.70000000000005"/>
    <n v="1109.92"/>
    <n v="0.03"/>
    <n v="11"/>
    <n v="1.1193813251861753"/>
    <x v="240"/>
    <n v="5760.7000000000007"/>
    <n v="6082.1463999999996"/>
    <n v="0.51357133197302973"/>
    <s v="High"/>
    <n v="11842.8464"/>
    <n v="6082.1463999999996"/>
  </r>
  <r>
    <x v="241"/>
    <x v="176"/>
    <d v="2024-02-04T00:00:00"/>
    <n v="11"/>
    <x v="4"/>
    <x v="2"/>
    <s v="United Kingdom"/>
    <s v="Manchester"/>
    <s v="Consumer"/>
    <x v="3"/>
    <x v="0"/>
    <s v="Laptops"/>
    <s v="LAP-5689"/>
    <n v="525.34"/>
    <n v="1233.79"/>
    <n v="0.14299999999999999"/>
    <n v="4"/>
    <n v="1.348555221380439"/>
    <x v="241"/>
    <n v="2101.36"/>
    <n v="2128.0721199999994"/>
    <n v="0.50315788494082736"/>
    <s v="High"/>
    <n v="4229.4321199999995"/>
    <n v="2128.0721199999994"/>
  </r>
  <r>
    <x v="242"/>
    <x v="177"/>
    <d v="2024-01-27T00:00:00"/>
    <n v="2"/>
    <x v="4"/>
    <x v="0"/>
    <s v="Brazil"/>
    <s v="São Paulo"/>
    <s v="Non-Profit"/>
    <x v="4"/>
    <x v="8"/>
    <s v="Laptops"/>
    <s v="LAP-7056"/>
    <n v="1410.97"/>
    <n v="1650.75"/>
    <n v="0.13500000000000001"/>
    <n v="6"/>
    <n v="0.16993982862853213"/>
    <x v="242"/>
    <n v="8465.82"/>
    <n v="101.57250000000022"/>
    <n v="1.1855707556295596E-2"/>
    <s v="Low"/>
    <n v="8567.3924999999999"/>
    <n v="101.57250000000022"/>
  </r>
  <r>
    <x v="243"/>
    <x v="177"/>
    <d v="2024-02-08T00:00:00"/>
    <n v="14"/>
    <x v="4"/>
    <x v="3"/>
    <s v="Japan"/>
    <s v="Osaka"/>
    <s v="Consumer"/>
    <x v="4"/>
    <x v="12"/>
    <s v="Networking"/>
    <s v="NET-9569"/>
    <n v="937.16"/>
    <n v="1069.77"/>
    <n v="3.7999999999999999E-2"/>
    <n v="9"/>
    <n v="0.14150198471979172"/>
    <x v="243"/>
    <n v="8434.44"/>
    <n v="827.62866000000031"/>
    <n v="8.9356783066645962E-2"/>
    <s v="Low"/>
    <n v="9262.0686600000008"/>
    <n v="827.62866000000031"/>
  </r>
  <r>
    <x v="244"/>
    <x v="178"/>
    <d v="2024-01-28T00:00:00"/>
    <n v="1"/>
    <x v="4"/>
    <x v="1"/>
    <s v="South Africa"/>
    <s v="Cape Town"/>
    <s v="Enterprise"/>
    <x v="2"/>
    <x v="5"/>
    <s v="Components"/>
    <s v="CMP-1470"/>
    <n v="109.75"/>
    <n v="124.25"/>
    <n v="0.12"/>
    <n v="19"/>
    <n v="0.13211845102505695"/>
    <x v="244"/>
    <n v="2085.25"/>
    <n v="-7.7899999999999636"/>
    <n v="-3.7497713554051405E-3"/>
    <s v="Low"/>
    <n v="2077.46"/>
    <n v="-7.7899999999999636"/>
  </r>
  <r>
    <x v="245"/>
    <x v="179"/>
    <d v="2024-02-09T00:00:00"/>
    <n v="12"/>
    <x v="4"/>
    <x v="2"/>
    <s v="Germany"/>
    <s v="Berlin"/>
    <s v="Corporate"/>
    <x v="1"/>
    <x v="6"/>
    <s v="Accessories"/>
    <s v="ACC-7938"/>
    <n v="644.16999999999996"/>
    <n v="700.12"/>
    <n v="6.0000000000000001E-3"/>
    <n v="23"/>
    <n v="8.6855954173587796E-2"/>
    <x v="245"/>
    <n v="14815.91"/>
    <n v="1190.23344"/>
    <n v="7.436103796405813E-2"/>
    <s v="Low"/>
    <n v="16006.14344"/>
    <n v="1190.23344"/>
  </r>
  <r>
    <x v="246"/>
    <x v="179"/>
    <d v="2024-01-30T00:00:00"/>
    <n v="2"/>
    <x v="4"/>
    <x v="1"/>
    <s v="South Africa"/>
    <s v="Cape Town"/>
    <s v="Consumer"/>
    <x v="2"/>
    <x v="7"/>
    <s v="Accessories"/>
    <s v="ACC-6223"/>
    <n v="798.45"/>
    <n v="1592.02"/>
    <n v="6.6000000000000003E-2"/>
    <n v="18"/>
    <n v="0.99388815830671917"/>
    <x v="246"/>
    <n v="14372.1"/>
    <n v="12392.940239999998"/>
    <n v="0.46302714768494585"/>
    <s v="High"/>
    <n v="26765.040239999998"/>
    <n v="12392.940239999998"/>
  </r>
  <r>
    <x v="247"/>
    <x v="180"/>
    <d v="2024-02-21T00:00:00"/>
    <n v="20"/>
    <x v="4"/>
    <x v="2"/>
    <s v="France"/>
    <s v="Paris"/>
    <s v="Small Business"/>
    <x v="4"/>
    <x v="1"/>
    <s v="Networking"/>
    <s v="NET-8761"/>
    <n v="656.2"/>
    <n v="1467.17"/>
    <n v="1.7999999999999999E-2"/>
    <n v="5"/>
    <n v="1.2358579701310575"/>
    <x v="247"/>
    <n v="3281"/>
    <n v="3922.8047000000006"/>
    <n v="0.54454623124360946"/>
    <s v="High"/>
    <n v="7203.8047000000006"/>
    <n v="3922.8047000000006"/>
  </r>
  <r>
    <x v="248"/>
    <x v="180"/>
    <d v="2024-02-01T00:00:00"/>
    <n v="0"/>
    <x v="4"/>
    <x v="0"/>
    <s v="USA"/>
    <s v="Austin"/>
    <s v="Consumer"/>
    <x v="0"/>
    <x v="4"/>
    <s v="Printers"/>
    <s v="PRN-4906"/>
    <n v="714.43"/>
    <n v="1595.52"/>
    <n v="0.19400000000000001"/>
    <n v="14"/>
    <n v="1.2332768780706298"/>
    <x v="248"/>
    <n v="10002.019999999999"/>
    <n v="8001.8276800000003"/>
    <n v="0.44445097638151093"/>
    <s v="High"/>
    <n v="18003.847679999999"/>
    <n v="8001.8276800000003"/>
  </r>
  <r>
    <x v="249"/>
    <x v="181"/>
    <d v="2024-02-21T00:00:00"/>
    <n v="18"/>
    <x v="4"/>
    <x v="2"/>
    <s v="Germany"/>
    <s v="Frankfurt"/>
    <s v="Corporate"/>
    <x v="3"/>
    <x v="4"/>
    <s v="Components"/>
    <s v="CMP-9264"/>
    <n v="39.229999999999997"/>
    <n v="70.221699999999998"/>
    <n v="0.17699999999999999"/>
    <n v="13"/>
    <n v="0.79000000000000015"/>
    <x v="249"/>
    <n v="509.98999999999995"/>
    <n v="241.31196830000005"/>
    <n v="0.32119171582369999"/>
    <s v="High"/>
    <n v="751.3019683"/>
    <n v="241.31196830000005"/>
  </r>
  <r>
    <x v="250"/>
    <x v="181"/>
    <d v="2024-02-19T00:00:00"/>
    <n v="16"/>
    <x v="4"/>
    <x v="3"/>
    <s v="China"/>
    <s v="Shenzhen"/>
    <s v="Small Business"/>
    <x v="1"/>
    <x v="4"/>
    <s v="Laptops"/>
    <s v="LAP-5531"/>
    <n v="993.75"/>
    <n v="1310.29"/>
    <n v="0.215"/>
    <n v="19"/>
    <n v="0.31853081761006286"/>
    <x v="250"/>
    <n v="18881.25"/>
    <n v="661.72535000000062"/>
    <n v="3.3860010471742245E-2"/>
    <s v="Medium"/>
    <n v="19542.975350000001"/>
    <n v="661.72535000000062"/>
  </r>
  <r>
    <x v="251"/>
    <x v="182"/>
    <d v="2024-02-28T00:00:00"/>
    <n v="22"/>
    <x v="4"/>
    <x v="1"/>
    <s v="Kenya"/>
    <s v="Kisumu"/>
    <s v="Non-Profit"/>
    <x v="1"/>
    <x v="10"/>
    <s v="Monitors"/>
    <s v="MON-2462"/>
    <n v="834.93"/>
    <n v="1588.53"/>
    <n v="0.126"/>
    <n v="6"/>
    <n v="0.90259063634077119"/>
    <x v="251"/>
    <n v="5009.58"/>
    <n v="3320.6713199999995"/>
    <n v="0.39862798761274343"/>
    <s v="High"/>
    <n v="8330.2513199999994"/>
    <n v="3320.6713199999995"/>
  </r>
  <r>
    <x v="252"/>
    <x v="183"/>
    <d v="2024-02-09T00:00:00"/>
    <n v="1"/>
    <x v="4"/>
    <x v="1"/>
    <s v="Kenya"/>
    <s v="Mombasa"/>
    <s v="Corporate"/>
    <x v="2"/>
    <x v="7"/>
    <s v="Components"/>
    <s v="CMP-5911"/>
    <n v="1233.52"/>
    <n v="1543.76"/>
    <n v="0.126"/>
    <n v="13"/>
    <n v="0.2515078798884493"/>
    <x v="252"/>
    <n v="16035.76"/>
    <n v="1504.4411200000013"/>
    <n v="8.5771030201277493E-2"/>
    <s v="Medium"/>
    <n v="17540.201120000002"/>
    <n v="1504.4411200000013"/>
  </r>
  <r>
    <x v="253"/>
    <x v="184"/>
    <d v="2024-03-03T00:00:00"/>
    <n v="21"/>
    <x v="4"/>
    <x v="1"/>
    <s v="Kenya"/>
    <s v="Kisumu"/>
    <s v="Enterprise"/>
    <x v="1"/>
    <x v="0"/>
    <s v="Phones"/>
    <s v="PHN-5082"/>
    <n v="516.86"/>
    <n v="852.54"/>
    <n v="5.0999999999999997E-2"/>
    <n v="14"/>
    <n v="0.64946020198893306"/>
    <x v="253"/>
    <n v="7236.04"/>
    <n v="4090.8064399999994"/>
    <n v="0.36116022775355994"/>
    <s v="Medium"/>
    <n v="11326.846439999999"/>
    <n v="4090.8064399999994"/>
  </r>
  <r>
    <x v="254"/>
    <x v="185"/>
    <d v="2024-02-14T00:00:00"/>
    <n v="0"/>
    <x v="4"/>
    <x v="3"/>
    <s v="China"/>
    <s v="Beijing"/>
    <s v="Corporate"/>
    <x v="0"/>
    <x v="9"/>
    <s v="Accessories"/>
    <s v="ACC-1021"/>
    <n v="65.930000000000007"/>
    <n v="84.9"/>
    <n v="0.25900000000000001"/>
    <n v="23"/>
    <n v="0.28772940998028207"/>
    <x v="254"/>
    <n v="1516.39"/>
    <n v="-69.439300000000003"/>
    <n v="-4.7990093926489688E-2"/>
    <s v="Medium"/>
    <n v="1446.9507000000001"/>
    <n v="-69.439300000000003"/>
  </r>
  <r>
    <x v="255"/>
    <x v="186"/>
    <d v="2024-03-04T00:00:00"/>
    <n v="17"/>
    <x v="4"/>
    <x v="0"/>
    <s v="Canada"/>
    <s v="Montreal"/>
    <s v="Non-Profit"/>
    <x v="3"/>
    <x v="2"/>
    <s v="Laptops"/>
    <s v="LAP-2774"/>
    <n v="1350.98"/>
    <n v="2210.4"/>
    <n v="0.26300000000000001"/>
    <n v="6"/>
    <n v="0.63614561281440141"/>
    <x v="255"/>
    <n v="8105.88"/>
    <n v="1668.5088000000005"/>
    <n v="0.17070211080615091"/>
    <s v="Medium"/>
    <n v="9774.3888000000006"/>
    <n v="1668.5088000000005"/>
  </r>
  <r>
    <x v="256"/>
    <x v="187"/>
    <d v="2024-03-04T00:00:00"/>
    <n v="16"/>
    <x v="4"/>
    <x v="3"/>
    <s v="India"/>
    <s v="Delhi"/>
    <s v="Small Business"/>
    <x v="4"/>
    <x v="7"/>
    <s v="Phones"/>
    <s v="PHN-1717"/>
    <n v="1231.8"/>
    <n v="2015.99"/>
    <n v="0.26100000000000001"/>
    <n v="6"/>
    <n v="0.63662120474102946"/>
    <x v="256"/>
    <n v="7390.7999999999993"/>
    <n v="1548.0996600000017"/>
    <n v="0.17318682599464391"/>
    <s v="Medium"/>
    <n v="8938.8996600000009"/>
    <n v="1548.0996600000017"/>
  </r>
  <r>
    <x v="257"/>
    <x v="188"/>
    <d v="2024-03-11T00:00:00"/>
    <n v="22"/>
    <x v="4"/>
    <x v="0"/>
    <s v="Brazil"/>
    <s v="São Paulo"/>
    <s v="Consumer"/>
    <x v="1"/>
    <x v="1"/>
    <s v="Components"/>
    <s v="CMP-9801"/>
    <n v="80.48"/>
    <n v="168.20320000000001"/>
    <n v="0.17599999999999999"/>
    <n v="13"/>
    <n v="1.0900000000000001"/>
    <x v="257"/>
    <n v="1046.24"/>
    <n v="755.5526784000001"/>
    <n v="0.41933385980396715"/>
    <s v="High"/>
    <n v="1801.7926784000001"/>
    <n v="755.5526784000001"/>
  </r>
  <r>
    <x v="258"/>
    <x v="188"/>
    <d v="2024-03-04T00:00:00"/>
    <n v="15"/>
    <x v="4"/>
    <x v="1"/>
    <s v="Kenya"/>
    <s v="Kisumu"/>
    <s v="Education"/>
    <x v="2"/>
    <x v="10"/>
    <s v="Printers"/>
    <s v="PRN-7089"/>
    <n v="928.68"/>
    <n v="2145.17"/>
    <n v="0.13600000000000001"/>
    <n v="16"/>
    <n v="1.3099129947883019"/>
    <x v="258"/>
    <n v="14858.88"/>
    <n v="14795.950080000001"/>
    <n v="0.49893896003062177"/>
    <s v="High"/>
    <n v="29654.83008"/>
    <n v="14795.950080000001"/>
  </r>
  <r>
    <x v="259"/>
    <x v="188"/>
    <d v="2024-03-03T00:00:00"/>
    <n v="14"/>
    <x v="4"/>
    <x v="0"/>
    <s v="Brazil"/>
    <s v="Rio de Janeiro"/>
    <s v="Enterprise"/>
    <x v="0"/>
    <x v="1"/>
    <s v="Printers"/>
    <s v="PRN-5384"/>
    <n v="624.23"/>
    <n v="1318.37"/>
    <n v="0.21"/>
    <n v="37"/>
    <n v="1.1119939765791453"/>
    <x v="259"/>
    <n v="23096.510000000002"/>
    <n v="15439.445099999997"/>
    <n v="0.40065038118128793"/>
    <s v="High"/>
    <n v="38535.955099999999"/>
    <n v="15439.445099999997"/>
  </r>
  <r>
    <x v="260"/>
    <x v="189"/>
    <d v="2024-03-06T00:00:00"/>
    <n v="16"/>
    <x v="4"/>
    <x v="3"/>
    <s v="China"/>
    <s v="Beijing"/>
    <s v="Education"/>
    <x v="4"/>
    <x v="5"/>
    <s v="Printers"/>
    <s v="PRN-6308"/>
    <n v="1477.84"/>
    <n v="3197.47"/>
    <n v="0.24299999999999999"/>
    <n v="24"/>
    <n v="1.1636104043739512"/>
    <x v="260"/>
    <n v="35468.159999999996"/>
    <n v="22623.474960000007"/>
    <n v="0.38944462443823091"/>
    <s v="High"/>
    <n v="58091.634960000003"/>
    <n v="22623.474960000007"/>
  </r>
  <r>
    <x v="261"/>
    <x v="190"/>
    <d v="2024-02-20T00:00:00"/>
    <n v="0"/>
    <x v="4"/>
    <x v="0"/>
    <s v="USA"/>
    <s v="New York"/>
    <s v="Enterprise"/>
    <x v="1"/>
    <x v="11"/>
    <s v="Networking"/>
    <s v="NET-9177"/>
    <n v="1407.05"/>
    <n v="2858.93"/>
    <n v="0"/>
    <n v="12"/>
    <n v="1.0318609857503287"/>
    <x v="261"/>
    <n v="16884.599999999999"/>
    <n v="17422.559999999998"/>
    <n v="0.50784034586366222"/>
    <s v="High"/>
    <n v="34307.159999999996"/>
    <n v="17422.559999999998"/>
  </r>
  <r>
    <x v="262"/>
    <x v="191"/>
    <d v="2024-03-09T00:00:00"/>
    <n v="13"/>
    <x v="4"/>
    <x v="2"/>
    <s v="France"/>
    <s v="Marseille"/>
    <s v="Small Business"/>
    <x v="0"/>
    <x v="14"/>
    <s v="Monitors"/>
    <s v="MON-3350"/>
    <n v="322.44"/>
    <n v="395.61"/>
    <n v="0"/>
    <n v="34"/>
    <n v="0.22692593970971348"/>
    <x v="262"/>
    <n v="10962.96"/>
    <n v="2487.7800000000007"/>
    <n v="0.18495487980586947"/>
    <s v="Low"/>
    <n v="13450.74"/>
    <n v="2487.7800000000007"/>
  </r>
  <r>
    <x v="263"/>
    <x v="192"/>
    <d v="2024-03-26T00:00:00"/>
    <n v="28"/>
    <x v="4"/>
    <x v="3"/>
    <s v="India"/>
    <s v="Mumbai"/>
    <s v="Education"/>
    <x v="4"/>
    <x v="6"/>
    <s v="Laptops"/>
    <s v="LAP-8469"/>
    <n v="1035.19"/>
    <n v="2322.6999999999998"/>
    <n v="0.17299999999999999"/>
    <n v="8"/>
    <n v="1.2437426945778067"/>
    <x v="263"/>
    <n v="8281.52"/>
    <n v="7085.4631999999983"/>
    <n v="0.46108355217047409"/>
    <s v="High"/>
    <n v="15366.983199999999"/>
    <n v="7085.4631999999983"/>
  </r>
  <r>
    <x v="264"/>
    <x v="193"/>
    <d v="2024-03-01T00:00:00"/>
    <n v="1"/>
    <x v="4"/>
    <x v="0"/>
    <s v="Brazil"/>
    <s v="São Paulo"/>
    <s v="Non-Profit"/>
    <x v="2"/>
    <x v="12"/>
    <s v="Phones"/>
    <s v="PHN-7852"/>
    <n v="5.34"/>
    <n v="12.69"/>
    <n v="0.13200000000000001"/>
    <n v="10"/>
    <n v="1.3764044943820224"/>
    <x v="264"/>
    <n v="53.4"/>
    <n v="56.749199999999995"/>
    <n v="0.51520301554618642"/>
    <s v="High"/>
    <n v="110.14919999999999"/>
    <n v="56.749199999999995"/>
  </r>
  <r>
    <x v="265"/>
    <x v="193"/>
    <d v="2024-03-30T00:00:00"/>
    <n v="30"/>
    <x v="4"/>
    <x v="3"/>
    <s v="Japan"/>
    <s v="Nagoya"/>
    <s v="Small Business"/>
    <x v="2"/>
    <x v="12"/>
    <s v="Networking"/>
    <s v="NET-7588"/>
    <n v="231.11"/>
    <n v="318.17"/>
    <n v="0.20100000000000001"/>
    <n v="60"/>
    <n v="0.37670373415256803"/>
    <x v="265"/>
    <n v="13866.6"/>
    <n v="1386.4697999999989"/>
    <n v="9.0897754889969692E-2"/>
    <s v="Medium"/>
    <n v="15253.069799999999"/>
    <n v="1386.4697999999989"/>
  </r>
  <r>
    <x v="266"/>
    <x v="194"/>
    <d v="2024-03-23T00:00:00"/>
    <n v="21"/>
    <x v="4"/>
    <x v="0"/>
    <s v="USA"/>
    <s v="Chicago"/>
    <s v="Small Business"/>
    <x v="1"/>
    <x v="7"/>
    <s v="Components"/>
    <s v="CMP-3223"/>
    <n v="225.01"/>
    <n v="333.48"/>
    <n v="0.11899999999999999"/>
    <n v="12"/>
    <n v="0.48206746366828157"/>
    <x v="266"/>
    <n v="2700.12"/>
    <n v="825.43056000000024"/>
    <n v="0.23412813004729685"/>
    <s v="Medium"/>
    <n v="3525.5505600000001"/>
    <n v="825.43056000000024"/>
  </r>
  <r>
    <x v="267"/>
    <x v="194"/>
    <d v="2024-03-16T00:00:00"/>
    <n v="14"/>
    <x v="4"/>
    <x v="0"/>
    <s v="Canada"/>
    <s v="Vancouver"/>
    <s v="Non-Profit"/>
    <x v="2"/>
    <x v="5"/>
    <s v="Printers"/>
    <s v="PRN-7976"/>
    <n v="248.24"/>
    <n v="464.05"/>
    <n v="0.16900000000000001"/>
    <n v="11"/>
    <n v="0.86936029648727031"/>
    <x v="267"/>
    <n v="2730.6400000000003"/>
    <n v="1511.2410499999996"/>
    <n v="0.3562667203975462"/>
    <s v="High"/>
    <n v="4241.88105"/>
    <n v="1511.2410499999996"/>
  </r>
  <r>
    <x v="268"/>
    <x v="195"/>
    <d v="2024-03-19T00:00:00"/>
    <n v="16"/>
    <x v="4"/>
    <x v="3"/>
    <s v="China"/>
    <s v="Beijing"/>
    <s v="Consumer"/>
    <x v="0"/>
    <x v="6"/>
    <s v="Phones"/>
    <s v="PHN-4915"/>
    <n v="988.83"/>
    <n v="1206.04"/>
    <n v="6.3E-2"/>
    <n v="34"/>
    <n v="0.21966364289109341"/>
    <x v="268"/>
    <n v="33620.22"/>
    <n v="4801.8023200000025"/>
    <n v="0.12497526236406606"/>
    <s v="Low"/>
    <n v="38422.022320000004"/>
    <n v="4801.8023200000025"/>
  </r>
  <r>
    <x v="269"/>
    <x v="196"/>
    <d v="2024-03-16T00:00:00"/>
    <n v="12"/>
    <x v="4"/>
    <x v="1"/>
    <s v="South Africa"/>
    <s v="Johannesburg"/>
    <s v="Enterprise"/>
    <x v="0"/>
    <x v="3"/>
    <s v="Monitors"/>
    <s v="MON-8422"/>
    <n v="441.08"/>
    <n v="1054.29"/>
    <n v="0.23699999999999999"/>
    <n v="6"/>
    <n v="1.3902466672712435"/>
    <x v="269"/>
    <n v="2646.48"/>
    <n v="2180.0596199999995"/>
    <n v="0.45168169985932899"/>
    <s v="High"/>
    <n v="4826.5396199999996"/>
    <n v="2180.0596199999995"/>
  </r>
  <r>
    <x v="270"/>
    <x v="197"/>
    <d v="2024-03-26T00:00:00"/>
    <n v="20"/>
    <x v="4"/>
    <x v="1"/>
    <s v="Nigeria"/>
    <s v="Port Harcourt"/>
    <s v="Consumer"/>
    <x v="4"/>
    <x v="12"/>
    <s v="Phones"/>
    <s v="PHN-4741"/>
    <n v="65.64"/>
    <n v="151.88"/>
    <n v="0.16700000000000001"/>
    <n v="23"/>
    <n v="1.3138330286410724"/>
    <x v="270"/>
    <n v="1509.72"/>
    <n v="1400.1489199999999"/>
    <n v="0.48117250587356353"/>
    <s v="High"/>
    <n v="2909.8689199999999"/>
    <n v="1400.1489199999999"/>
  </r>
  <r>
    <x v="271"/>
    <x v="198"/>
    <d v="2024-03-25T00:00:00"/>
    <n v="18"/>
    <x v="4"/>
    <x v="2"/>
    <s v="Germany"/>
    <s v="Munich"/>
    <s v="Corporate"/>
    <x v="1"/>
    <x v="0"/>
    <s v="Components"/>
    <s v="CMP-7617"/>
    <n v="712.84"/>
    <n v="927.51"/>
    <n v="0.24299999999999999"/>
    <n v="27"/>
    <n v="0.30114752258571342"/>
    <x v="271"/>
    <n v="19246.68"/>
    <n v="-289.30311000000074"/>
    <n v="-1.5260714163076427E-2"/>
    <s v="Medium"/>
    <n v="18957.37689"/>
    <n v="-289.30311000000074"/>
  </r>
  <r>
    <x v="272"/>
    <x v="198"/>
    <d v="2024-04-03T00:00:00"/>
    <n v="27"/>
    <x v="4"/>
    <x v="2"/>
    <s v="Germany"/>
    <s v="Frankfurt"/>
    <s v="Corporate"/>
    <x v="2"/>
    <x v="3"/>
    <s v="Printers"/>
    <s v="PRN-6911"/>
    <n v="738.16"/>
    <n v="956.49"/>
    <n v="0.152"/>
    <n v="5"/>
    <n v="0.29577598352660678"/>
    <x v="272"/>
    <n v="3690.7999999999997"/>
    <n v="364.71759999999995"/>
    <n v="8.9931208780847108E-2"/>
    <s v="Medium"/>
    <n v="4055.5175999999997"/>
    <n v="364.71759999999995"/>
  </r>
  <r>
    <x v="273"/>
    <x v="199"/>
    <d v="2024-03-26T00:00:00"/>
    <n v="17"/>
    <x v="4"/>
    <x v="3"/>
    <s v="China"/>
    <s v="Shenzhen"/>
    <s v="Enterprise"/>
    <x v="1"/>
    <x v="10"/>
    <s v="Monitors"/>
    <s v="MON-5749"/>
    <n v="1029.67"/>
    <n v="1118.43"/>
    <n v="0.27200000000000002"/>
    <n v="9"/>
    <n v="8.6202375518369942E-2"/>
    <x v="273"/>
    <n v="9267.0300000000007"/>
    <n v="-1939.0766400000002"/>
    <n v="-0.26461367106736061"/>
    <s v="Low"/>
    <n v="7327.9533600000004"/>
    <n v="-1939.0766400000002"/>
  </r>
  <r>
    <x v="274"/>
    <x v="199"/>
    <d v="2024-03-26T00:00:00"/>
    <n v="17"/>
    <x v="4"/>
    <x v="0"/>
    <s v="USA"/>
    <s v="San Francisco"/>
    <s v="Education"/>
    <x v="2"/>
    <x v="12"/>
    <s v="Phones"/>
    <s v="PHN-3398"/>
    <n v="1137.4100000000001"/>
    <n v="1680.93"/>
    <n v="0.254"/>
    <n v="9"/>
    <n v="0.47785758873229528"/>
    <x v="274"/>
    <n v="10236.69"/>
    <n v="1049.07402"/>
    <n v="9.2955516183121464E-2"/>
    <s v="Medium"/>
    <n v="11285.764020000001"/>
    <n v="1049.07402"/>
  </r>
  <r>
    <x v="275"/>
    <x v="199"/>
    <d v="2024-03-22T00:00:00"/>
    <n v="13"/>
    <x v="4"/>
    <x v="2"/>
    <s v="United Kingdom"/>
    <s v="Manchester"/>
    <s v="Consumer"/>
    <x v="1"/>
    <x v="14"/>
    <s v="Laptops"/>
    <s v="LAP-8633"/>
    <n v="985.45"/>
    <n v="1802.44"/>
    <n v="8.9999999999999993E-3"/>
    <n v="19"/>
    <n v="0.82905271703282757"/>
    <x v="275"/>
    <n v="18723.55"/>
    <n v="15214.592760000003"/>
    <n v="0.44830363486867486"/>
    <s v="High"/>
    <n v="33938.142760000002"/>
    <n v="15214.592760000003"/>
  </r>
  <r>
    <x v="276"/>
    <x v="200"/>
    <d v="2024-04-09T00:00:00"/>
    <n v="30"/>
    <x v="4"/>
    <x v="2"/>
    <s v="France"/>
    <s v="Lyon"/>
    <s v="Corporate"/>
    <x v="2"/>
    <x v="12"/>
    <s v="Components"/>
    <s v="CMP-8002"/>
    <n v="1176.56"/>
    <n v="1911.89"/>
    <n v="0.11899999999999999"/>
    <n v="20"/>
    <n v="0.62498300129190199"/>
    <x v="276"/>
    <n v="23531.199999999997"/>
    <n v="10156.301800000008"/>
    <n v="0.30148575160892477"/>
    <s v="Medium"/>
    <n v="33687.501800000005"/>
    <n v="10156.301800000008"/>
  </r>
  <r>
    <x v="277"/>
    <x v="201"/>
    <d v="2024-04-06T00:00:00"/>
    <n v="26"/>
    <x v="4"/>
    <x v="1"/>
    <s v="Kenya"/>
    <s v="Kisumu"/>
    <s v="Corporate"/>
    <x v="3"/>
    <x v="11"/>
    <s v="Components"/>
    <s v="CMP-8270"/>
    <n v="279.24"/>
    <n v="608.9"/>
    <n v="0.112"/>
    <n v="9"/>
    <n v="1.1805615241369429"/>
    <x v="277"/>
    <n v="2513.16"/>
    <n v="2353.1687999999995"/>
    <n v="0.48356140670149533"/>
    <s v="High"/>
    <n v="4866.3287999999993"/>
    <n v="2353.1687999999995"/>
  </r>
  <r>
    <x v="278"/>
    <x v="201"/>
    <d v="2024-03-29T00:00:00"/>
    <n v="18"/>
    <x v="4"/>
    <x v="0"/>
    <s v="USA"/>
    <s v="New York"/>
    <s v="Corporate"/>
    <x v="3"/>
    <x v="3"/>
    <s v="Monitors"/>
    <s v="MON-7099"/>
    <n v="710.98"/>
    <n v="1481.45"/>
    <n v="0.21099999999999999"/>
    <n v="9"/>
    <n v="1.0836732397535795"/>
    <x v="278"/>
    <n v="6398.82"/>
    <n v="4120.9564500000015"/>
    <n v="0.39173422264120461"/>
    <s v="High"/>
    <n v="10519.776450000001"/>
    <n v="4120.9564500000015"/>
  </r>
  <r>
    <x v="279"/>
    <x v="202"/>
    <d v="2024-04-06T00:00:00"/>
    <n v="24"/>
    <x v="4"/>
    <x v="1"/>
    <s v="Nigeria"/>
    <s v="Abuja"/>
    <s v="Consumer"/>
    <x v="0"/>
    <x v="9"/>
    <s v="Components"/>
    <s v="CMP-9001"/>
    <n v="1232.78"/>
    <n v="1731.75"/>
    <n v="9.2999999999999999E-2"/>
    <n v="16"/>
    <n v="0.40475186164603583"/>
    <x v="279"/>
    <n v="19724.48"/>
    <n v="5406.6759999999995"/>
    <n v="0.21513837246484005"/>
    <s v="Medium"/>
    <n v="25131.155999999999"/>
    <n v="5406.6759999999995"/>
  </r>
  <r>
    <x v="280"/>
    <x v="203"/>
    <d v="2024-04-09T00:00:00"/>
    <n v="25"/>
    <x v="4"/>
    <x v="0"/>
    <s v="Canada"/>
    <s v="Vancouver"/>
    <s v="Consumer"/>
    <x v="1"/>
    <x v="7"/>
    <s v="Monitors"/>
    <s v="MON-4361"/>
    <n v="648.64"/>
    <n v="815.19"/>
    <n v="0.22500000000000001"/>
    <n v="28"/>
    <n v="0.25676800690675888"/>
    <x v="280"/>
    <n v="18161.919999999998"/>
    <n v="-472.29699999999866"/>
    <n v="-2.6699099240272032E-2"/>
    <s v="Medium"/>
    <n v="17689.623"/>
    <n v="-472.29699999999866"/>
  </r>
  <r>
    <x v="281"/>
    <x v="204"/>
    <d v="2024-04-13T00:00:00"/>
    <n v="28"/>
    <x v="4"/>
    <x v="2"/>
    <s v="France"/>
    <s v="Paris"/>
    <s v="Small Business"/>
    <x v="1"/>
    <x v="10"/>
    <s v="Printers"/>
    <s v="PRN-8758"/>
    <n v="287.61"/>
    <n v="628.54"/>
    <n v="0.13500000000000001"/>
    <n v="21"/>
    <n v="1.1853899377629427"/>
    <x v="281"/>
    <n v="6039.81"/>
    <n v="5377.619099999999"/>
    <n v="0.47100087531964613"/>
    <s v="High"/>
    <n v="11417.429099999999"/>
    <n v="5377.619099999999"/>
  </r>
  <r>
    <x v="282"/>
    <x v="205"/>
    <d v="2024-03-21T00:00:00"/>
    <n v="3"/>
    <x v="4"/>
    <x v="2"/>
    <s v="Germany"/>
    <s v="Munich"/>
    <s v="Small Business"/>
    <x v="1"/>
    <x v="3"/>
    <s v="Accessories"/>
    <s v="ACC-2761"/>
    <n v="910.63"/>
    <n v="1269.4000000000001"/>
    <n v="6.8000000000000005E-2"/>
    <n v="9"/>
    <n v="0.39397999187375782"/>
    <x v="282"/>
    <n v="8195.67"/>
    <n v="2452.0571999999993"/>
    <n v="0.23028925834989455"/>
    <s v="Medium"/>
    <n v="10647.727199999999"/>
    <n v="2452.0571999999993"/>
  </r>
  <r>
    <x v="283"/>
    <x v="206"/>
    <d v="2024-03-26T00:00:00"/>
    <n v="3"/>
    <x v="4"/>
    <x v="3"/>
    <s v="India"/>
    <s v="Bengaluru"/>
    <s v="Education"/>
    <x v="2"/>
    <x v="6"/>
    <s v="Phones"/>
    <s v="PHN-4346"/>
    <n v="382.21"/>
    <n v="571.89"/>
    <n v="0.14799999999999999"/>
    <n v="26"/>
    <n v="0.49627168310614589"/>
    <x v="283"/>
    <n v="9937.4599999999991"/>
    <n v="2731.0472800000007"/>
    <n v="0.2155776698578809"/>
    <s v="Medium"/>
    <n v="12668.50728"/>
    <n v="2731.0472800000007"/>
  </r>
  <r>
    <x v="284"/>
    <x v="207"/>
    <d v="2024-04-05T00:00:00"/>
    <n v="10"/>
    <x v="4"/>
    <x v="0"/>
    <s v="USA"/>
    <s v="Austin"/>
    <s v="Consumer"/>
    <x v="2"/>
    <x v="13"/>
    <s v="Monitors"/>
    <s v="MON-5444"/>
    <n v="5.66"/>
    <n v="9.9616000000000007"/>
    <n v="0.11899999999999999"/>
    <n v="18"/>
    <n v="0.76000000000000012"/>
    <x v="284"/>
    <n v="101.88"/>
    <n v="56.091052800000028"/>
    <n v="0.35507171602517812"/>
    <s v="High"/>
    <n v="157.97105280000002"/>
    <n v="56.091052800000028"/>
  </r>
  <r>
    <x v="285"/>
    <x v="208"/>
    <d v="2024-04-11T00:00:00"/>
    <n v="15"/>
    <x v="4"/>
    <x v="0"/>
    <s v="USA"/>
    <s v="San Francisco"/>
    <s v="Small Business"/>
    <x v="2"/>
    <x v="5"/>
    <s v="Networking"/>
    <s v="NET-5523"/>
    <n v="1338.35"/>
    <n v="2247.14"/>
    <n v="0.115"/>
    <n v="40"/>
    <n v="0.67903762095117126"/>
    <x v="285"/>
    <n v="53534"/>
    <n v="26014.755999999994"/>
    <n v="0.32702907384246205"/>
    <s v="Medium"/>
    <n v="79548.755999999994"/>
    <n v="26014.755999999994"/>
  </r>
  <r>
    <x v="286"/>
    <x v="209"/>
    <d v="2024-04-24T00:00:00"/>
    <n v="25"/>
    <x v="4"/>
    <x v="0"/>
    <s v="USA"/>
    <s v="Austin"/>
    <s v="Non-Profit"/>
    <x v="1"/>
    <x v="6"/>
    <s v="Laptops"/>
    <s v="LAP-2846"/>
    <n v="160.82"/>
    <n v="258.52"/>
    <n v="0.13"/>
    <n v="17"/>
    <n v="0.60751150354433525"/>
    <x v="286"/>
    <n v="2733.94"/>
    <n v="1089.5708"/>
    <n v="0.28496605789631874"/>
    <s v="Medium"/>
    <n v="3823.5108"/>
    <n v="1089.5708"/>
  </r>
  <r>
    <x v="287"/>
    <x v="210"/>
    <d v="2024-04-17T00:00:00"/>
    <n v="17"/>
    <x v="4"/>
    <x v="2"/>
    <s v="Germany"/>
    <s v="Frankfurt"/>
    <s v="Education"/>
    <x v="2"/>
    <x v="4"/>
    <s v="Monitors"/>
    <s v="MON-8651"/>
    <n v="1025.51"/>
    <n v="1436.54"/>
    <n v="0.13900000000000001"/>
    <n v="28"/>
    <n v="0.40080545289660752"/>
    <x v="287"/>
    <n v="28714.28"/>
    <n v="5917.8263200000001"/>
    <n v="0.17087688127656453"/>
    <s v="Medium"/>
    <n v="34632.106319999999"/>
    <n v="5917.8263200000001"/>
  </r>
  <r>
    <x v="288"/>
    <x v="211"/>
    <d v="2024-04-07T00:00:00"/>
    <n v="4"/>
    <x v="5"/>
    <x v="0"/>
    <s v="Brazil"/>
    <s v="Brasília"/>
    <s v="Non-Profit"/>
    <x v="2"/>
    <x v="8"/>
    <s v="Phones"/>
    <s v="PHN-5445"/>
    <n v="1023.27"/>
    <n v="1343.64"/>
    <n v="0.13300000000000001"/>
    <n v="7"/>
    <n v="0.3130845231463838"/>
    <x v="288"/>
    <n v="7162.8899999999994"/>
    <n v="991.66116000000147"/>
    <n v="0.12160830688810116"/>
    <s v="Medium"/>
    <n v="8154.5511600000009"/>
    <n v="991.66116000000147"/>
  </r>
  <r>
    <x v="289"/>
    <x v="211"/>
    <d v="2024-04-21T00:00:00"/>
    <n v="18"/>
    <x v="5"/>
    <x v="0"/>
    <s v="Brazil"/>
    <s v="Brasília"/>
    <s v="Small Business"/>
    <x v="0"/>
    <x v="0"/>
    <s v="Networking"/>
    <s v="NET-3850"/>
    <n v="1176.69"/>
    <n v="2201.54"/>
    <n v="0.17"/>
    <n v="27"/>
    <n v="0.87096006594770059"/>
    <x v="289"/>
    <n v="31770.63"/>
    <n v="17565.881399999995"/>
    <n v="0.35604222717701106"/>
    <s v="High"/>
    <n v="49336.511399999996"/>
    <n v="17565.881399999995"/>
  </r>
  <r>
    <x v="290"/>
    <x v="212"/>
    <d v="2024-04-24T00:00:00"/>
    <n v="20"/>
    <x v="5"/>
    <x v="2"/>
    <s v="Germany"/>
    <s v="Frankfurt"/>
    <s v="Non-Profit"/>
    <x v="2"/>
    <x v="5"/>
    <s v="Accessories"/>
    <s v="ACC-6543"/>
    <n v="683.42"/>
    <n v="951.51"/>
    <n v="0"/>
    <n v="14"/>
    <n v="0.39227707705364206"/>
    <x v="290"/>
    <n v="9567.8799999999992"/>
    <n v="3753.26"/>
    <n v="0.28175216235247136"/>
    <s v="Medium"/>
    <n v="13321.14"/>
    <n v="3753.26"/>
  </r>
  <r>
    <x v="291"/>
    <x v="213"/>
    <d v="2024-04-09T00:00:00"/>
    <n v="4"/>
    <x v="5"/>
    <x v="1"/>
    <s v="Nigeria"/>
    <s v="Lagos"/>
    <s v="Non-Profit"/>
    <x v="2"/>
    <x v="10"/>
    <s v="Components"/>
    <s v="CMP-6529"/>
    <n v="395.07"/>
    <n v="970.27"/>
    <n v="0.123"/>
    <n v="38"/>
    <n v="1.4559445161616931"/>
    <x v="291"/>
    <n v="15012.66"/>
    <n v="17322.55802"/>
    <n v="0.53571799049833657"/>
    <s v="High"/>
    <n v="32335.21802"/>
    <n v="17322.55802"/>
  </r>
  <r>
    <x v="292"/>
    <x v="214"/>
    <d v="2024-04-25T00:00:00"/>
    <n v="19"/>
    <x v="5"/>
    <x v="3"/>
    <s v="China"/>
    <s v="Shanghai"/>
    <s v="Corporate"/>
    <x v="3"/>
    <x v="10"/>
    <s v="Components"/>
    <s v="CMP-8196"/>
    <n v="1366.48"/>
    <n v="1678.14"/>
    <n v="0.154"/>
    <n v="10"/>
    <n v="0.22807505415373813"/>
    <x v="292"/>
    <n v="13664.8"/>
    <n v="532.26440000000184"/>
    <n v="3.7491159087790132E-2"/>
    <s v="Low"/>
    <n v="14197.064400000001"/>
    <n v="532.26440000000184"/>
  </r>
  <r>
    <x v="293"/>
    <x v="215"/>
    <d v="2024-04-18T00:00:00"/>
    <n v="9"/>
    <x v="5"/>
    <x v="2"/>
    <s v="France"/>
    <s v="Lyon"/>
    <s v="Consumer"/>
    <x v="1"/>
    <x v="14"/>
    <s v="Printers"/>
    <s v="PRN-1086"/>
    <n v="1288.8499999999999"/>
    <n v="2751.84"/>
    <n v="0.158"/>
    <n v="7"/>
    <n v="1.1351126973658692"/>
    <x v="293"/>
    <n v="9021.9499999999989"/>
    <n v="7197.3949600000014"/>
    <n v="0.44375373837538756"/>
    <s v="High"/>
    <n v="16219.34496"/>
    <n v="7197.3949600000014"/>
  </r>
  <r>
    <x v="294"/>
    <x v="216"/>
    <d v="2024-05-07T00:00:00"/>
    <n v="25"/>
    <x v="5"/>
    <x v="1"/>
    <s v="South Africa"/>
    <s v="Johannesburg"/>
    <s v="Education"/>
    <x v="0"/>
    <x v="1"/>
    <s v="Laptops"/>
    <s v="LAP-8489"/>
    <n v="1376.51"/>
    <n v="1455.91"/>
    <n v="0.185"/>
    <n v="17"/>
    <n v="5.7682109102004414E-2"/>
    <x v="294"/>
    <n v="23400.67"/>
    <n v="-3229.0369499999979"/>
    <n v="-0.1600781127634085"/>
    <s v="Low"/>
    <n v="20171.63305"/>
    <n v="-3229.0369499999979"/>
  </r>
  <r>
    <x v="295"/>
    <x v="217"/>
    <d v="2024-04-27T00:00:00"/>
    <n v="11"/>
    <x v="5"/>
    <x v="1"/>
    <s v="Kenya"/>
    <s v="Nakuru"/>
    <s v="Enterprise"/>
    <x v="1"/>
    <x v="2"/>
    <s v="Printers"/>
    <s v="PRN-2641"/>
    <n v="401.3"/>
    <n v="826.47"/>
    <n v="0.22500000000000001"/>
    <n v="13"/>
    <n v="1.0594816845252928"/>
    <x v="295"/>
    <n v="5216.9000000000005"/>
    <n v="3109.7852499999999"/>
    <n v="0.37347217489696755"/>
    <s v="High"/>
    <n v="8326.6852500000005"/>
    <n v="3109.7852499999999"/>
  </r>
  <r>
    <x v="296"/>
    <x v="218"/>
    <d v="2024-05-08T00:00:00"/>
    <n v="20"/>
    <x v="5"/>
    <x v="2"/>
    <s v="United Kingdom"/>
    <s v="London"/>
    <s v="Non-Profit"/>
    <x v="2"/>
    <x v="2"/>
    <s v="Laptops"/>
    <s v="LAP-9932"/>
    <n v="645.33000000000004"/>
    <n v="1321.85"/>
    <n v="0"/>
    <n v="10"/>
    <n v="1.0483318612182912"/>
    <x v="296"/>
    <n v="6453.3"/>
    <n v="6765.2"/>
    <n v="0.51179785906116426"/>
    <s v="High"/>
    <n v="13218.5"/>
    <n v="6765.2"/>
  </r>
  <r>
    <x v="297"/>
    <x v="219"/>
    <d v="2024-05-06T00:00:00"/>
    <n v="17"/>
    <x v="5"/>
    <x v="1"/>
    <s v="Nigeria"/>
    <s v="Port Harcourt"/>
    <s v="Non-Profit"/>
    <x v="1"/>
    <x v="1"/>
    <s v="Printers"/>
    <s v="PRN-7303"/>
    <n v="865.33"/>
    <n v="1395.64"/>
    <n v="0.17499999999999999"/>
    <n v="13"/>
    <n v="0.61284134376480648"/>
    <x v="297"/>
    <n v="11249.29"/>
    <n v="3718.9489999999987"/>
    <n v="0.24845601409758347"/>
    <s v="Medium"/>
    <n v="14968.239"/>
    <n v="3718.9489999999987"/>
  </r>
  <r>
    <x v="298"/>
    <x v="220"/>
    <d v="2024-05-19T00:00:00"/>
    <n v="28"/>
    <x v="5"/>
    <x v="1"/>
    <s v="Nigeria"/>
    <s v="Lagos"/>
    <s v="Corporate"/>
    <x v="0"/>
    <x v="1"/>
    <s v="Accessories"/>
    <s v="ACC-2990"/>
    <n v="187.22"/>
    <n v="309.47000000000003"/>
    <n v="0"/>
    <n v="5"/>
    <n v="0.65297510949684878"/>
    <x v="298"/>
    <n v="936.1"/>
    <n v="611.25000000000011"/>
    <n v="0.39503021294471197"/>
    <s v="Medium"/>
    <n v="1547.3500000000001"/>
    <n v="611.25000000000011"/>
  </r>
  <r>
    <x v="299"/>
    <x v="221"/>
    <d v="2024-04-26T00:00:00"/>
    <n v="2"/>
    <x v="5"/>
    <x v="2"/>
    <s v="United Kingdom"/>
    <s v="London"/>
    <s v="Non-Profit"/>
    <x v="0"/>
    <x v="8"/>
    <s v="Phones"/>
    <s v="PHN-9107"/>
    <n v="1232.77"/>
    <n v="1898.4657999999999"/>
    <n v="0.16700000000000001"/>
    <n v="10"/>
    <n v="0.53999999999999992"/>
    <x v="299"/>
    <n v="12327.7"/>
    <n v="3486.520113999999"/>
    <n v="0.22046740774231766"/>
    <s v="Medium"/>
    <n v="15814.220114"/>
    <n v="3486.520113999999"/>
  </r>
  <r>
    <x v="300"/>
    <x v="221"/>
    <d v="2024-05-10T00:00:00"/>
    <n v="16"/>
    <x v="5"/>
    <x v="1"/>
    <s v="Kenya"/>
    <s v="Kisumu"/>
    <s v="Non-Profit"/>
    <x v="1"/>
    <x v="8"/>
    <s v="Monitors"/>
    <s v="MON-6190"/>
    <n v="513.30999999999995"/>
    <n v="1186.26"/>
    <n v="9.4E-2"/>
    <n v="15"/>
    <n v="1.3110011494028952"/>
    <x v="300"/>
    <n v="7699.65"/>
    <n v="8421.6234000000022"/>
    <n v="0.52239194702820446"/>
    <s v="High"/>
    <n v="16121.273400000002"/>
    <n v="8421.6234000000022"/>
  </r>
  <r>
    <x v="301"/>
    <x v="222"/>
    <d v="2024-05-19T00:00:00"/>
    <n v="20"/>
    <x v="5"/>
    <x v="2"/>
    <s v="Germany"/>
    <s v="Frankfurt"/>
    <s v="Enterprise"/>
    <x v="4"/>
    <x v="11"/>
    <s v="Laptops"/>
    <s v="LAP-5009"/>
    <n v="668.97"/>
    <n v="1667.44"/>
    <n v="3.4000000000000002E-2"/>
    <n v="15"/>
    <n v="1.492548245810724"/>
    <x v="301"/>
    <n v="10034.550000000001"/>
    <n v="14126.6556"/>
    <n v="0.58468339013679016"/>
    <s v="High"/>
    <n v="24161.205600000001"/>
    <n v="14126.6556"/>
  </r>
  <r>
    <x v="302"/>
    <x v="223"/>
    <d v="2024-05-26T00:00:00"/>
    <n v="25"/>
    <x v="5"/>
    <x v="2"/>
    <s v="Germany"/>
    <s v="Berlin"/>
    <s v="Non-Profit"/>
    <x v="3"/>
    <x v="0"/>
    <s v="Networking"/>
    <s v="NET-4228"/>
    <n v="930.71"/>
    <n v="1625.42"/>
    <n v="0.13800000000000001"/>
    <n v="7"/>
    <n v="0.74643014472821823"/>
    <x v="302"/>
    <n v="6514.97"/>
    <n v="3292.8142799999996"/>
    <n v="0.33573477821231196"/>
    <s v="Medium"/>
    <n v="9807.7842799999999"/>
    <n v="3292.8142799999996"/>
  </r>
  <r>
    <x v="303"/>
    <x v="223"/>
    <d v="2024-05-16T00:00:00"/>
    <n v="15"/>
    <x v="5"/>
    <x v="3"/>
    <s v="India"/>
    <s v="Bengaluru"/>
    <s v="Small Business"/>
    <x v="3"/>
    <x v="9"/>
    <s v="Components"/>
    <s v="CMP-6811"/>
    <n v="901.19"/>
    <n v="2125.44"/>
    <n v="7.0999999999999994E-2"/>
    <n v="12"/>
    <n v="1.3584815632663478"/>
    <x v="303"/>
    <n v="10814.28"/>
    <n v="12880.125119999999"/>
    <n v="0.54359352154100415"/>
    <s v="High"/>
    <n v="23694.405119999999"/>
    <n v="12880.125119999999"/>
  </r>
  <r>
    <x v="304"/>
    <x v="224"/>
    <d v="2024-05-29T00:00:00"/>
    <n v="25"/>
    <x v="5"/>
    <x v="1"/>
    <s v="Nigeria"/>
    <s v="Abuja"/>
    <s v="Non-Profit"/>
    <x v="4"/>
    <x v="5"/>
    <s v="Monitors"/>
    <s v="MON-6892"/>
    <n v="1295.3399999999999"/>
    <n v="2530.81"/>
    <n v="3.1E-2"/>
    <n v="6"/>
    <n v="0.95378047462442306"/>
    <x v="304"/>
    <n v="7772.0399999999991"/>
    <n v="6942.0893400000004"/>
    <n v="0.4717974933880798"/>
    <s v="High"/>
    <n v="14714.12934"/>
    <n v="6942.0893400000004"/>
  </r>
  <r>
    <x v="305"/>
    <x v="225"/>
    <d v="2024-05-18T00:00:00"/>
    <n v="13"/>
    <x v="5"/>
    <x v="2"/>
    <s v="France"/>
    <s v="Marseille"/>
    <s v="Corporate"/>
    <x v="4"/>
    <x v="1"/>
    <s v="Components"/>
    <s v="CMP-3313"/>
    <n v="1264.04"/>
    <n v="1870.89"/>
    <n v="0"/>
    <n v="13"/>
    <n v="0.48008765545394144"/>
    <x v="305"/>
    <n v="16432.52"/>
    <n v="7889.0499999999993"/>
    <n v="0.32436433996653996"/>
    <s v="Medium"/>
    <n v="24321.57"/>
    <n v="7889.0499999999993"/>
  </r>
  <r>
    <x v="306"/>
    <x v="226"/>
    <d v="2024-05-12T00:00:00"/>
    <n v="5"/>
    <x v="5"/>
    <x v="1"/>
    <s v="Nigeria"/>
    <s v="Abuja"/>
    <s v="Non-Profit"/>
    <x v="0"/>
    <x v="9"/>
    <s v="Laptops"/>
    <s v="LAP-9100"/>
    <n v="1163.99"/>
    <n v="1617.85"/>
    <n v="0.127"/>
    <n v="14"/>
    <n v="0.38991743915325722"/>
    <x v="306"/>
    <n v="16295.86"/>
    <n v="3477.5026999999973"/>
    <n v="0.17586804797749436"/>
    <s v="Medium"/>
    <n v="19773.362699999998"/>
    <n v="3477.5026999999973"/>
  </r>
  <r>
    <x v="307"/>
    <x v="227"/>
    <d v="2024-05-16T00:00:00"/>
    <n v="6"/>
    <x v="5"/>
    <x v="2"/>
    <s v="United Kingdom"/>
    <s v="Birmingham"/>
    <s v="Non-Profit"/>
    <x v="2"/>
    <x v="6"/>
    <s v="Laptops"/>
    <s v="LAP-1066"/>
    <n v="210.76"/>
    <n v="221.58"/>
    <n v="8.8999999999999996E-2"/>
    <n v="5"/>
    <n v="5.1338014803568144E-2"/>
    <x v="307"/>
    <n v="1053.8"/>
    <n v="-44.50309999999979"/>
    <n v="-4.4093170205912434E-2"/>
    <s v="Low"/>
    <n v="1009.2969000000002"/>
    <n v="-44.50309999999979"/>
  </r>
  <r>
    <x v="308"/>
    <x v="228"/>
    <d v="2024-05-24T00:00:00"/>
    <n v="12"/>
    <x v="5"/>
    <x v="2"/>
    <s v="United Kingdom"/>
    <s v="Manchester"/>
    <s v="Education"/>
    <x v="4"/>
    <x v="10"/>
    <s v="Printers"/>
    <s v="PRN-5813"/>
    <n v="111.02"/>
    <n v="172.88"/>
    <n v="0.19700000000000001"/>
    <n v="29"/>
    <n v="0.55719690145919654"/>
    <x v="308"/>
    <n v="3219.58"/>
    <n v="806.27655999999934"/>
    <n v="0.20027453735212053"/>
    <s v="Medium"/>
    <n v="4025.8565599999993"/>
    <n v="806.27655999999934"/>
  </r>
  <r>
    <x v="309"/>
    <x v="229"/>
    <d v="2024-05-28T00:00:00"/>
    <n v="14"/>
    <x v="5"/>
    <x v="2"/>
    <s v="United Kingdom"/>
    <s v="Birmingham"/>
    <s v="Consumer"/>
    <x v="3"/>
    <x v="0"/>
    <s v="Networking"/>
    <s v="NET-2365"/>
    <n v="1421.14"/>
    <n v="3524"/>
    <n v="0"/>
    <n v="31"/>
    <n v="1.4796993962593408"/>
    <x v="309"/>
    <n v="44055.340000000004"/>
    <n v="65188.659999999996"/>
    <n v="0.59672531214528945"/>
    <s v="High"/>
    <n v="109244"/>
    <n v="65188.659999999996"/>
  </r>
  <r>
    <x v="310"/>
    <x v="230"/>
    <d v="2024-05-27T00:00:00"/>
    <n v="10"/>
    <x v="5"/>
    <x v="0"/>
    <s v="USA"/>
    <s v="Austin"/>
    <s v="Non-Profit"/>
    <x v="1"/>
    <x v="11"/>
    <s v="Phones"/>
    <s v="PHN-7974"/>
    <n v="1484.23"/>
    <n v="3472.81"/>
    <n v="0.25600000000000001"/>
    <n v="12"/>
    <n v="1.3398058252427183"/>
    <x v="310"/>
    <n v="17810.760000000002"/>
    <n v="13194.487679999998"/>
    <n v="0.42555659661803413"/>
    <s v="High"/>
    <n v="31005.24768"/>
    <n v="13194.487679999998"/>
  </r>
  <r>
    <x v="311"/>
    <x v="231"/>
    <d v="2024-05-21T00:00:00"/>
    <n v="3"/>
    <x v="5"/>
    <x v="2"/>
    <s v="France"/>
    <s v="Marseille"/>
    <s v="Non-Profit"/>
    <x v="4"/>
    <x v="2"/>
    <s v="Printers"/>
    <s v="PRN-1725"/>
    <n v="663.66"/>
    <n v="824.26"/>
    <n v="0.23899999999999999"/>
    <n v="11"/>
    <n v="0.24199138112889135"/>
    <x v="311"/>
    <n v="7300.2599999999993"/>
    <n v="-400.379539999999"/>
    <n v="-5.8027025587048933E-2"/>
    <s v="Low"/>
    <n v="6899.8804600000003"/>
    <n v="-400.379539999999"/>
  </r>
  <r>
    <x v="312"/>
    <x v="231"/>
    <d v="2024-05-22T00:00:00"/>
    <n v="4"/>
    <x v="5"/>
    <x v="1"/>
    <s v="Kenya"/>
    <s v="Nairobi"/>
    <s v="Corporate"/>
    <x v="2"/>
    <x v="4"/>
    <s v="Accessories"/>
    <s v="ACC-7354"/>
    <n v="857.42"/>
    <n v="1658.92"/>
    <n v="0.122"/>
    <n v="9"/>
    <n v="0.93478108744839183"/>
    <x v="312"/>
    <n v="7716.78"/>
    <n v="5392.0058400000007"/>
    <n v="0.41132763215544305"/>
    <s v="High"/>
    <n v="13108.78584"/>
    <n v="5392.0058400000007"/>
  </r>
  <r>
    <x v="313"/>
    <x v="231"/>
    <d v="2024-05-23T00:00:00"/>
    <n v="5"/>
    <x v="5"/>
    <x v="0"/>
    <s v="USA"/>
    <s v="Chicago"/>
    <s v="Enterprise"/>
    <x v="3"/>
    <x v="4"/>
    <s v="Laptops"/>
    <s v="LAP-4987"/>
    <n v="1274.5899999999999"/>
    <n v="2553.69"/>
    <n v="0.01"/>
    <n v="8"/>
    <n v="1.003538392738057"/>
    <x v="313"/>
    <n v="10196.719999999999"/>
    <n v="10028.504800000001"/>
    <n v="0.49584145042481803"/>
    <s v="High"/>
    <n v="20225.2248"/>
    <n v="10028.504800000001"/>
  </r>
  <r>
    <x v="314"/>
    <x v="232"/>
    <d v="2024-06-08T00:00:00"/>
    <n v="20"/>
    <x v="5"/>
    <x v="0"/>
    <s v="Brazil"/>
    <s v="Brasília"/>
    <s v="Small Business"/>
    <x v="3"/>
    <x v="14"/>
    <s v="Monitors"/>
    <s v="MON-4271"/>
    <n v="1075.9000000000001"/>
    <n v="1242.1500000000001"/>
    <n v="1.2E-2"/>
    <n v="7"/>
    <n v="0.15452179570592062"/>
    <x v="314"/>
    <n v="7531.3000000000011"/>
    <n v="1059.4094000000005"/>
    <n v="0.12332036280961853"/>
    <s v="Low"/>
    <n v="8590.7094000000016"/>
    <n v="1059.4094000000005"/>
  </r>
  <r>
    <x v="315"/>
    <x v="233"/>
    <d v="2024-06-02T00:00:00"/>
    <n v="13"/>
    <x v="5"/>
    <x v="0"/>
    <s v="Canada"/>
    <s v="Vancouver"/>
    <s v="Enterprise"/>
    <x v="4"/>
    <x v="10"/>
    <s v="Components"/>
    <s v="CMP-5946"/>
    <n v="675.43"/>
    <n v="996.36"/>
    <n v="0.182"/>
    <n v="22"/>
    <n v="0.47514916423611636"/>
    <x v="315"/>
    <n v="14859.46"/>
    <n v="3071.0345600000037"/>
    <n v="0.17127439233332575"/>
    <s v="Medium"/>
    <n v="17930.494560000003"/>
    <n v="3071.0345600000037"/>
  </r>
  <r>
    <x v="316"/>
    <x v="234"/>
    <d v="2024-05-27T00:00:00"/>
    <n v="6"/>
    <x v="5"/>
    <x v="1"/>
    <s v="South Africa"/>
    <s v="Johannesburg"/>
    <s v="Non-Profit"/>
    <x v="1"/>
    <x v="3"/>
    <s v="Components"/>
    <s v="CMP-8101"/>
    <n v="1157.51"/>
    <n v="1394.3"/>
    <n v="0.27800000000000002"/>
    <n v="12"/>
    <n v="0.20456842705462586"/>
    <x v="316"/>
    <n v="13890.119999999999"/>
    <n v="-1809.9048000000003"/>
    <n v="-0.14982388724333326"/>
    <s v="Low"/>
    <n v="12080.215199999999"/>
    <n v="-1809.9048000000003"/>
  </r>
  <r>
    <x v="317"/>
    <x v="235"/>
    <d v="2024-06-06T00:00:00"/>
    <n v="15"/>
    <x v="5"/>
    <x v="3"/>
    <s v="Japan"/>
    <s v="Nagoya"/>
    <s v="Corporate"/>
    <x v="0"/>
    <x v="11"/>
    <s v="Monitors"/>
    <s v="MON-6870"/>
    <n v="673.88"/>
    <n v="1228.01"/>
    <n v="0.105"/>
    <n v="13"/>
    <n v="0.82229773846975718"/>
    <x v="317"/>
    <n v="8760.44"/>
    <n v="5527.4563499999986"/>
    <n v="0.38686285332689996"/>
    <s v="High"/>
    <n v="14287.896349999999"/>
    <n v="5527.4563499999986"/>
  </r>
  <r>
    <x v="318"/>
    <x v="236"/>
    <d v="2024-06-14T00:00:00"/>
    <n v="22"/>
    <x v="5"/>
    <x v="2"/>
    <s v="France"/>
    <s v="Marseille"/>
    <s v="Small Business"/>
    <x v="1"/>
    <x v="8"/>
    <s v="Monitors"/>
    <s v="MON-2100"/>
    <n v="1481.74"/>
    <n v="1848.97"/>
    <n v="0.254"/>
    <n v="9"/>
    <n v="0.24783700244307369"/>
    <x v="318"/>
    <n v="13335.66"/>
    <n v="-921.67541999999958"/>
    <n v="-7.4244930309072407E-2"/>
    <s v="Low"/>
    <n v="12413.98458"/>
    <n v="-921.67541999999958"/>
  </r>
  <r>
    <x v="319"/>
    <x v="236"/>
    <d v="2024-06-06T00:00:00"/>
    <n v="14"/>
    <x v="5"/>
    <x v="0"/>
    <s v="Brazil"/>
    <s v="Rio de Janeiro"/>
    <s v="Non-Profit"/>
    <x v="1"/>
    <x v="12"/>
    <s v="Networking"/>
    <s v="NET-1166"/>
    <n v="51.13"/>
    <n v="57.53"/>
    <n v="4.4999999999999998E-2"/>
    <n v="16"/>
    <n v="0.12517113240758845"/>
    <x v="319"/>
    <n v="818.08"/>
    <n v="60.978399999999965"/>
    <n v="6.9367859973808302E-2"/>
    <s v="Low"/>
    <n v="879.05840000000001"/>
    <n v="60.978399999999965"/>
  </r>
  <r>
    <x v="320"/>
    <x v="236"/>
    <d v="2024-06-03T00:00:00"/>
    <n v="11"/>
    <x v="5"/>
    <x v="1"/>
    <s v="South Africa"/>
    <s v="Johannesburg"/>
    <s v="Small Business"/>
    <x v="0"/>
    <x v="7"/>
    <s v="Printers"/>
    <s v="PRN-3785"/>
    <n v="180.89"/>
    <n v="249.57"/>
    <n v="2.1999999999999999E-2"/>
    <n v="8"/>
    <n v="0.37967825750456086"/>
    <x v="320"/>
    <n v="1447.12"/>
    <n v="505.51567999999997"/>
    <n v="0.25888888806948362"/>
    <s v="Medium"/>
    <n v="1952.6356799999999"/>
    <n v="505.51567999999997"/>
  </r>
  <r>
    <x v="321"/>
    <x v="237"/>
    <d v="2024-05-28T00:00:00"/>
    <n v="2"/>
    <x v="5"/>
    <x v="1"/>
    <s v="Nigeria"/>
    <s v="Abuja"/>
    <s v="Enterprise"/>
    <x v="1"/>
    <x v="7"/>
    <s v="Accessories"/>
    <s v="ACC-5177"/>
    <n v="1227.08"/>
    <n v="1896.62"/>
    <n v="0"/>
    <n v="18"/>
    <n v="0.54563679629689998"/>
    <x v="321"/>
    <n v="22087.439999999999"/>
    <n v="12051.719999999998"/>
    <n v="0.353017473189147"/>
    <s v="Medium"/>
    <n v="34139.159999999996"/>
    <n v="12051.719999999998"/>
  </r>
  <r>
    <x v="322"/>
    <x v="238"/>
    <d v="2024-06-17T00:00:00"/>
    <n v="21"/>
    <x v="5"/>
    <x v="3"/>
    <s v="India"/>
    <s v="Delhi"/>
    <s v="Small Business"/>
    <x v="1"/>
    <x v="4"/>
    <s v="Accessories"/>
    <s v="ACC-7240"/>
    <n v="465.02"/>
    <n v="651.55999999999995"/>
    <n v="4.2000000000000003E-2"/>
    <n v="19"/>
    <n v="0.40114403681562077"/>
    <x v="322"/>
    <n v="8835.3799999999992"/>
    <n v="3024.3151199999993"/>
    <n v="0.25500783025187918"/>
    <s v="Medium"/>
    <n v="11859.695119999998"/>
    <n v="3024.3151199999993"/>
  </r>
  <r>
    <x v="323"/>
    <x v="239"/>
    <d v="2024-06-18T00:00:00"/>
    <n v="21"/>
    <x v="5"/>
    <x v="2"/>
    <s v="Germany"/>
    <s v="Frankfurt"/>
    <s v="Small Business"/>
    <x v="1"/>
    <x v="14"/>
    <s v="Phones"/>
    <s v="PHN-9399"/>
    <n v="986.85"/>
    <n v="2422.1"/>
    <n v="7.5999999999999998E-2"/>
    <n v="10"/>
    <n v="1.4543750316664132"/>
    <x v="323"/>
    <n v="9868.5"/>
    <n v="12511.704000000002"/>
    <n v="0.55905227673527913"/>
    <s v="High"/>
    <n v="22380.204000000002"/>
    <n v="12511.704000000002"/>
  </r>
  <r>
    <x v="324"/>
    <x v="240"/>
    <d v="2024-06-13T00:00:00"/>
    <n v="14"/>
    <x v="5"/>
    <x v="0"/>
    <s v="USA"/>
    <s v="San Francisco"/>
    <s v="Small Business"/>
    <x v="3"/>
    <x v="7"/>
    <s v="Phones"/>
    <s v="PHN-4356"/>
    <n v="157.78"/>
    <n v="361.1"/>
    <n v="0.187"/>
    <n v="9"/>
    <n v="1.2886297376093296"/>
    <x v="324"/>
    <n v="1420.02"/>
    <n v="1222.1486999999997"/>
    <n v="0.46255513510549112"/>
    <s v="High"/>
    <n v="2642.1686999999997"/>
    <n v="1222.1486999999997"/>
  </r>
  <r>
    <x v="325"/>
    <x v="241"/>
    <d v="2024-06-08T00:00:00"/>
    <n v="6"/>
    <x v="5"/>
    <x v="1"/>
    <s v="Kenya"/>
    <s v="Kisumu"/>
    <s v="Consumer"/>
    <x v="4"/>
    <x v="1"/>
    <s v="Accessories"/>
    <s v="ACC-9820"/>
    <n v="292.94"/>
    <n v="356.55"/>
    <n v="0.22900000000000001"/>
    <n v="2"/>
    <n v="0.21714344234314198"/>
    <x v="325"/>
    <n v="585.88"/>
    <n v="-36.079899999999952"/>
    <n v="-6.5623669402751925E-2"/>
    <s v="Low"/>
    <n v="549.80010000000004"/>
    <n v="-36.079899999999952"/>
  </r>
  <r>
    <x v="326"/>
    <x v="241"/>
    <d v="2024-06-15T00:00:00"/>
    <n v="13"/>
    <x v="5"/>
    <x v="1"/>
    <s v="Kenya"/>
    <s v="Mombasa"/>
    <s v="Education"/>
    <x v="1"/>
    <x v="5"/>
    <s v="Phones"/>
    <s v="PHN-6866"/>
    <n v="1295.18"/>
    <n v="3024.03"/>
    <n v="0.192"/>
    <n v="8"/>
    <n v="1.3348337682793125"/>
    <x v="326"/>
    <n v="10361.44"/>
    <n v="9185.8899200000033"/>
    <n v="0.46993067378483178"/>
    <s v="High"/>
    <n v="19547.329920000004"/>
    <n v="9185.8899200000033"/>
  </r>
  <r>
    <x v="327"/>
    <x v="242"/>
    <d v="2024-06-24T00:00:00"/>
    <n v="21"/>
    <x v="5"/>
    <x v="0"/>
    <s v="Canada"/>
    <s v="Toronto"/>
    <s v="Small Business"/>
    <x v="2"/>
    <x v="6"/>
    <s v="Monitors"/>
    <s v="MON-5386"/>
    <n v="1205.5"/>
    <n v="2210.17"/>
    <n v="0.104"/>
    <n v="23"/>
    <n v="0.8334052260472834"/>
    <x v="327"/>
    <n v="27726.5"/>
    <n v="17820.683360000003"/>
    <n v="0.39125763758314652"/>
    <s v="High"/>
    <n v="45547.183360000003"/>
    <n v="17820.683360000003"/>
  </r>
  <r>
    <x v="328"/>
    <x v="243"/>
    <d v="2024-06-16T00:00:00"/>
    <n v="12"/>
    <x v="5"/>
    <x v="3"/>
    <s v="China"/>
    <s v="Shanghai"/>
    <s v="Corporate"/>
    <x v="3"/>
    <x v="13"/>
    <s v="Printers"/>
    <s v="PRN-4097"/>
    <n v="918.42"/>
    <n v="1511.71"/>
    <n v="0.02"/>
    <n v="8"/>
    <n v="0.64598985213736648"/>
    <x v="328"/>
    <n v="7347.36"/>
    <n v="4504.4463999999998"/>
    <n v="0.38006412254590999"/>
    <s v="Medium"/>
    <n v="11851.806399999999"/>
    <n v="4504.4463999999998"/>
  </r>
  <r>
    <x v="329"/>
    <x v="244"/>
    <d v="2024-06-23T00:00:00"/>
    <n v="18"/>
    <x v="5"/>
    <x v="1"/>
    <s v="Kenya"/>
    <s v="Nairobi"/>
    <s v="Consumer"/>
    <x v="0"/>
    <x v="2"/>
    <s v="Laptops"/>
    <s v="LAP-1739"/>
    <n v="1208.74"/>
    <n v="1594.78"/>
    <n v="5.8999999999999997E-2"/>
    <n v="39"/>
    <n v="0.31937389347585088"/>
    <x v="329"/>
    <n v="47140.86"/>
    <n v="11385.971219999999"/>
    <n v="0.1945427589817838"/>
    <s v="Medium"/>
    <n v="58526.83122"/>
    <n v="11385.971219999999"/>
  </r>
  <r>
    <x v="330"/>
    <x v="245"/>
    <d v="2024-06-24T00:00:00"/>
    <n v="18"/>
    <x v="5"/>
    <x v="3"/>
    <s v="India"/>
    <s v="Bengaluru"/>
    <s v="Small Business"/>
    <x v="2"/>
    <x v="4"/>
    <s v="Networking"/>
    <s v="NET-6578"/>
    <n v="1253.25"/>
    <n v="3087.13"/>
    <n v="7.1999999999999995E-2"/>
    <n v="11"/>
    <n v="1.4632994215040895"/>
    <x v="330"/>
    <n v="13785.75"/>
    <n v="17727.673040000001"/>
    <n v="0.562543555408064"/>
    <s v="High"/>
    <n v="31513.423040000001"/>
    <n v="17727.673040000001"/>
  </r>
  <r>
    <x v="331"/>
    <x v="246"/>
    <d v="2024-06-09T00:00:00"/>
    <n v="2"/>
    <x v="5"/>
    <x v="3"/>
    <s v="China"/>
    <s v="Shanghai"/>
    <s v="Corporate"/>
    <x v="3"/>
    <x v="5"/>
    <s v="Monitors"/>
    <s v="MON-8688"/>
    <n v="1370.28"/>
    <n v="2209.66"/>
    <n v="0.13300000000000001"/>
    <n v="16"/>
    <n v="0.61256093645094423"/>
    <x v="331"/>
    <n v="21924.48"/>
    <n v="8727.9235199999966"/>
    <n v="0.28473863442079589"/>
    <s v="Medium"/>
    <n v="30652.403519999996"/>
    <n v="8727.9235199999966"/>
  </r>
  <r>
    <x v="332"/>
    <x v="246"/>
    <d v="2024-06-26T00:00:00"/>
    <n v="19"/>
    <x v="5"/>
    <x v="2"/>
    <s v="Germany"/>
    <s v="Berlin"/>
    <s v="Non-Profit"/>
    <x v="4"/>
    <x v="3"/>
    <s v="Components"/>
    <s v="CMP-2040"/>
    <n v="1064.32"/>
    <n v="1848.39"/>
    <n v="7.2999999999999995E-2"/>
    <n v="38"/>
    <n v="0.73668633493686131"/>
    <x v="332"/>
    <n v="40444.159999999996"/>
    <n v="24667.226140000013"/>
    <n v="0.3788465827921631"/>
    <s v="Medium"/>
    <n v="65111.38614000001"/>
    <n v="24667.226140000013"/>
  </r>
  <r>
    <x v="333"/>
    <x v="247"/>
    <d v="2024-06-24T00:00:00"/>
    <n v="16"/>
    <x v="5"/>
    <x v="1"/>
    <s v="South Africa"/>
    <s v="Durban"/>
    <s v="Education"/>
    <x v="0"/>
    <x v="4"/>
    <s v="Monitors"/>
    <s v="MON-1389"/>
    <n v="597.85"/>
    <n v="741.92"/>
    <n v="3.1E-2"/>
    <n v="7"/>
    <n v="0.24098017897465909"/>
    <x v="333"/>
    <n v="4184.95"/>
    <n v="847.49335999999948"/>
    <n v="0.16840594108544515"/>
    <s v="Low"/>
    <n v="5032.4433599999993"/>
    <n v="847.49335999999948"/>
  </r>
  <r>
    <x v="334"/>
    <x v="248"/>
    <d v="2024-07-07T00:00:00"/>
    <n v="28"/>
    <x v="5"/>
    <x v="3"/>
    <s v="China"/>
    <s v="Shenzhen"/>
    <s v="Corporate"/>
    <x v="1"/>
    <x v="13"/>
    <s v="Components"/>
    <s v="CMP-6392"/>
    <n v="550.22"/>
    <n v="1025.05"/>
    <n v="0"/>
    <n v="27"/>
    <n v="0.86298207989531439"/>
    <x v="334"/>
    <n v="14855.94"/>
    <n v="12820.409999999998"/>
    <n v="0.46322618408858102"/>
    <s v="High"/>
    <n v="27676.35"/>
    <n v="12820.409999999998"/>
  </r>
  <r>
    <x v="335"/>
    <x v="249"/>
    <d v="2024-06-11T00:00:00"/>
    <n v="1"/>
    <x v="5"/>
    <x v="2"/>
    <s v="United Kingdom"/>
    <s v="Birmingham"/>
    <s v="Small Business"/>
    <x v="4"/>
    <x v="3"/>
    <s v="Laptops"/>
    <s v="LAP-9230"/>
    <n v="1187.1300000000001"/>
    <n v="1795.17"/>
    <n v="1.2E-2"/>
    <n v="17"/>
    <n v="0.51219327285133043"/>
    <x v="335"/>
    <n v="20181.210000000003"/>
    <n v="9970.4653199999957"/>
    <n v="0.33067699271046663"/>
    <s v="Medium"/>
    <n v="30151.675319999998"/>
    <n v="9970.4653199999957"/>
  </r>
  <r>
    <x v="336"/>
    <x v="250"/>
    <d v="2024-07-09T00:00:00"/>
    <n v="28"/>
    <x v="5"/>
    <x v="1"/>
    <s v="Nigeria"/>
    <s v="Port Harcourt"/>
    <s v="Corporate"/>
    <x v="4"/>
    <x v="12"/>
    <s v="Phones"/>
    <s v="PHN-2436"/>
    <n v="895.54"/>
    <n v="1045"/>
    <n v="0.216"/>
    <n v="15"/>
    <n v="0.16689371775688416"/>
    <x v="336"/>
    <n v="13433.099999999999"/>
    <n v="-1143.8999999999978"/>
    <n v="-9.3081730299775234E-2"/>
    <s v="Low"/>
    <n v="12289.2"/>
    <n v="-1143.8999999999978"/>
  </r>
  <r>
    <x v="337"/>
    <x v="251"/>
    <d v="2024-07-06T00:00:00"/>
    <n v="21"/>
    <x v="5"/>
    <x v="0"/>
    <s v="Canada"/>
    <s v="Toronto"/>
    <s v="Enterprise"/>
    <x v="0"/>
    <x v="9"/>
    <s v="Printers"/>
    <s v="PRN-4453"/>
    <n v="817.23"/>
    <n v="1467.17"/>
    <n v="0.245"/>
    <n v="9"/>
    <n v="0.79529630581354094"/>
    <x v="337"/>
    <n v="7355.07"/>
    <n v="2614.3501500000002"/>
    <n v="0.26223693160328893"/>
    <s v="High"/>
    <n v="9969.4201499999999"/>
    <n v="2614.3501500000002"/>
  </r>
  <r>
    <x v="338"/>
    <x v="252"/>
    <d v="2024-07-03T00:00:00"/>
    <n v="17"/>
    <x v="5"/>
    <x v="1"/>
    <s v="South Africa"/>
    <s v="Johannesburg"/>
    <s v="Enterprise"/>
    <x v="4"/>
    <x v="7"/>
    <s v="Phones"/>
    <s v="PHN-6832"/>
    <n v="1173.83"/>
    <n v="2328.9"/>
    <n v="0.12"/>
    <n v="17"/>
    <n v="0.98401812868984451"/>
    <x v="338"/>
    <n v="19955.11"/>
    <n v="14885.234000000004"/>
    <n v="0.42724130393201637"/>
    <s v="High"/>
    <n v="34840.344000000005"/>
    <n v="14885.234000000004"/>
  </r>
  <r>
    <x v="339"/>
    <x v="252"/>
    <d v="2024-06-21T00:00:00"/>
    <n v="5"/>
    <x v="5"/>
    <x v="3"/>
    <s v="Japan"/>
    <s v="Tokyo"/>
    <s v="Small Business"/>
    <x v="0"/>
    <x v="7"/>
    <s v="Phones"/>
    <s v="PHN-9677"/>
    <n v="1367.13"/>
    <n v="3062.01"/>
    <n v="0.10299999999999999"/>
    <n v="25"/>
    <n v="1.239735796888372"/>
    <x v="339"/>
    <n v="34178.25"/>
    <n v="34487.324250000005"/>
    <n v="0.50225057645971705"/>
    <s v="High"/>
    <n v="68665.574250000005"/>
    <n v="34487.324250000005"/>
  </r>
  <r>
    <x v="340"/>
    <x v="253"/>
    <d v="2024-06-20T00:00:00"/>
    <n v="1"/>
    <x v="5"/>
    <x v="1"/>
    <s v="Kenya"/>
    <s v="Kisumu"/>
    <s v="Small Business"/>
    <x v="2"/>
    <x v="13"/>
    <s v="Laptops"/>
    <s v="LAP-4607"/>
    <n v="231.63"/>
    <n v="537.39"/>
    <n v="0.08"/>
    <n v="12"/>
    <n v="1.3200362647325476"/>
    <x v="340"/>
    <n v="2779.56"/>
    <n v="3153.2256000000002"/>
    <n v="0.53149158129024587"/>
    <s v="High"/>
    <n v="5932.7856000000002"/>
    <n v="3153.2256000000002"/>
  </r>
  <r>
    <x v="341"/>
    <x v="254"/>
    <d v="2024-06-28T00:00:00"/>
    <n v="5"/>
    <x v="5"/>
    <x v="1"/>
    <s v="Nigeria"/>
    <s v="Port Harcourt"/>
    <s v="Non-Profit"/>
    <x v="2"/>
    <x v="3"/>
    <s v="Accessories"/>
    <s v="ACC-7671"/>
    <n v="242.31"/>
    <n v="587.95000000000005"/>
    <n v="0.22900000000000001"/>
    <n v="6"/>
    <n v="1.426437208534522"/>
    <x v="341"/>
    <n v="1453.8600000000001"/>
    <n v="1265.9967000000001"/>
    <n v="0.46546448568411714"/>
    <s v="High"/>
    <n v="2719.8567000000003"/>
    <n v="1265.9967000000001"/>
  </r>
  <r>
    <x v="342"/>
    <x v="254"/>
    <d v="2024-06-25T00:00:00"/>
    <n v="2"/>
    <x v="5"/>
    <x v="2"/>
    <s v="United Kingdom"/>
    <s v="Birmingham"/>
    <s v="Small Business"/>
    <x v="4"/>
    <x v="9"/>
    <s v="Accessories"/>
    <s v="ACC-7838"/>
    <n v="951.44"/>
    <n v="1646.43"/>
    <n v="0.11"/>
    <n v="24"/>
    <n v="0.7304611956613134"/>
    <x v="342"/>
    <n v="22834.560000000001"/>
    <n v="12333.184799999999"/>
    <n v="0.35069592520473475"/>
    <s v="Medium"/>
    <n v="35167.7448"/>
    <n v="12333.184799999999"/>
  </r>
  <r>
    <x v="343"/>
    <x v="255"/>
    <d v="2024-06-30T00:00:00"/>
    <n v="5"/>
    <x v="5"/>
    <x v="1"/>
    <s v="Kenya"/>
    <s v="Kisumu"/>
    <s v="Education"/>
    <x v="2"/>
    <x v="3"/>
    <s v="Networking"/>
    <s v="NET-5987"/>
    <n v="1323.55"/>
    <n v="3230.35"/>
    <n v="2.1999999999999999E-2"/>
    <n v="26"/>
    <n v="1.4406709228967549"/>
    <x v="343"/>
    <n v="34412.299999999996"/>
    <n v="47729.039799999991"/>
    <n v="0.58105991351263542"/>
    <s v="High"/>
    <n v="82141.339799999987"/>
    <n v="47729.039799999991"/>
  </r>
  <r>
    <x v="344"/>
    <x v="256"/>
    <d v="2024-06-30T00:00:00"/>
    <n v="2"/>
    <x v="5"/>
    <x v="0"/>
    <s v="Brazil"/>
    <s v="Rio de Janeiro"/>
    <s v="Small Business"/>
    <x v="2"/>
    <x v="9"/>
    <s v="Accessories"/>
    <s v="ACC-9162"/>
    <n v="1112.98"/>
    <n v="2095.73"/>
    <n v="7.1999999999999995E-2"/>
    <n v="17"/>
    <n v="0.88298981113766639"/>
    <x v="344"/>
    <n v="18920.66"/>
    <n v="14141.576480000007"/>
    <n v="0.42772594916724777"/>
    <s v="High"/>
    <n v="33062.236480000007"/>
    <n v="14141.576480000007"/>
  </r>
  <r>
    <x v="345"/>
    <x v="257"/>
    <d v="2024-07-26T00:00:00"/>
    <n v="27"/>
    <x v="5"/>
    <x v="1"/>
    <s v="South Africa"/>
    <s v="Durban"/>
    <s v="Enterprise"/>
    <x v="0"/>
    <x v="0"/>
    <s v="Networking"/>
    <s v="NET-4241"/>
    <n v="5.36"/>
    <n v="10.237600000000002"/>
    <n v="0.11799999999999999"/>
    <n v="9"/>
    <n v="0.91000000000000025"/>
    <x v="345"/>
    <n v="48.24"/>
    <n v="33.026068800000012"/>
    <n v="0.40639432038085749"/>
    <s v="High"/>
    <n v="81.266068800000014"/>
    <n v="33.026068800000012"/>
  </r>
  <r>
    <x v="346"/>
    <x v="258"/>
    <d v="2024-07-14T00:00:00"/>
    <n v="14"/>
    <x v="5"/>
    <x v="0"/>
    <s v="Brazil"/>
    <s v="Brasília"/>
    <s v="Education"/>
    <x v="3"/>
    <x v="11"/>
    <s v="Accessories"/>
    <s v="ACC-8683"/>
    <n v="1491.85"/>
    <n v="2583.02"/>
    <n v="0.16800000000000001"/>
    <n v="4"/>
    <n v="0.73142071924121066"/>
    <x v="346"/>
    <n v="5967.4"/>
    <n v="2628.8905599999998"/>
    <n v="0.30581685689321325"/>
    <s v="Medium"/>
    <n v="8596.2905599999995"/>
    <n v="2628.8905599999998"/>
  </r>
  <r>
    <x v="347"/>
    <x v="258"/>
    <d v="2024-07-21T00:00:00"/>
    <n v="21"/>
    <x v="5"/>
    <x v="1"/>
    <s v="Kenya"/>
    <s v="Kisumu"/>
    <s v="Small Business"/>
    <x v="3"/>
    <x v="10"/>
    <s v="Laptops"/>
    <s v="LAP-6577"/>
    <n v="753.43"/>
    <n v="1787.2"/>
    <n v="7.2999999999999995E-2"/>
    <n v="9"/>
    <n v="1.3720849979427419"/>
    <x v="347"/>
    <n v="6780.87"/>
    <n v="8129.7396000000017"/>
    <n v="0.54523187301476939"/>
    <s v="High"/>
    <n v="14910.609600000002"/>
    <n v="8129.7396000000017"/>
  </r>
  <r>
    <x v="348"/>
    <x v="259"/>
    <d v="2024-08-08T00:00:00"/>
    <n v="30"/>
    <x v="6"/>
    <x v="2"/>
    <s v="France"/>
    <s v="Marseille"/>
    <s v="Corporate"/>
    <x v="2"/>
    <x v="13"/>
    <s v="Components"/>
    <s v="CMP-5825"/>
    <n v="1062.3800000000001"/>
    <n v="1503.96"/>
    <n v="0.18"/>
    <n v="6"/>
    <n v="0.41565165006871352"/>
    <x v="348"/>
    <n v="6374.2800000000007"/>
    <n v="1025.2031999999999"/>
    <n v="0.13855064905073369"/>
    <s v="Medium"/>
    <n v="7399.4832000000006"/>
    <n v="1025.2031999999999"/>
  </r>
  <r>
    <x v="349"/>
    <x v="259"/>
    <d v="2024-07-12T00:00:00"/>
    <n v="3"/>
    <x v="6"/>
    <x v="3"/>
    <s v="China"/>
    <s v="Shanghai"/>
    <s v="Small Business"/>
    <x v="3"/>
    <x v="2"/>
    <s v="Accessories"/>
    <s v="ACC-3721"/>
    <n v="748.39"/>
    <n v="979.42"/>
    <n v="0"/>
    <n v="23"/>
    <n v="0.30870268175683796"/>
    <x v="349"/>
    <n v="17212.97"/>
    <n v="5313.6899999999987"/>
    <n v="0.23588450307324738"/>
    <s v="Medium"/>
    <n v="22526.66"/>
    <n v="5313.6899999999987"/>
  </r>
  <r>
    <x v="350"/>
    <x v="260"/>
    <d v="2024-07-31T00:00:00"/>
    <n v="20"/>
    <x v="6"/>
    <x v="3"/>
    <s v="China"/>
    <s v="Shenzhen"/>
    <s v="Consumer"/>
    <x v="1"/>
    <x v="6"/>
    <s v="Phones"/>
    <s v="PHN-7815"/>
    <n v="647.26"/>
    <n v="1374.72"/>
    <n v="6.6000000000000003E-2"/>
    <n v="22"/>
    <n v="1.1239069307542564"/>
    <x v="350"/>
    <n v="14239.72"/>
    <n v="14008.02656"/>
    <n v="0.49589890401508901"/>
    <s v="High"/>
    <n v="28247.74656"/>
    <n v="14008.02656"/>
  </r>
  <r>
    <x v="351"/>
    <x v="261"/>
    <d v="2024-07-13T00:00:00"/>
    <n v="1"/>
    <x v="6"/>
    <x v="3"/>
    <s v="Japan"/>
    <s v="Nagoya"/>
    <s v="Small Business"/>
    <x v="4"/>
    <x v="7"/>
    <s v="Networking"/>
    <s v="NET-9575"/>
    <n v="105.13"/>
    <n v="244.13"/>
    <n v="7.0999999999999994E-2"/>
    <n v="14"/>
    <n v="1.3221725482735662"/>
    <x v="351"/>
    <n v="1471.82"/>
    <n v="1703.3347799999999"/>
    <n v="0.53645724319618837"/>
    <s v="High"/>
    <n v="3175.1547799999998"/>
    <n v="1703.3347799999999"/>
  </r>
  <r>
    <x v="352"/>
    <x v="262"/>
    <d v="2024-08-03T00:00:00"/>
    <n v="21"/>
    <x v="6"/>
    <x v="0"/>
    <s v="Brazil"/>
    <s v="Rio de Janeiro"/>
    <s v="Corporate"/>
    <x v="4"/>
    <x v="3"/>
    <s v="Monitors"/>
    <s v="MON-6287"/>
    <n v="702.98"/>
    <n v="1104.8"/>
    <n v="0.17499999999999999"/>
    <n v="12"/>
    <n v="0.57159520896753813"/>
    <x v="352"/>
    <n v="8435.76"/>
    <n v="2501.7599999999984"/>
    <n v="0.22873192460448061"/>
    <s v="Medium"/>
    <n v="10937.519999999999"/>
    <n v="2501.7599999999984"/>
  </r>
  <r>
    <x v="353"/>
    <x v="263"/>
    <d v="2024-07-15T00:00:00"/>
    <n v="0"/>
    <x v="6"/>
    <x v="3"/>
    <s v="Japan"/>
    <s v="Tokyo"/>
    <s v="Small Business"/>
    <x v="4"/>
    <x v="6"/>
    <s v="Accessories"/>
    <s v="ACC-2735"/>
    <n v="801.77"/>
    <n v="1218.92"/>
    <n v="0.254"/>
    <n v="16"/>
    <n v="0.52028636641430848"/>
    <x v="353"/>
    <n v="12828.32"/>
    <n v="1720.7091200000013"/>
    <n v="0.11826968698788344"/>
    <s v="Medium"/>
    <n v="14549.029120000001"/>
    <n v="1720.7091200000013"/>
  </r>
  <r>
    <x v="354"/>
    <x v="264"/>
    <d v="2024-08-07T00:00:00"/>
    <n v="20"/>
    <x v="6"/>
    <x v="2"/>
    <s v="France"/>
    <s v="Marseille"/>
    <s v="Corporate"/>
    <x v="3"/>
    <x v="7"/>
    <s v="Monitors"/>
    <s v="MON-7622"/>
    <n v="941.35"/>
    <n v="1703.8435000000002"/>
    <n v="5.8000000000000003E-2"/>
    <n v="18"/>
    <n v="0.81000000000000016"/>
    <x v="354"/>
    <n v="16944.3"/>
    <n v="11946.070386000003"/>
    <n v="0.41349661587547365"/>
    <s v="High"/>
    <n v="28890.370386000002"/>
    <n v="11946.070386000003"/>
  </r>
  <r>
    <x v="355"/>
    <x v="265"/>
    <d v="2024-07-19T00:00:00"/>
    <n v="0"/>
    <x v="6"/>
    <x v="1"/>
    <s v="Kenya"/>
    <s v="Kisumu"/>
    <s v="Small Business"/>
    <x v="3"/>
    <x v="1"/>
    <s v="Phones"/>
    <s v="PHN-6854"/>
    <n v="857.24"/>
    <n v="1268.7152000000001"/>
    <n v="0.125"/>
    <n v="6"/>
    <n v="0.48000000000000009"/>
    <x v="355"/>
    <n v="5143.4400000000005"/>
    <n v="1517.3148000000001"/>
    <n v="0.22779922779922779"/>
    <s v="Medium"/>
    <n v="6660.7548000000006"/>
    <n v="1517.3148000000001"/>
  </r>
  <r>
    <x v="356"/>
    <x v="266"/>
    <d v="2024-08-08T00:00:00"/>
    <n v="15"/>
    <x v="6"/>
    <x v="2"/>
    <s v="France"/>
    <s v="Marseille"/>
    <s v="Enterprise"/>
    <x v="4"/>
    <x v="4"/>
    <s v="Laptops"/>
    <s v="LAP-9901"/>
    <n v="501.5"/>
    <n v="1201.47"/>
    <n v="0.126"/>
    <n v="5"/>
    <n v="1.395752741774676"/>
    <x v="356"/>
    <n v="2507.5"/>
    <n v="2742.9239000000007"/>
    <n v="0.52241951359394057"/>
    <s v="High"/>
    <n v="5250.4239000000007"/>
    <n v="2742.9239000000007"/>
  </r>
  <r>
    <x v="357"/>
    <x v="266"/>
    <d v="2024-07-25T00:00:00"/>
    <n v="1"/>
    <x v="6"/>
    <x v="1"/>
    <s v="Kenya"/>
    <s v="Mombasa"/>
    <s v="Non-Profit"/>
    <x v="2"/>
    <x v="13"/>
    <s v="Laptops"/>
    <s v="LAP-9815"/>
    <n v="1494.4"/>
    <n v="3661.07"/>
    <n v="7.1999999999999995E-2"/>
    <n v="7"/>
    <n v="1.4498594753747323"/>
    <x v="357"/>
    <n v="10460.800000000001"/>
    <n v="13321.51072"/>
    <n v="0.56014366630897339"/>
    <s v="High"/>
    <n v="23782.310720000001"/>
    <n v="13321.51072"/>
  </r>
  <r>
    <x v="358"/>
    <x v="267"/>
    <d v="2024-08-02T00:00:00"/>
    <n v="8"/>
    <x v="6"/>
    <x v="0"/>
    <s v="Canada"/>
    <s v="Montreal"/>
    <s v="Consumer"/>
    <x v="2"/>
    <x v="13"/>
    <s v="Accessories"/>
    <s v="ACC-6626"/>
    <n v="986.81"/>
    <n v="2050.31"/>
    <n v="0.10299999999999999"/>
    <n v="43"/>
    <n v="1.0777150616633395"/>
    <x v="358"/>
    <n v="42432.829999999994"/>
    <n v="36649.677010000007"/>
    <n v="0.46343595310358138"/>
    <s v="High"/>
    <n v="79082.507010000001"/>
    <n v="36649.677010000007"/>
  </r>
  <r>
    <x v="359"/>
    <x v="268"/>
    <d v="2024-08-23T00:00:00"/>
    <n v="26"/>
    <x v="6"/>
    <x v="3"/>
    <s v="India"/>
    <s v="Hyderabad"/>
    <s v="Corporate"/>
    <x v="3"/>
    <x v="13"/>
    <s v="Networking"/>
    <s v="NET-4675"/>
    <n v="1339.24"/>
    <n v="1558.89"/>
    <n v="0.192"/>
    <n v="24"/>
    <n v="0.1640109315731311"/>
    <x v="359"/>
    <n v="32141.760000000002"/>
    <n v="-1911.76512"/>
    <n v="-6.3240669659021781E-2"/>
    <s v="Low"/>
    <n v="30229.994880000002"/>
    <n v="-1911.76512"/>
  </r>
  <r>
    <x v="360"/>
    <x v="269"/>
    <d v="2024-07-31T00:00:00"/>
    <n v="2"/>
    <x v="6"/>
    <x v="0"/>
    <s v="USA"/>
    <s v="New York"/>
    <s v="Education"/>
    <x v="4"/>
    <x v="12"/>
    <s v="Printers"/>
    <s v="PRN-2829"/>
    <n v="798.97"/>
    <n v="1814.06"/>
    <n v="0.122"/>
    <n v="16"/>
    <n v="1.2704982665181419"/>
    <x v="360"/>
    <n v="12783.52"/>
    <n v="12700.39488"/>
    <n v="0.49836906691159061"/>
    <s v="High"/>
    <n v="25483.91488"/>
    <n v="12700.39488"/>
  </r>
  <r>
    <x v="361"/>
    <x v="270"/>
    <d v="2024-08-15T00:00:00"/>
    <n v="15"/>
    <x v="6"/>
    <x v="3"/>
    <s v="Japan"/>
    <s v="Tokyo"/>
    <s v="Corporate"/>
    <x v="4"/>
    <x v="7"/>
    <s v="Monitors"/>
    <s v="MON-1564"/>
    <n v="1252.52"/>
    <n v="1417.24"/>
    <n v="0.192"/>
    <n v="5"/>
    <n v="0.13151087407785905"/>
    <x v="361"/>
    <n v="6262.6"/>
    <n v="-536.95039999999972"/>
    <n v="-9.3779821943696953E-2"/>
    <s v="Low"/>
    <n v="5725.6496000000006"/>
    <n v="-536.95039999999972"/>
  </r>
  <r>
    <x v="362"/>
    <x v="271"/>
    <d v="2024-08-09T00:00:00"/>
    <n v="6"/>
    <x v="6"/>
    <x v="1"/>
    <s v="Kenya"/>
    <s v="Mombasa"/>
    <s v="Consumer"/>
    <x v="4"/>
    <x v="4"/>
    <s v="Laptops"/>
    <s v="LAP-1969"/>
    <n v="643.21"/>
    <n v="1112.81"/>
    <n v="0.14099999999999999"/>
    <n v="4"/>
    <n v="0.73008815161455809"/>
    <x v="362"/>
    <n v="2572.84"/>
    <n v="1250.7751599999997"/>
    <n v="0.32711847496702562"/>
    <s v="Medium"/>
    <n v="3823.6151599999998"/>
    <n v="1250.7751599999997"/>
  </r>
  <r>
    <x v="363"/>
    <x v="272"/>
    <d v="2024-08-17T00:00:00"/>
    <n v="13"/>
    <x v="6"/>
    <x v="0"/>
    <s v="USA"/>
    <s v="Austin"/>
    <s v="Consumer"/>
    <x v="3"/>
    <x v="2"/>
    <s v="Monitors"/>
    <s v="MON-8867"/>
    <n v="352.79"/>
    <n v="754.22"/>
    <n v="0.113"/>
    <n v="7"/>
    <n v="1.1378723886731483"/>
    <x v="363"/>
    <n v="2469.5300000000002"/>
    <n v="2213.4219799999996"/>
    <n v="0.47265528014233443"/>
    <s v="High"/>
    <n v="4682.9519799999998"/>
    <n v="2213.4219799999996"/>
  </r>
  <r>
    <x v="364"/>
    <x v="273"/>
    <d v="2024-08-17T00:00:00"/>
    <n v="10"/>
    <x v="6"/>
    <x v="3"/>
    <s v="Japan"/>
    <s v="Osaka"/>
    <s v="Consumer"/>
    <x v="1"/>
    <x v="10"/>
    <s v="Networking"/>
    <s v="NET-7924"/>
    <n v="436.58"/>
    <n v="527.48"/>
    <n v="0.111"/>
    <n v="19"/>
    <n v="0.20820926290714195"/>
    <x v="364"/>
    <n v="8295.02"/>
    <n v="614.64468000000124"/>
    <n v="6.8986286473802644E-2"/>
    <s v="Low"/>
    <n v="8909.6646800000017"/>
    <n v="614.64468000000124"/>
  </r>
  <r>
    <x v="365"/>
    <x v="274"/>
    <d v="2024-08-20T00:00:00"/>
    <n v="12"/>
    <x v="6"/>
    <x v="3"/>
    <s v="Japan"/>
    <s v="Osaka"/>
    <s v="Small Business"/>
    <x v="3"/>
    <x v="4"/>
    <s v="Networking"/>
    <s v="NET-8957"/>
    <n v="1233.3599999999999"/>
    <n v="2120.4"/>
    <n v="0.17899999999999999"/>
    <n v="20"/>
    <n v="0.71920607122008195"/>
    <x v="365"/>
    <n v="24667.199999999997"/>
    <n v="10149.768000000004"/>
    <n v="0.29151785991244278"/>
    <s v="Medium"/>
    <n v="34816.968000000001"/>
    <n v="10149.768000000004"/>
  </r>
  <r>
    <x v="366"/>
    <x v="275"/>
    <d v="2024-09-07T00:00:00"/>
    <n v="28"/>
    <x v="6"/>
    <x v="2"/>
    <s v="France"/>
    <s v="Marseille"/>
    <s v="Non-Profit"/>
    <x v="2"/>
    <x v="7"/>
    <s v="Printers"/>
    <s v="PRN-1183"/>
    <n v="229.96"/>
    <n v="564.26"/>
    <n v="0.105"/>
    <n v="5"/>
    <n v="1.4537310836667243"/>
    <x v="366"/>
    <n v="1149.8"/>
    <n v="1375.2635000000002"/>
    <n v="0.54464511486542821"/>
    <s v="High"/>
    <n v="2525.0635000000002"/>
    <n v="1375.2635000000002"/>
  </r>
  <r>
    <x v="367"/>
    <x v="276"/>
    <d v="2024-09-03T00:00:00"/>
    <n v="22"/>
    <x v="6"/>
    <x v="0"/>
    <s v="USA"/>
    <s v="Austin"/>
    <s v="Consumer"/>
    <x v="0"/>
    <x v="12"/>
    <s v="Laptops"/>
    <s v="LAP-7979"/>
    <n v="797.8"/>
    <n v="886.22"/>
    <n v="0.23599999999999999"/>
    <n v="36"/>
    <n v="0.11082978190022572"/>
    <x v="367"/>
    <n v="28720.799999999999"/>
    <n v="-4346.2051199999987"/>
    <n v="-0.17830881462428633"/>
    <s v="Low"/>
    <n v="24374.594880000001"/>
    <n v="-4346.2051199999987"/>
  </r>
  <r>
    <x v="368"/>
    <x v="276"/>
    <d v="2024-08-15T00:00:00"/>
    <n v="3"/>
    <x v="6"/>
    <x v="0"/>
    <s v="USA"/>
    <s v="Chicago"/>
    <s v="Corporate"/>
    <x v="4"/>
    <x v="2"/>
    <s v="Printers"/>
    <s v="PRN-5591"/>
    <n v="850.7"/>
    <n v="1118.56"/>
    <n v="0.18"/>
    <n v="19"/>
    <n v="0.31487010697072987"/>
    <x v="368"/>
    <n v="16163.300000000001"/>
    <n v="1263.8648000000012"/>
    <n v="7.2522685962090688E-2"/>
    <s v="Medium"/>
    <n v="17427.164800000002"/>
    <n v="1263.8648000000012"/>
  </r>
  <r>
    <x v="369"/>
    <x v="277"/>
    <d v="2024-09-04T00:00:00"/>
    <n v="21"/>
    <x v="6"/>
    <x v="2"/>
    <s v="United Kingdom"/>
    <s v="Manchester"/>
    <s v="Non-Profit"/>
    <x v="1"/>
    <x v="13"/>
    <s v="Phones"/>
    <s v="PHN-2341"/>
    <n v="1138.8"/>
    <n v="2250.81"/>
    <n v="0.123"/>
    <n v="12"/>
    <n v="0.9764752370916755"/>
    <x v="369"/>
    <n v="13665.599999999999"/>
    <n v="10021.924440000003"/>
    <n v="0.42308872188756258"/>
    <s v="High"/>
    <n v="23687.524440000001"/>
    <n v="10021.924440000003"/>
  </r>
  <r>
    <x v="370"/>
    <x v="278"/>
    <d v="2024-08-17T00:00:00"/>
    <n v="2"/>
    <x v="6"/>
    <x v="0"/>
    <s v="Brazil"/>
    <s v="Rio de Janeiro"/>
    <s v="Consumer"/>
    <x v="2"/>
    <x v="3"/>
    <s v="Monitors"/>
    <s v="MON-2849"/>
    <n v="165.3"/>
    <n v="275.07"/>
    <n v="0.13300000000000001"/>
    <n v="25"/>
    <n v="0.66406533575317583"/>
    <x v="370"/>
    <n v="4132.5"/>
    <n v="1829.6422499999999"/>
    <n v="0.30687665159280625"/>
    <s v="Medium"/>
    <n v="5962.1422499999999"/>
    <n v="1829.6422499999999"/>
  </r>
  <r>
    <x v="371"/>
    <x v="279"/>
    <d v="2024-08-26T00:00:00"/>
    <n v="10"/>
    <x v="6"/>
    <x v="0"/>
    <s v="USA"/>
    <s v="Chicago"/>
    <s v="Corporate"/>
    <x v="0"/>
    <x v="9"/>
    <s v="Laptops"/>
    <s v="LAP-5763"/>
    <n v="1291.7"/>
    <n v="2657.84"/>
    <n v="8.6999999999999994E-2"/>
    <n v="21"/>
    <n v="1.0576294805295348"/>
    <x v="371"/>
    <n v="27125.7"/>
    <n v="23833.066320000002"/>
    <n v="0.46769315745083367"/>
    <s v="High"/>
    <n v="50958.766320000002"/>
    <n v="23833.066320000002"/>
  </r>
  <r>
    <x v="372"/>
    <x v="280"/>
    <d v="2024-09-12T00:00:00"/>
    <n v="25"/>
    <x v="6"/>
    <x v="3"/>
    <s v="India"/>
    <s v="Mumbai"/>
    <s v="Consumer"/>
    <x v="4"/>
    <x v="11"/>
    <s v="Phones"/>
    <s v="PHN-3077"/>
    <n v="1154.03"/>
    <n v="1590.36"/>
    <n v="0.17"/>
    <n v="18"/>
    <n v="0.37809242394045212"/>
    <x v="372"/>
    <n v="20772.54"/>
    <n v="2987.4383999999991"/>
    <n v="0.12573405369762453"/>
    <s v="Medium"/>
    <n v="23759.9784"/>
    <n v="2987.4383999999991"/>
  </r>
  <r>
    <x v="373"/>
    <x v="281"/>
    <d v="2024-09-07T00:00:00"/>
    <n v="19"/>
    <x v="6"/>
    <x v="2"/>
    <s v="France"/>
    <s v="Lyon"/>
    <s v="Corporate"/>
    <x v="2"/>
    <x v="13"/>
    <s v="Components"/>
    <s v="CMP-5435"/>
    <n v="297.58999999999997"/>
    <n v="666.41"/>
    <n v="0"/>
    <n v="10"/>
    <n v="1.2393561611613295"/>
    <x v="373"/>
    <n v="2975.8999999999996"/>
    <n v="3688.2"/>
    <n v="0.55344307558409989"/>
    <s v="High"/>
    <n v="6664.0999999999995"/>
    <n v="3688.2"/>
  </r>
  <r>
    <x v="374"/>
    <x v="281"/>
    <d v="2024-09-02T00:00:00"/>
    <n v="14"/>
    <x v="6"/>
    <x v="0"/>
    <s v="Canada"/>
    <s v="Toronto"/>
    <s v="Consumer"/>
    <x v="0"/>
    <x v="11"/>
    <s v="Printers"/>
    <s v="PRN-9793"/>
    <n v="1337.01"/>
    <n v="2446.7283000000002"/>
    <n v="0.16"/>
    <n v="7"/>
    <n v="0.83000000000000018"/>
    <x v="374"/>
    <n v="9359.07"/>
    <n v="5027.6924040000031"/>
    <n v="0.34946656258131681"/>
    <s v="High"/>
    <n v="14386.762404000003"/>
    <n v="5027.6924040000031"/>
  </r>
  <r>
    <x v="375"/>
    <x v="282"/>
    <d v="2024-08-23T00:00:00"/>
    <n v="2"/>
    <x v="6"/>
    <x v="1"/>
    <s v="South Africa"/>
    <s v="Johannesburg"/>
    <s v="Education"/>
    <x v="3"/>
    <x v="14"/>
    <s v="Components"/>
    <s v="CMP-1559"/>
    <n v="1432.52"/>
    <n v="3036.87"/>
    <n v="0"/>
    <n v="9"/>
    <n v="1.1199494596934074"/>
    <x v="375"/>
    <n v="12892.68"/>
    <n v="14439.149999999998"/>
    <n v="0.52829064135112791"/>
    <s v="High"/>
    <n v="27331.829999999998"/>
    <n v="14439.149999999998"/>
  </r>
  <r>
    <x v="376"/>
    <x v="283"/>
    <d v="2024-09-04T00:00:00"/>
    <n v="13"/>
    <x v="6"/>
    <x v="2"/>
    <s v="Germany"/>
    <s v="Frankfurt"/>
    <s v="Non-Profit"/>
    <x v="3"/>
    <x v="9"/>
    <s v="Printers"/>
    <s v="PRN-4892"/>
    <n v="90.04"/>
    <n v="194.62"/>
    <n v="4.2999999999999997E-2"/>
    <n v="32"/>
    <n v="1.1614837849844513"/>
    <x v="376"/>
    <n v="2881.28"/>
    <n v="3078.7628799999998"/>
    <n v="0.51656723650954672"/>
    <s v="High"/>
    <n v="5960.04288"/>
    <n v="3078.7628799999998"/>
  </r>
  <r>
    <x v="377"/>
    <x v="284"/>
    <d v="2024-09-18T00:00:00"/>
    <n v="22"/>
    <x v="6"/>
    <x v="3"/>
    <s v="India"/>
    <s v="Delhi"/>
    <s v="Consumer"/>
    <x v="2"/>
    <x v="0"/>
    <s v="Components"/>
    <s v="CMP-3875"/>
    <n v="896.75"/>
    <n v="1651.14"/>
    <n v="2.5000000000000001E-2"/>
    <n v="15"/>
    <n v="0.84124895455812665"/>
    <x v="377"/>
    <n v="13451.25"/>
    <n v="10696.672500000001"/>
    <n v="0.44296450346815552"/>
    <s v="High"/>
    <n v="24147.922500000001"/>
    <n v="10696.672500000001"/>
  </r>
  <r>
    <x v="378"/>
    <x v="284"/>
    <d v="2024-09-19T00:00:00"/>
    <n v="23"/>
    <x v="6"/>
    <x v="2"/>
    <s v="Germany"/>
    <s v="Berlin"/>
    <s v="Small Business"/>
    <x v="2"/>
    <x v="2"/>
    <s v="Monitors"/>
    <s v="MON-9967"/>
    <n v="1024.01"/>
    <n v="1580.97"/>
    <n v="3.6999999999999998E-2"/>
    <n v="27"/>
    <n v="0.54390093846739784"/>
    <x v="378"/>
    <n v="27648.27"/>
    <n v="13458.530970000003"/>
    <n v="0.3274039976942531"/>
    <s v="Medium"/>
    <n v="41106.800970000004"/>
    <n v="13458.530970000003"/>
  </r>
  <r>
    <x v="379"/>
    <x v="285"/>
    <d v="2024-09-25T00:00:00"/>
    <n v="28"/>
    <x v="6"/>
    <x v="0"/>
    <s v="Brazil"/>
    <s v="Rio de Janeiro"/>
    <s v="Non-Profit"/>
    <x v="1"/>
    <x v="12"/>
    <s v="Accessories"/>
    <s v="ACC-4490"/>
    <n v="1394.65"/>
    <n v="3144.1"/>
    <n v="0.13400000000000001"/>
    <n v="13"/>
    <n v="1.254400745706808"/>
    <x v="379"/>
    <n v="18130.45"/>
    <n v="17265.827799999995"/>
    <n v="0.4877865378263021"/>
    <s v="High"/>
    <n v="35396.277799999996"/>
    <n v="17265.827799999995"/>
  </r>
  <r>
    <x v="380"/>
    <x v="286"/>
    <d v="2024-09-05T00:00:00"/>
    <n v="6"/>
    <x v="6"/>
    <x v="3"/>
    <s v="Japan"/>
    <s v="Nagoya"/>
    <s v="Education"/>
    <x v="1"/>
    <x v="8"/>
    <s v="Laptops"/>
    <s v="LAP-7009"/>
    <n v="466.16"/>
    <n v="876.81"/>
    <n v="0.24099999999999999"/>
    <n v="8"/>
    <n v="0.88092071391796789"/>
    <x v="380"/>
    <n v="3729.28"/>
    <n v="1594.7103199999997"/>
    <n v="0.29953291124691594"/>
    <s v="High"/>
    <n v="5323.9903199999999"/>
    <n v="1594.7103199999997"/>
  </r>
  <r>
    <x v="381"/>
    <x v="287"/>
    <d v="2024-09-26T00:00:00"/>
    <n v="26"/>
    <x v="6"/>
    <x v="3"/>
    <s v="Japan"/>
    <s v="Tokyo"/>
    <s v="Education"/>
    <x v="1"/>
    <x v="12"/>
    <s v="Phones"/>
    <s v="PHN-6111"/>
    <n v="1189.03"/>
    <n v="2949.62"/>
    <n v="0.125"/>
    <n v="13"/>
    <n v="1.480694347493335"/>
    <x v="381"/>
    <n v="15457.39"/>
    <n v="18094.537499999999"/>
    <n v="0.53929949330034765"/>
    <s v="High"/>
    <n v="33551.927499999998"/>
    <n v="18094.537499999999"/>
  </r>
  <r>
    <x v="382"/>
    <x v="288"/>
    <d v="2024-09-08T00:00:00"/>
    <n v="6"/>
    <x v="6"/>
    <x v="0"/>
    <s v="USA"/>
    <s v="Austin"/>
    <s v="Consumer"/>
    <x v="2"/>
    <x v="4"/>
    <s v="Components"/>
    <s v="CMP-7563"/>
    <n v="462.94"/>
    <n v="1015.7"/>
    <n v="0.14299999999999999"/>
    <n v="14"/>
    <n v="1.1940208234328422"/>
    <x v="382"/>
    <n v="6481.16"/>
    <n v="5705.2086000000018"/>
    <n v="0.46816314090483041"/>
    <s v="High"/>
    <n v="12186.368600000002"/>
    <n v="5705.2086000000018"/>
  </r>
  <r>
    <x v="383"/>
    <x v="289"/>
    <d v="2024-09-08T00:00:00"/>
    <n v="5"/>
    <x v="6"/>
    <x v="1"/>
    <s v="Nigeria"/>
    <s v="Lagos"/>
    <s v="Small Business"/>
    <x v="2"/>
    <x v="10"/>
    <s v="Printers"/>
    <s v="PRN-1141"/>
    <n v="197.63"/>
    <n v="325.79000000000002"/>
    <n v="0.11600000000000001"/>
    <n v="10"/>
    <n v="0.64848454182057391"/>
    <x v="383"/>
    <n v="1976.3"/>
    <n v="903.68360000000007"/>
    <n v="0.31378081458519419"/>
    <s v="Medium"/>
    <n v="2879.9836"/>
    <n v="903.68360000000007"/>
  </r>
  <r>
    <x v="384"/>
    <x v="289"/>
    <d v="2024-09-07T00:00:00"/>
    <n v="4"/>
    <x v="6"/>
    <x v="3"/>
    <s v="Japan"/>
    <s v="Tokyo"/>
    <s v="Small Business"/>
    <x v="0"/>
    <x v="8"/>
    <s v="Printers"/>
    <s v="PRN-3917"/>
    <n v="43.23"/>
    <n v="94.78"/>
    <n v="9.0999999999999998E-2"/>
    <n v="55"/>
    <n v="1.1924589405505437"/>
    <x v="384"/>
    <n v="2377.6499999999996"/>
    <n v="2360.8761000000004"/>
    <n v="0.49823005090127082"/>
    <s v="High"/>
    <n v="4738.5261"/>
    <n v="2360.8761000000004"/>
  </r>
  <r>
    <x v="385"/>
    <x v="290"/>
    <d v="2024-09-06T00:00:00"/>
    <n v="2"/>
    <x v="6"/>
    <x v="3"/>
    <s v="Japan"/>
    <s v="Osaka"/>
    <s v="Corporate"/>
    <x v="2"/>
    <x v="1"/>
    <s v="Laptops"/>
    <s v="LAP-4483"/>
    <n v="1368.17"/>
    <n v="2307.75"/>
    <n v="0.16300000000000001"/>
    <n v="21"/>
    <n v="0.68674214461653149"/>
    <x v="385"/>
    <n v="28731.57"/>
    <n v="11831.751749999996"/>
    <n v="0.29168596750831921"/>
    <s v="Medium"/>
    <n v="40563.321749999996"/>
    <n v="11831.751749999996"/>
  </r>
  <r>
    <x v="386"/>
    <x v="291"/>
    <d v="2024-09-25T00:00:00"/>
    <n v="20"/>
    <x v="6"/>
    <x v="3"/>
    <s v="Japan"/>
    <s v="Osaka"/>
    <s v="Enterprise"/>
    <x v="0"/>
    <x v="2"/>
    <s v="Monitors"/>
    <s v="MON-5249"/>
    <n v="195.54"/>
    <n v="405.97"/>
    <n v="0.187"/>
    <n v="16"/>
    <n v="1.0761481026899868"/>
    <x v="386"/>
    <n v="3128.64"/>
    <n v="2152.21776"/>
    <n v="0.40755079152141377"/>
    <s v="High"/>
    <n v="5280.8577599999999"/>
    <n v="2152.21776"/>
  </r>
  <r>
    <x v="387"/>
    <x v="292"/>
    <d v="2024-10-04T00:00:00"/>
    <n v="28"/>
    <x v="6"/>
    <x v="1"/>
    <s v="South Africa"/>
    <s v="Cape Town"/>
    <s v="Corporate"/>
    <x v="4"/>
    <x v="2"/>
    <s v="Monitors"/>
    <s v="MON-3504"/>
    <n v="1174.17"/>
    <n v="1641.61"/>
    <n v="0.122"/>
    <n v="9"/>
    <n v="0.39810248941805682"/>
    <x v="387"/>
    <n v="10567.53"/>
    <n v="2404.4722199999997"/>
    <n v="0.18535860380079394"/>
    <s v="Medium"/>
    <n v="12972.00222"/>
    <n v="2404.4722199999997"/>
  </r>
  <r>
    <x v="388"/>
    <x v="293"/>
    <d v="2024-09-18T00:00:00"/>
    <n v="11"/>
    <x v="6"/>
    <x v="3"/>
    <s v="China"/>
    <s v="Beijing"/>
    <s v="Consumer"/>
    <x v="0"/>
    <x v="5"/>
    <s v="Networking"/>
    <s v="NET-7998"/>
    <n v="181.74"/>
    <n v="190.84"/>
    <n v="0.214"/>
    <n v="13"/>
    <n v="5.0071530758226006E-2"/>
    <x v="388"/>
    <n v="2362.62"/>
    <n v="-412.61687999999981"/>
    <n v="-0.21159806144310159"/>
    <s v="Low"/>
    <n v="1950.0031200000001"/>
    <n v="-412.61687999999981"/>
  </r>
  <r>
    <x v="389"/>
    <x v="293"/>
    <d v="2024-09-07T00:00:00"/>
    <n v="0"/>
    <x v="6"/>
    <x v="3"/>
    <s v="India"/>
    <s v="Mumbai"/>
    <s v="Education"/>
    <x v="0"/>
    <x v="0"/>
    <s v="Networking"/>
    <s v="NET-9835"/>
    <n v="1066.6500000000001"/>
    <n v="2569.77"/>
    <n v="0.13400000000000001"/>
    <n v="9"/>
    <n v="1.4091970187034171"/>
    <x v="389"/>
    <n v="9599.85"/>
    <n v="10428.937380000001"/>
    <n v="0.52069739331368348"/>
    <s v="High"/>
    <n v="20028.787380000002"/>
    <n v="10428.937380000001"/>
  </r>
  <r>
    <x v="390"/>
    <x v="294"/>
    <d v="2024-10-01T00:00:00"/>
    <n v="22"/>
    <x v="6"/>
    <x v="3"/>
    <s v="China"/>
    <s v="Shenzhen"/>
    <s v="Consumer"/>
    <x v="2"/>
    <x v="9"/>
    <s v="Printers"/>
    <s v="PRN-3014"/>
    <n v="1166.18"/>
    <n v="1335.02"/>
    <n v="0.128"/>
    <n v="6"/>
    <n v="0.1447803941072561"/>
    <x v="390"/>
    <n v="6997.08"/>
    <n v="-12.25536000000011"/>
    <n v="-1.7545694604582242E-3"/>
    <s v="Low"/>
    <n v="6984.8246399999998"/>
    <n v="-12.25536000000011"/>
  </r>
  <r>
    <x v="391"/>
    <x v="294"/>
    <d v="2024-10-08T00:00:00"/>
    <n v="29"/>
    <x v="6"/>
    <x v="0"/>
    <s v="Brazil"/>
    <s v="São Paulo"/>
    <s v="Education"/>
    <x v="2"/>
    <x v="13"/>
    <s v="Components"/>
    <s v="CMP-3093"/>
    <n v="1010.33"/>
    <n v="2492.14"/>
    <n v="5.0999999999999997E-2"/>
    <n v="11"/>
    <n v="1.4666594083121356"/>
    <x v="391"/>
    <n v="11113.630000000001"/>
    <n v="14901.819459999995"/>
    <n v="0.57280653493656752"/>
    <s v="High"/>
    <n v="26015.449459999996"/>
    <n v="14901.819459999995"/>
  </r>
  <r>
    <x v="392"/>
    <x v="294"/>
    <d v="2024-09-13T00:00:00"/>
    <n v="4"/>
    <x v="6"/>
    <x v="2"/>
    <s v="United Kingdom"/>
    <s v="London"/>
    <s v="Consumer"/>
    <x v="4"/>
    <x v="7"/>
    <s v="Networking"/>
    <s v="NET-1145"/>
    <n v="1133.08"/>
    <n v="2164.1828"/>
    <n v="4.2000000000000003E-2"/>
    <n v="27"/>
    <n v="0.91000000000000014"/>
    <x v="392"/>
    <n v="30593.159999999996"/>
    <n v="25385.592304800004"/>
    <n v="0.45348621145711515"/>
    <s v="High"/>
    <n v="55978.7523048"/>
    <n v="25385.592304800004"/>
  </r>
  <r>
    <x v="393"/>
    <x v="295"/>
    <d v="2024-10-07T00:00:00"/>
    <n v="27"/>
    <x v="6"/>
    <x v="1"/>
    <s v="Kenya"/>
    <s v="Kisumu"/>
    <s v="Consumer"/>
    <x v="3"/>
    <x v="9"/>
    <s v="Printers"/>
    <s v="PRN-6068"/>
    <n v="1248.3900000000001"/>
    <n v="1805.11"/>
    <n v="0.20300000000000001"/>
    <n v="11"/>
    <n v="0.44595038409471377"/>
    <x v="393"/>
    <n v="13732.29"/>
    <n v="2093.1093699999965"/>
    <n v="0.13226265707820786"/>
    <s v="Medium"/>
    <n v="15825.399369999997"/>
    <n v="2093.1093699999965"/>
  </r>
  <r>
    <x v="394"/>
    <x v="296"/>
    <d v="2024-10-02T00:00:00"/>
    <n v="19"/>
    <x v="6"/>
    <x v="1"/>
    <s v="Kenya"/>
    <s v="Mombasa"/>
    <s v="Small Business"/>
    <x v="3"/>
    <x v="3"/>
    <s v="Phones"/>
    <s v="PHN-8804"/>
    <n v="1338.99"/>
    <n v="1765.76"/>
    <n v="0.126"/>
    <n v="24"/>
    <n v="0.31872530788131354"/>
    <x v="394"/>
    <n v="32135.760000000002"/>
    <n v="4902.8217599999989"/>
    <n v="0.1323706666677725"/>
    <s v="Medium"/>
    <n v="37038.581760000001"/>
    <n v="4902.8217599999989"/>
  </r>
  <r>
    <x v="395"/>
    <x v="297"/>
    <d v="2024-10-05T00:00:00"/>
    <n v="21"/>
    <x v="6"/>
    <x v="3"/>
    <s v="China"/>
    <s v="Shanghai"/>
    <s v="Small Business"/>
    <x v="1"/>
    <x v="4"/>
    <s v="Laptops"/>
    <s v="LAP-5150"/>
    <n v="1405.56"/>
    <n v="2968.87"/>
    <n v="0.16900000000000001"/>
    <n v="5"/>
    <n v="1.1122328466945559"/>
    <x v="395"/>
    <n v="7027.7999999999993"/>
    <n v="5307.8548499999997"/>
    <n v="0.4302856163327235"/>
    <s v="High"/>
    <n v="12335.654849999999"/>
    <n v="5307.8548499999997"/>
  </r>
  <r>
    <x v="396"/>
    <x v="298"/>
    <d v="2024-10-14T00:00:00"/>
    <n v="25"/>
    <x v="6"/>
    <x v="0"/>
    <s v="Brazil"/>
    <s v="Rio de Janeiro"/>
    <s v="Small Business"/>
    <x v="3"/>
    <x v="10"/>
    <s v="Printers"/>
    <s v="PRN-2749"/>
    <n v="386.96"/>
    <n v="937.46"/>
    <n v="0.26600000000000001"/>
    <n v="41"/>
    <n v="1.4226276617738269"/>
    <x v="396"/>
    <n v="15865.359999999999"/>
    <n v="12346.561240000001"/>
    <n v="0.43763631462626335"/>
    <s v="High"/>
    <n v="28211.92124"/>
    <n v="12346.561240000001"/>
  </r>
  <r>
    <x v="397"/>
    <x v="299"/>
    <d v="2024-10-01T00:00:00"/>
    <n v="9"/>
    <x v="6"/>
    <x v="0"/>
    <s v="Brazil"/>
    <s v="São Paulo"/>
    <s v="Non-Profit"/>
    <x v="1"/>
    <x v="10"/>
    <s v="Monitors"/>
    <s v="MON-6341"/>
    <n v="1378.8"/>
    <n v="1952.04"/>
    <n v="0.159"/>
    <n v="19"/>
    <n v="0.41575282854656226"/>
    <x v="397"/>
    <n v="26197.200000000001"/>
    <n v="4994.4471599999997"/>
    <n v="0.16012130216723058"/>
    <s v="Medium"/>
    <n v="31191.64716"/>
    <n v="4994.4471599999997"/>
  </r>
  <r>
    <x v="398"/>
    <x v="300"/>
    <d v="2024-10-18T00:00:00"/>
    <n v="25"/>
    <x v="6"/>
    <x v="0"/>
    <s v="Canada"/>
    <s v="Vancouver"/>
    <s v="Small Business"/>
    <x v="1"/>
    <x v="8"/>
    <s v="Phones"/>
    <s v="PHN-4568"/>
    <n v="1297"/>
    <n v="2411.52"/>
    <n v="2.1000000000000001E-2"/>
    <n v="18"/>
    <n v="0.85930609097918276"/>
    <x v="398"/>
    <n v="23346"/>
    <n v="19149.805439999996"/>
    <n v="0.45062813239385913"/>
    <s v="High"/>
    <n v="42495.805439999996"/>
    <n v="19149.805439999996"/>
  </r>
  <r>
    <x v="399"/>
    <x v="301"/>
    <d v="2024-10-03T00:00:00"/>
    <n v="8"/>
    <x v="6"/>
    <x v="0"/>
    <s v="Canada"/>
    <s v="Toronto"/>
    <s v="Consumer"/>
    <x v="1"/>
    <x v="14"/>
    <s v="Printers"/>
    <s v="PRN-9557"/>
    <n v="558.19000000000005"/>
    <n v="1031.6400000000001"/>
    <n v="0"/>
    <n v="21"/>
    <n v="0.84818789301134023"/>
    <x v="399"/>
    <n v="11721.990000000002"/>
    <n v="9942.4500000000007"/>
    <n v="0.45892947152107322"/>
    <s v="High"/>
    <n v="21664.440000000002"/>
    <n v="9942.4500000000007"/>
  </r>
  <r>
    <x v="400"/>
    <x v="302"/>
    <d v="2024-10-23T00:00:00"/>
    <n v="21"/>
    <x v="7"/>
    <x v="1"/>
    <s v="South Africa"/>
    <s v="Durban"/>
    <s v="Corporate"/>
    <x v="4"/>
    <x v="1"/>
    <s v="Components"/>
    <s v="CMP-3978"/>
    <n v="1095.6099999999999"/>
    <n v="2366.5100000000002"/>
    <n v="0.152"/>
    <n v="9"/>
    <n v="1.159993063225053"/>
    <x v="400"/>
    <n v="9860.49"/>
    <n v="8200.7143200000046"/>
    <n v="0.4540513564158607"/>
    <s v="High"/>
    <n v="18061.204320000004"/>
    <n v="8200.7143200000046"/>
  </r>
  <r>
    <x v="401"/>
    <x v="303"/>
    <d v="2024-10-11T00:00:00"/>
    <n v="8"/>
    <x v="7"/>
    <x v="3"/>
    <s v="China"/>
    <s v="Beijing"/>
    <s v="Enterprise"/>
    <x v="2"/>
    <x v="0"/>
    <s v="Phones"/>
    <s v="PHN-7488"/>
    <n v="1132.6099999999999"/>
    <n v="2206.63"/>
    <n v="6.3E-2"/>
    <n v="20"/>
    <n v="0.94826992521697695"/>
    <x v="401"/>
    <n v="22652.199999999997"/>
    <n v="18700.046200000012"/>
    <n v="0.45221355351671338"/>
    <s v="High"/>
    <n v="41352.246200000009"/>
    <n v="18700.046200000012"/>
  </r>
  <r>
    <x v="402"/>
    <x v="304"/>
    <d v="2024-11-02T00:00:00"/>
    <n v="29"/>
    <x v="7"/>
    <x v="1"/>
    <s v="Nigeria"/>
    <s v="Abuja"/>
    <s v="Corporate"/>
    <x v="0"/>
    <x v="7"/>
    <s v="Accessories"/>
    <s v="ACC-9038"/>
    <n v="412.09"/>
    <n v="968.94"/>
    <n v="9.9000000000000005E-2"/>
    <n v="23"/>
    <n v="1.3512824868354005"/>
    <x v="402"/>
    <n v="9478.07"/>
    <n v="10601.273620000004"/>
    <n v="0.52796913189137418"/>
    <s v="High"/>
    <n v="20079.343620000003"/>
    <n v="10601.273620000004"/>
  </r>
  <r>
    <x v="403"/>
    <x v="305"/>
    <d v="2024-10-08T00:00:00"/>
    <n v="0"/>
    <x v="7"/>
    <x v="2"/>
    <s v="United Kingdom"/>
    <s v="London"/>
    <s v="Corporate"/>
    <x v="1"/>
    <x v="14"/>
    <s v="Monitors"/>
    <s v="MON-9733"/>
    <n v="1108.1099999999999"/>
    <n v="2503.79"/>
    <n v="0.184"/>
    <n v="19"/>
    <n v="1.2595139471713099"/>
    <x v="403"/>
    <n v="21054.089999999997"/>
    <n v="17764.670160000009"/>
    <n v="0.45763105485025896"/>
    <s v="High"/>
    <n v="38818.760160000005"/>
    <n v="17764.670160000009"/>
  </r>
  <r>
    <x v="404"/>
    <x v="306"/>
    <d v="2024-11-08T00:00:00"/>
    <n v="30"/>
    <x v="7"/>
    <x v="2"/>
    <s v="United Kingdom"/>
    <s v="Manchester"/>
    <s v="Small Business"/>
    <x v="0"/>
    <x v="13"/>
    <s v="Components"/>
    <s v="CMP-1072"/>
    <n v="343.85"/>
    <n v="538.04"/>
    <n v="0.13900000000000001"/>
    <n v="5"/>
    <n v="0.56475207212447265"/>
    <x v="404"/>
    <n v="1719.25"/>
    <n v="597.01219999999967"/>
    <n v="0.25774810813732563"/>
    <s v="Medium"/>
    <n v="2316.2621999999997"/>
    <n v="597.01219999999967"/>
  </r>
  <r>
    <x v="405"/>
    <x v="307"/>
    <d v="2024-10-11T00:00:00"/>
    <n v="1"/>
    <x v="7"/>
    <x v="2"/>
    <s v="United Kingdom"/>
    <s v="Manchester"/>
    <s v="Non-Profit"/>
    <x v="0"/>
    <x v="9"/>
    <s v="Components"/>
    <s v="CMP-8127"/>
    <n v="1389.46"/>
    <n v="1784.7"/>
    <n v="0.14599999999999999"/>
    <n v="33"/>
    <n v="0.28445583176197947"/>
    <x v="405"/>
    <n v="45852.18"/>
    <n v="4444.2353999999978"/>
    <n v="8.8360877503011831E-2"/>
    <s v="Medium"/>
    <n v="50296.415399999998"/>
    <n v="4444.2353999999978"/>
  </r>
  <r>
    <x v="406"/>
    <x v="308"/>
    <d v="2024-11-09T00:00:00"/>
    <n v="29"/>
    <x v="7"/>
    <x v="3"/>
    <s v="China"/>
    <s v="Shanghai"/>
    <s v="Non-Profit"/>
    <x v="1"/>
    <x v="7"/>
    <s v="Printers"/>
    <s v="PRN-5666"/>
    <n v="391.64"/>
    <n v="504.76"/>
    <n v="4.0000000000000001E-3"/>
    <n v="13"/>
    <n v="0.28883668675314067"/>
    <x v="406"/>
    <n v="5091.32"/>
    <n v="1444.3124800000005"/>
    <n v="0.22099046793402319"/>
    <s v="Medium"/>
    <n v="6535.6324800000002"/>
    <n v="1444.3124800000005"/>
  </r>
  <r>
    <x v="407"/>
    <x v="309"/>
    <d v="2024-10-24T00:00:00"/>
    <n v="11"/>
    <x v="7"/>
    <x v="2"/>
    <s v="France"/>
    <s v="Paris"/>
    <s v="Education"/>
    <x v="0"/>
    <x v="7"/>
    <s v="Components"/>
    <s v="CMP-5006"/>
    <n v="816.7"/>
    <n v="1010.75"/>
    <n v="4.7E-2"/>
    <n v="43"/>
    <n v="0.23760254683482299"/>
    <x v="407"/>
    <n v="35118.1"/>
    <n v="6301.4242499999964"/>
    <n v="0.15213656757537472"/>
    <s v="Low"/>
    <n v="41419.524249999995"/>
    <n v="6301.4242499999964"/>
  </r>
  <r>
    <x v="408"/>
    <x v="310"/>
    <d v="2024-11-08T00:00:00"/>
    <n v="25"/>
    <x v="7"/>
    <x v="1"/>
    <s v="Nigeria"/>
    <s v="Lagos"/>
    <s v="Enterprise"/>
    <x v="1"/>
    <x v="5"/>
    <s v="Networking"/>
    <s v="NET-5268"/>
    <n v="859.35"/>
    <n v="1825.61"/>
    <n v="0.187"/>
    <n v="24"/>
    <n v="1.1244079827776807"/>
    <x v="408"/>
    <n v="20624.400000000001"/>
    <n v="14996.902319999994"/>
    <n v="0.42100937762681989"/>
    <s v="High"/>
    <n v="35621.302319999995"/>
    <n v="14996.902319999994"/>
  </r>
  <r>
    <x v="409"/>
    <x v="311"/>
    <d v="2024-11-08T00:00:00"/>
    <n v="23"/>
    <x v="7"/>
    <x v="3"/>
    <s v="Japan"/>
    <s v="Osaka"/>
    <s v="Small Business"/>
    <x v="3"/>
    <x v="13"/>
    <s v="Networking"/>
    <s v="NET-6387"/>
    <n v="82.14"/>
    <n v="166.04"/>
    <n v="0"/>
    <n v="10"/>
    <n v="1.021426832237643"/>
    <x v="409"/>
    <n v="821.4"/>
    <n v="838.99999999999989"/>
    <n v="0.50529992772825827"/>
    <s v="High"/>
    <n v="1660.3999999999999"/>
    <n v="838.99999999999989"/>
  </r>
  <r>
    <x v="410"/>
    <x v="312"/>
    <d v="2024-11-06T00:00:00"/>
    <n v="20"/>
    <x v="7"/>
    <x v="3"/>
    <s v="India"/>
    <s v="Bengaluru"/>
    <s v="Enterprise"/>
    <x v="0"/>
    <x v="5"/>
    <s v="Monitors"/>
    <s v="MON-4330"/>
    <n v="72.94"/>
    <n v="106.3"/>
    <n v="0.29499999999999998"/>
    <n v="8"/>
    <n v="0.45736221551960515"/>
    <x v="410"/>
    <n v="583.52"/>
    <n v="16.012000000000057"/>
    <n v="2.6707498515508857E-2"/>
    <s v="Medium"/>
    <n v="599.53200000000004"/>
    <n v="16.012000000000057"/>
  </r>
  <r>
    <x v="411"/>
    <x v="313"/>
    <d v="2024-11-06T00:00:00"/>
    <n v="18"/>
    <x v="7"/>
    <x v="0"/>
    <s v="USA"/>
    <s v="Chicago"/>
    <s v="Education"/>
    <x v="4"/>
    <x v="11"/>
    <s v="Monitors"/>
    <s v="MON-8129"/>
    <n v="942.02"/>
    <n v="1028.46"/>
    <n v="0"/>
    <n v="9"/>
    <n v="9.1760259867094171E-2"/>
    <x v="411"/>
    <n v="8478.18"/>
    <n v="777.95999999999913"/>
    <n v="8.4047994088248354E-2"/>
    <s v="Low"/>
    <n v="9256.14"/>
    <n v="777.95999999999913"/>
  </r>
  <r>
    <x v="412"/>
    <x v="314"/>
    <d v="2024-10-29T00:00:00"/>
    <n v="7"/>
    <x v="7"/>
    <x v="1"/>
    <s v="Nigeria"/>
    <s v="Port Harcourt"/>
    <s v="Enterprise"/>
    <x v="0"/>
    <x v="3"/>
    <s v="Monitors"/>
    <s v="MON-8758"/>
    <n v="1023.06"/>
    <n v="1355.61"/>
    <n v="0.153"/>
    <n v="23"/>
    <n v="0.3250542490176529"/>
    <x v="412"/>
    <n v="23530.379999999997"/>
    <n v="2878.2584100000022"/>
    <n v="0.10898927711888809"/>
    <s v="Medium"/>
    <n v="26408.63841"/>
    <n v="2878.2584100000022"/>
  </r>
  <r>
    <x v="413"/>
    <x v="314"/>
    <d v="2024-10-23T00:00:00"/>
    <n v="1"/>
    <x v="7"/>
    <x v="1"/>
    <s v="Nigeria"/>
    <s v="Port Harcourt"/>
    <s v="Education"/>
    <x v="1"/>
    <x v="13"/>
    <s v="Printers"/>
    <s v="PRN-9322"/>
    <n v="1084.3900000000001"/>
    <n v="1702.4922999999999"/>
    <n v="0.23699999999999999"/>
    <n v="31"/>
    <n v="0.56999999999999973"/>
    <x v="413"/>
    <n v="33616.090000000004"/>
    <n v="6652.9603718999933"/>
    <n v="0.16521274553180107"/>
    <s v="Medium"/>
    <n v="40269.050371899997"/>
    <n v="6652.9603718999933"/>
  </r>
  <r>
    <x v="414"/>
    <x v="315"/>
    <d v="2024-11-14T00:00:00"/>
    <n v="22"/>
    <x v="7"/>
    <x v="3"/>
    <s v="Japan"/>
    <s v="Osaka"/>
    <s v="Non-Profit"/>
    <x v="2"/>
    <x v="0"/>
    <s v="Phones"/>
    <s v="PHN-9789"/>
    <n v="1406.4"/>
    <n v="1564.76"/>
    <n v="0.185"/>
    <n v="17"/>
    <n v="0.11259954493742882"/>
    <x v="414"/>
    <n v="23908.800000000003"/>
    <n v="-2229.0502000000051"/>
    <n v="-0.10281715520536151"/>
    <s v="Low"/>
    <n v="21679.749799999998"/>
    <n v="-2229.0502000000051"/>
  </r>
  <r>
    <x v="415"/>
    <x v="316"/>
    <d v="2024-10-28T00:00:00"/>
    <n v="4"/>
    <x v="7"/>
    <x v="3"/>
    <s v="China"/>
    <s v="Shanghai"/>
    <s v="Small Business"/>
    <x v="0"/>
    <x v="12"/>
    <s v="Networking"/>
    <s v="NET-3728"/>
    <n v="1331.77"/>
    <n v="2606.11"/>
    <n v="0.02"/>
    <n v="6"/>
    <n v="0.95687693821005138"/>
    <x v="415"/>
    <n v="7990.62"/>
    <n v="7333.3067999999994"/>
    <n v="0.47855271665745619"/>
    <s v="High"/>
    <n v="15323.926799999999"/>
    <n v="7333.3067999999994"/>
  </r>
  <r>
    <x v="416"/>
    <x v="317"/>
    <d v="2024-11-05T00:00:00"/>
    <n v="11"/>
    <x v="7"/>
    <x v="0"/>
    <s v="USA"/>
    <s v="New York"/>
    <s v="Corporate"/>
    <x v="0"/>
    <x v="8"/>
    <s v="Components"/>
    <s v="CMP-9498"/>
    <n v="446.66"/>
    <n v="527.64"/>
    <n v="0.14499999999999999"/>
    <n v="15"/>
    <n v="0.18130121345094694"/>
    <x v="416"/>
    <n v="6699.9000000000005"/>
    <n v="67.082999999998719"/>
    <n v="9.9132804087137105E-3"/>
    <s v="Low"/>
    <n v="6766.9829999999993"/>
    <n v="67.082999999998719"/>
  </r>
  <r>
    <x v="417"/>
    <x v="317"/>
    <d v="2024-11-14T00:00:00"/>
    <n v="20"/>
    <x v="7"/>
    <x v="1"/>
    <s v="Kenya"/>
    <s v="Mombasa"/>
    <s v="Corporate"/>
    <x v="2"/>
    <x v="4"/>
    <s v="Printers"/>
    <s v="PRN-3143"/>
    <n v="1396.48"/>
    <n v="3204.5"/>
    <n v="0.14000000000000001"/>
    <n v="14"/>
    <n v="1.2946980980751603"/>
    <x v="417"/>
    <n v="19550.72"/>
    <n v="19031.46"/>
    <n v="0.4932707275742324"/>
    <s v="High"/>
    <n v="38582.18"/>
    <n v="19031.46"/>
  </r>
  <r>
    <x v="418"/>
    <x v="318"/>
    <d v="2024-11-20T00:00:00"/>
    <n v="24"/>
    <x v="7"/>
    <x v="3"/>
    <s v="Japan"/>
    <s v="Nagoya"/>
    <s v="Non-Profit"/>
    <x v="1"/>
    <x v="4"/>
    <s v="Monitors"/>
    <s v="MON-8939"/>
    <n v="317.25"/>
    <n v="758.92"/>
    <n v="5.2999999999999999E-2"/>
    <n v="9"/>
    <n v="1.3921828211189913"/>
    <x v="418"/>
    <n v="2855.25"/>
    <n v="3613.0251599999992"/>
    <n v="0.5585762928489888"/>
    <s v="High"/>
    <n v="6468.2751599999992"/>
    <n v="3613.0251599999992"/>
  </r>
  <r>
    <x v="419"/>
    <x v="319"/>
    <d v="2024-11-04T00:00:00"/>
    <n v="6"/>
    <x v="7"/>
    <x v="1"/>
    <s v="Kenya"/>
    <s v="Nairobi"/>
    <s v="Corporate"/>
    <x v="0"/>
    <x v="3"/>
    <s v="Printers"/>
    <s v="PRN-4893"/>
    <n v="805.81"/>
    <n v="1823.04"/>
    <n v="0"/>
    <n v="11"/>
    <n v="1.2623695412069844"/>
    <x v="419"/>
    <n v="8863.91"/>
    <n v="11189.529999999999"/>
    <n v="0.55798556257679477"/>
    <s v="High"/>
    <n v="20053.439999999999"/>
    <n v="11189.529999999999"/>
  </r>
  <r>
    <x v="420"/>
    <x v="320"/>
    <d v="2024-11-24T00:00:00"/>
    <n v="25"/>
    <x v="7"/>
    <x v="3"/>
    <s v="China"/>
    <s v="Shenzhen"/>
    <s v="Small Business"/>
    <x v="1"/>
    <x v="14"/>
    <s v="Components"/>
    <s v="CMP-4610"/>
    <n v="811.05"/>
    <n v="1217.71"/>
    <n v="7.1999999999999995E-2"/>
    <n v="5"/>
    <n v="0.50139942050428465"/>
    <x v="420"/>
    <n v="4055.25"/>
    <n v="1594.9244000000008"/>
    <n v="0.28227879125288602"/>
    <s v="Medium"/>
    <n v="5650.1744000000008"/>
    <n v="1594.9244000000008"/>
  </r>
  <r>
    <x v="421"/>
    <x v="321"/>
    <d v="2024-11-12T00:00:00"/>
    <n v="11"/>
    <x v="7"/>
    <x v="2"/>
    <s v="Germany"/>
    <s v="Frankfurt"/>
    <s v="Consumer"/>
    <x v="1"/>
    <x v="0"/>
    <s v="Printers"/>
    <s v="PRN-2409"/>
    <n v="599.84"/>
    <n v="1330.85"/>
    <n v="0.115"/>
    <n v="11"/>
    <n v="1.218674979994665"/>
    <x v="421"/>
    <n v="6598.2400000000007"/>
    <n v="6357.5847499999973"/>
    <n v="0.49071246892252063"/>
    <s v="High"/>
    <n v="12955.824749999998"/>
    <n v="6357.5847499999973"/>
  </r>
  <r>
    <x v="422"/>
    <x v="322"/>
    <d v="2024-11-29T00:00:00"/>
    <n v="27"/>
    <x v="7"/>
    <x v="0"/>
    <s v="Brazil"/>
    <s v="Brasília"/>
    <s v="Small Business"/>
    <x v="2"/>
    <x v="12"/>
    <s v="Networking"/>
    <s v="NET-8561"/>
    <n v="1363.51"/>
    <n v="1433.9"/>
    <n v="5.7000000000000002E-2"/>
    <n v="8"/>
    <n v="5.1624117168190993E-2"/>
    <x v="422"/>
    <n v="10908.08"/>
    <n v="-90.738400000000183"/>
    <n v="-8.3882346842037592E-3"/>
    <s v="Low"/>
    <n v="10817.3416"/>
    <n v="-90.738400000000183"/>
  </r>
  <r>
    <x v="423"/>
    <x v="322"/>
    <d v="2024-11-18T00:00:00"/>
    <n v="16"/>
    <x v="7"/>
    <x v="3"/>
    <s v="India"/>
    <s v="Mumbai"/>
    <s v="Small Business"/>
    <x v="0"/>
    <x v="5"/>
    <s v="Monitors"/>
    <s v="MON-5188"/>
    <n v="1233.58"/>
    <n v="1912.51"/>
    <n v="0.255"/>
    <n v="51"/>
    <n v="0.55037370904197547"/>
    <x v="423"/>
    <n v="62912.579999999994"/>
    <n v="9753.2374500000078"/>
    <n v="0.134220432553601"/>
    <s v="Medium"/>
    <n v="72665.817450000002"/>
    <n v="9753.2374500000078"/>
  </r>
  <r>
    <x v="424"/>
    <x v="323"/>
    <d v="2024-11-07T00:00:00"/>
    <n v="3"/>
    <x v="7"/>
    <x v="2"/>
    <s v="France"/>
    <s v="Lyon"/>
    <s v="Corporate"/>
    <x v="1"/>
    <x v="5"/>
    <s v="Monitors"/>
    <s v="MON-1118"/>
    <n v="740.68"/>
    <n v="1837.19"/>
    <n v="0.19700000000000001"/>
    <n v="17"/>
    <n v="1.4804098936112766"/>
    <x v="424"/>
    <n v="12591.56"/>
    <n v="12487.920689999997"/>
    <n v="0.4979337827748298"/>
    <s v="High"/>
    <n v="25079.480689999997"/>
    <n v="12487.920689999997"/>
  </r>
  <r>
    <x v="425"/>
    <x v="323"/>
    <d v="2024-11-05T00:00:00"/>
    <n v="1"/>
    <x v="7"/>
    <x v="2"/>
    <s v="United Kingdom"/>
    <s v="London"/>
    <s v="Corporate"/>
    <x v="3"/>
    <x v="3"/>
    <s v="Printers"/>
    <s v="PRN-2293"/>
    <n v="840.68"/>
    <n v="1493.53"/>
    <n v="0"/>
    <n v="27"/>
    <n v="0.77657372603130803"/>
    <x v="425"/>
    <n v="22698.359999999997"/>
    <n v="17626.95"/>
    <n v="0.43711877230454027"/>
    <s v="High"/>
    <n v="40325.31"/>
    <n v="17626.95"/>
  </r>
  <r>
    <x v="426"/>
    <x v="324"/>
    <d v="2024-11-08T00:00:00"/>
    <n v="3"/>
    <x v="7"/>
    <x v="0"/>
    <s v="Canada"/>
    <s v="Toronto"/>
    <s v="Education"/>
    <x v="4"/>
    <x v="5"/>
    <s v="Components"/>
    <s v="CMP-2015"/>
    <n v="1020.4"/>
    <n v="1184.71"/>
    <n v="0.106"/>
    <n v="16"/>
    <n v="0.16102508820070566"/>
    <x v="426"/>
    <n v="16326.4"/>
    <n v="619.69184000000132"/>
    <n v="3.6568422138328345E-2"/>
    <s v="Low"/>
    <n v="16946.091840000001"/>
    <n v="619.69184000000132"/>
  </r>
  <r>
    <x v="427"/>
    <x v="325"/>
    <d v="2024-11-22T00:00:00"/>
    <n v="16"/>
    <x v="7"/>
    <x v="0"/>
    <s v="Canada"/>
    <s v="Toronto"/>
    <s v="Non-Profit"/>
    <x v="0"/>
    <x v="2"/>
    <s v="Accessories"/>
    <s v="ACC-6348"/>
    <n v="1454.11"/>
    <n v="2629.75"/>
    <n v="0.29199999999999998"/>
    <n v="8"/>
    <n v="0.80849454305382684"/>
    <x v="427"/>
    <n v="11632.88"/>
    <n v="3262.0239999999994"/>
    <n v="0.21900268709351867"/>
    <s v="High"/>
    <n v="14894.903999999999"/>
    <n v="3262.0239999999994"/>
  </r>
  <r>
    <x v="428"/>
    <x v="326"/>
    <d v="2024-11-26T00:00:00"/>
    <n v="19"/>
    <x v="7"/>
    <x v="0"/>
    <s v="Brazil"/>
    <s v="Rio de Janeiro"/>
    <s v="Non-Profit"/>
    <x v="0"/>
    <x v="13"/>
    <s v="Printers"/>
    <s v="PRN-9960"/>
    <n v="55.35"/>
    <n v="128.68"/>
    <n v="0.128"/>
    <n v="10"/>
    <n v="1.3248419150858177"/>
    <x v="428"/>
    <n v="553.5"/>
    <n v="568.58960000000025"/>
    <n v="0.50672388372550647"/>
    <s v="High"/>
    <n v="1122.0896000000002"/>
    <n v="568.58960000000025"/>
  </r>
  <r>
    <x v="429"/>
    <x v="327"/>
    <d v="2024-11-08T00:00:00"/>
    <n v="0"/>
    <x v="7"/>
    <x v="1"/>
    <s v="Kenya"/>
    <s v="Nakuru"/>
    <s v="Enterprise"/>
    <x v="4"/>
    <x v="3"/>
    <s v="Networking"/>
    <s v="NET-2628"/>
    <n v="803.28"/>
    <n v="1009"/>
    <n v="0.11"/>
    <n v="4"/>
    <n v="0.25609999004083261"/>
    <x v="429"/>
    <n v="3213.12"/>
    <n v="378.92000000000007"/>
    <n v="0.10548880302001093"/>
    <s v="Medium"/>
    <n v="3592.04"/>
    <n v="378.92000000000007"/>
  </r>
  <r>
    <x v="430"/>
    <x v="328"/>
    <d v="2024-11-24T00:00:00"/>
    <n v="13"/>
    <x v="7"/>
    <x v="2"/>
    <s v="United Kingdom"/>
    <s v="London"/>
    <s v="Corporate"/>
    <x v="3"/>
    <x v="14"/>
    <s v="Networking"/>
    <s v="NET-2932"/>
    <n v="164.53"/>
    <n v="327.72"/>
    <n v="6.7000000000000004E-2"/>
    <n v="14"/>
    <n v="0.99185558864644763"/>
    <x v="430"/>
    <n v="2303.42"/>
    <n v="1977.25864"/>
    <n v="0.46190307805960412"/>
    <s v="High"/>
    <n v="4280.6786400000001"/>
    <n v="1977.25864"/>
  </r>
  <r>
    <x v="431"/>
    <x v="329"/>
    <d v="2024-11-21T00:00:00"/>
    <n v="9"/>
    <x v="7"/>
    <x v="3"/>
    <s v="India"/>
    <s v="Mumbai"/>
    <s v="Corporate"/>
    <x v="2"/>
    <x v="4"/>
    <s v="Laptops"/>
    <s v="LAP-5078"/>
    <n v="903.41"/>
    <n v="1860.41"/>
    <n v="0.108"/>
    <n v="5"/>
    <n v="1.0593196887349046"/>
    <x v="431"/>
    <n v="4517.05"/>
    <n v="3780.3786000000009"/>
    <n v="0.455608451996803"/>
    <s v="High"/>
    <n v="8297.4286000000011"/>
    <n v="3780.3786000000009"/>
  </r>
  <r>
    <x v="432"/>
    <x v="330"/>
    <d v="2024-11-28T00:00:00"/>
    <n v="11"/>
    <x v="7"/>
    <x v="0"/>
    <s v="Canada"/>
    <s v="Toronto"/>
    <s v="Consumer"/>
    <x v="0"/>
    <x v="1"/>
    <s v="Printers"/>
    <s v="PRN-1371"/>
    <n v="1008.16"/>
    <n v="2077.5"/>
    <n v="7.3999999999999996E-2"/>
    <n v="15"/>
    <n v="1.0606848119346137"/>
    <x v="432"/>
    <n v="15122.4"/>
    <n v="13734.075000000003"/>
    <n v="0.47594430712691005"/>
    <s v="High"/>
    <n v="28856.475000000002"/>
    <n v="13734.075000000003"/>
  </r>
  <r>
    <x v="433"/>
    <x v="331"/>
    <d v="2024-12-15T00:00:00"/>
    <n v="25"/>
    <x v="7"/>
    <x v="2"/>
    <s v="France"/>
    <s v="Paris"/>
    <s v="Corporate"/>
    <x v="1"/>
    <x v="6"/>
    <s v="Printers"/>
    <s v="PRN-4911"/>
    <n v="1203.58"/>
    <n v="1856.16"/>
    <n v="0.129"/>
    <n v="22"/>
    <n v="0.5421991060004322"/>
    <x v="433"/>
    <n v="26478.76"/>
    <n v="9088.9779200000085"/>
    <n v="0.25553994860295032"/>
    <s v="Medium"/>
    <n v="35567.737920000007"/>
    <n v="9088.9779200000085"/>
  </r>
  <r>
    <x v="434"/>
    <x v="332"/>
    <d v="2024-12-21T00:00:00"/>
    <n v="30"/>
    <x v="7"/>
    <x v="2"/>
    <s v="France"/>
    <s v="Marseille"/>
    <s v="Small Business"/>
    <x v="2"/>
    <x v="12"/>
    <s v="Monitors"/>
    <s v="MON-7943"/>
    <n v="1122.68"/>
    <n v="1997.19"/>
    <n v="0.186"/>
    <n v="3"/>
    <n v="0.77894858730893923"/>
    <x v="434"/>
    <n v="3368.04"/>
    <n v="1509.0979800000005"/>
    <n v="0.30942285951073306"/>
    <s v="High"/>
    <n v="4877.1379800000004"/>
    <n v="1509.0979800000005"/>
  </r>
  <r>
    <x v="435"/>
    <x v="333"/>
    <d v="2024-12-15T00:00:00"/>
    <n v="23"/>
    <x v="7"/>
    <x v="1"/>
    <s v="Kenya"/>
    <s v="Mombasa"/>
    <s v="Non-Profit"/>
    <x v="0"/>
    <x v="11"/>
    <s v="Components"/>
    <s v="CMP-3938"/>
    <n v="1335.76"/>
    <n v="2665.91"/>
    <n v="0.21099999999999999"/>
    <n v="40"/>
    <n v="0.99580014373839598"/>
    <x v="435"/>
    <n v="53430.400000000001"/>
    <n v="30705.719600000004"/>
    <n v="0.36495288522909253"/>
    <s v="High"/>
    <n v="84136.119600000005"/>
    <n v="30705.719600000004"/>
  </r>
  <r>
    <x v="436"/>
    <x v="334"/>
    <d v="2024-12-07T00:00:00"/>
    <n v="12"/>
    <x v="7"/>
    <x v="3"/>
    <s v="China"/>
    <s v="Shanghai"/>
    <s v="Corporate"/>
    <x v="0"/>
    <x v="1"/>
    <s v="Accessories"/>
    <s v="ACC-7047"/>
    <n v="769.9"/>
    <n v="814.36"/>
    <n v="0"/>
    <n v="5"/>
    <n v="5.7747759449279179E-2"/>
    <x v="436"/>
    <n v="3849.5"/>
    <n v="222.30000000000018"/>
    <n v="5.4595019401738831E-2"/>
    <s v="Low"/>
    <n v="4071.8"/>
    <n v="222.30000000000018"/>
  </r>
  <r>
    <x v="437"/>
    <x v="335"/>
    <d v="2024-12-24T00:00:00"/>
    <n v="27"/>
    <x v="7"/>
    <x v="1"/>
    <s v="Kenya"/>
    <s v="Mombasa"/>
    <s v="Corporate"/>
    <x v="0"/>
    <x v="0"/>
    <s v="Printers"/>
    <s v="PRN-5569"/>
    <n v="143.33000000000001"/>
    <n v="233.51"/>
    <n v="0.16300000000000001"/>
    <n v="14"/>
    <n v="0.62917742273076094"/>
    <x v="437"/>
    <n v="2006.6200000000001"/>
    <n v="729.65017999999986"/>
    <n v="0.26665867476580835"/>
    <s v="Medium"/>
    <n v="2736.27018"/>
    <n v="729.65017999999986"/>
  </r>
  <r>
    <x v="438"/>
    <x v="336"/>
    <d v="2024-12-10T00:00:00"/>
    <n v="10"/>
    <x v="7"/>
    <x v="3"/>
    <s v="India"/>
    <s v="Hyderabad"/>
    <s v="Small Business"/>
    <x v="3"/>
    <x v="7"/>
    <s v="Accessories"/>
    <s v="ACC-1075"/>
    <n v="851.49"/>
    <n v="901.79"/>
    <n v="0.245"/>
    <n v="16"/>
    <n v="5.9072919235692675E-2"/>
    <x v="438"/>
    <n v="13623.84"/>
    <n v="-2730.2168000000001"/>
    <n v="-0.25062522816100341"/>
    <s v="Low"/>
    <n v="10893.6232"/>
    <n v="-2730.2168000000001"/>
  </r>
  <r>
    <x v="439"/>
    <x v="336"/>
    <d v="2024-12-30T00:00:00"/>
    <n v="30"/>
    <x v="7"/>
    <x v="2"/>
    <s v="France"/>
    <s v="Marseille"/>
    <s v="Consumer"/>
    <x v="4"/>
    <x v="7"/>
    <s v="Printers"/>
    <s v="PRN-4170"/>
    <n v="117.64"/>
    <n v="175.67"/>
    <n v="0"/>
    <n v="10"/>
    <n v="0.49328459707582445"/>
    <x v="439"/>
    <n v="1176.4000000000001"/>
    <n v="580.29999999999973"/>
    <n v="0.33033528775545046"/>
    <s v="Medium"/>
    <n v="1756.6999999999998"/>
    <n v="580.29999999999973"/>
  </r>
  <r>
    <x v="440"/>
    <x v="336"/>
    <d v="2024-12-19T00:00:00"/>
    <n v="19"/>
    <x v="7"/>
    <x v="1"/>
    <s v="Kenya"/>
    <s v="Kisumu"/>
    <s v="Corporate"/>
    <x v="1"/>
    <x v="9"/>
    <s v="Phones"/>
    <s v="PHN-1919"/>
    <n v="1195.98"/>
    <n v="1841.9"/>
    <n v="5.5E-2"/>
    <n v="19"/>
    <n v="0.54007592100202351"/>
    <x v="440"/>
    <n v="22723.62"/>
    <n v="10347.694500000001"/>
    <n v="0.31289032977506842"/>
    <s v="Medium"/>
    <n v="33071.3145"/>
    <n v="10347.694500000001"/>
  </r>
  <r>
    <x v="441"/>
    <x v="337"/>
    <d v="2024-12-12T00:00:00"/>
    <n v="8"/>
    <x v="7"/>
    <x v="2"/>
    <s v="Germany"/>
    <s v="Frankfurt"/>
    <s v="Enterprise"/>
    <x v="4"/>
    <x v="0"/>
    <s v="Printers"/>
    <s v="PRN-5492"/>
    <n v="72.06"/>
    <n v="122.74"/>
    <n v="0.23799999999999999"/>
    <n v="8"/>
    <n v="0.7033028032195392"/>
    <x v="441"/>
    <n v="576.48"/>
    <n v="171.74303999999995"/>
    <n v="0.22953455162246802"/>
    <s v="Medium"/>
    <n v="748.22303999999997"/>
    <n v="171.74303999999995"/>
  </r>
  <r>
    <x v="442"/>
    <x v="338"/>
    <d v="2024-12-28T00:00:00"/>
    <n v="23"/>
    <x v="7"/>
    <x v="0"/>
    <s v="Canada"/>
    <s v="Vancouver"/>
    <s v="Corporate"/>
    <x v="2"/>
    <x v="7"/>
    <s v="Accessories"/>
    <s v="ACC-2386"/>
    <n v="107.03"/>
    <n v="242.29"/>
    <n v="0.18"/>
    <n v="30"/>
    <n v="1.2637578249089039"/>
    <x v="442"/>
    <n v="3210.9"/>
    <n v="2749.4340000000007"/>
    <n v="0.46128857879440988"/>
    <s v="High"/>
    <n v="5960.3340000000007"/>
    <n v="2749.4340000000007"/>
  </r>
  <r>
    <x v="443"/>
    <x v="339"/>
    <d v="2024-12-26T00:00:00"/>
    <n v="19"/>
    <x v="7"/>
    <x v="2"/>
    <s v="United Kingdom"/>
    <s v="London"/>
    <s v="Enterprise"/>
    <x v="1"/>
    <x v="2"/>
    <s v="Networking"/>
    <s v="NET-4491"/>
    <n v="1035.24"/>
    <n v="2383.41"/>
    <n v="0.17"/>
    <n v="15"/>
    <n v="1.3022777326996637"/>
    <x v="443"/>
    <n v="15528.6"/>
    <n v="14144.854499999992"/>
    <n v="0.47668378145860962"/>
    <s v="High"/>
    <n v="29673.454499999993"/>
    <n v="14144.854499999992"/>
  </r>
  <r>
    <x v="444"/>
    <x v="340"/>
    <d v="2024-12-08T00:00:00"/>
    <n v="0"/>
    <x v="7"/>
    <x v="2"/>
    <s v="France"/>
    <s v="Lyon"/>
    <s v="Enterprise"/>
    <x v="3"/>
    <x v="4"/>
    <s v="Components"/>
    <s v="CMP-2335"/>
    <n v="257.44"/>
    <n v="290.33"/>
    <n v="9.1999999999999998E-2"/>
    <n v="23"/>
    <n v="0.12775792417650708"/>
    <x v="444"/>
    <n v="5921.12"/>
    <n v="142.1317199999994"/>
    <n v="2.3441500792581216E-2"/>
    <s v="Low"/>
    <n v="6063.2517199999993"/>
    <n v="142.1317199999994"/>
  </r>
  <r>
    <x v="445"/>
    <x v="341"/>
    <d v="2025-01-08T00:00:00"/>
    <n v="29"/>
    <x v="7"/>
    <x v="2"/>
    <s v="France"/>
    <s v="Marseille"/>
    <s v="Small Business"/>
    <x v="3"/>
    <x v="10"/>
    <s v="Printers"/>
    <s v="PRN-6791"/>
    <n v="891.08"/>
    <n v="1040.0999999999999"/>
    <n v="0.109"/>
    <n v="28"/>
    <n v="0.16723526507159836"/>
    <x v="445"/>
    <n v="24950.240000000002"/>
    <n v="998.17479999999341"/>
    <n v="3.8467660074556598E-2"/>
    <s v="Low"/>
    <n v="25948.414799999995"/>
    <n v="998.17479999999341"/>
  </r>
  <r>
    <x v="446"/>
    <x v="341"/>
    <d v="2024-12-19T00:00:00"/>
    <n v="9"/>
    <x v="7"/>
    <x v="1"/>
    <s v="Nigeria"/>
    <s v="Lagos"/>
    <s v="Corporate"/>
    <x v="3"/>
    <x v="5"/>
    <s v="Monitors"/>
    <s v="MON-4789"/>
    <n v="488.68"/>
    <n v="984.36"/>
    <n v="5.8999999999999997E-2"/>
    <n v="14"/>
    <n v="1.01432430220185"/>
    <x v="446"/>
    <n v="6841.52"/>
    <n v="6126.4386400000003"/>
    <n v="0.47242891576649876"/>
    <s v="High"/>
    <n v="12967.958640000001"/>
    <n v="6126.4386400000003"/>
  </r>
  <r>
    <x v="447"/>
    <x v="342"/>
    <d v="2024-12-20T00:00:00"/>
    <n v="8"/>
    <x v="7"/>
    <x v="3"/>
    <s v="Japan"/>
    <s v="Tokyo"/>
    <s v="Corporate"/>
    <x v="3"/>
    <x v="0"/>
    <s v="Laptops"/>
    <s v="LAP-8347"/>
    <n v="1202.47"/>
    <n v="1444.72"/>
    <n v="0.24099999999999999"/>
    <n v="17"/>
    <n v="0.20146032749257778"/>
    <x v="447"/>
    <n v="20441.990000000002"/>
    <n v="-1800.7678400000004"/>
    <n v="-9.6601382921343834E-2"/>
    <s v="Low"/>
    <n v="18641.222160000001"/>
    <n v="-1800.7678400000004"/>
  </r>
  <r>
    <x v="448"/>
    <x v="343"/>
    <d v="2025-01-12T00:00:00"/>
    <n v="29"/>
    <x v="7"/>
    <x v="3"/>
    <s v="China"/>
    <s v="Shenzhen"/>
    <s v="Education"/>
    <x v="1"/>
    <x v="13"/>
    <s v="Components"/>
    <s v="CMP-3720"/>
    <n v="1412.15"/>
    <n v="1631.04"/>
    <n v="8.9999999999999993E-3"/>
    <n v="6"/>
    <n v="0.15500477994547313"/>
    <x v="448"/>
    <n v="8472.9000000000015"/>
    <n v="1225.2638399999978"/>
    <n v="0.12633977526203535"/>
    <s v="Low"/>
    <n v="9698.1638399999993"/>
    <n v="1225.2638399999978"/>
  </r>
  <r>
    <x v="449"/>
    <x v="344"/>
    <d v="2024-12-20T00:00:00"/>
    <n v="5"/>
    <x v="7"/>
    <x v="3"/>
    <s v="China"/>
    <s v="Shenzhen"/>
    <s v="Small Business"/>
    <x v="2"/>
    <x v="13"/>
    <s v="Networking"/>
    <s v="NET-1846"/>
    <n v="717.55"/>
    <n v="1305.9409999999998"/>
    <n v="4.7E-2"/>
    <n v="18"/>
    <n v="0.81999999999999984"/>
    <x v="449"/>
    <n v="12915.9"/>
    <n v="9486.2119139999941"/>
    <n v="0.42345167948525753"/>
    <s v="High"/>
    <n v="22402.111913999994"/>
    <n v="9486.2119139999941"/>
  </r>
  <r>
    <x v="450"/>
    <x v="345"/>
    <d v="2024-12-18T00:00:00"/>
    <n v="1"/>
    <x v="7"/>
    <x v="2"/>
    <s v="Germany"/>
    <s v="Munich"/>
    <s v="Education"/>
    <x v="3"/>
    <x v="9"/>
    <s v="Accessories"/>
    <s v="ACC-5780"/>
    <n v="346.82"/>
    <n v="701.95"/>
    <n v="0.14699999999999999"/>
    <n v="8"/>
    <n v="1.0239605559079639"/>
    <x v="450"/>
    <n v="2774.56"/>
    <n v="2015.5468000000005"/>
    <n v="0.42077283120284509"/>
    <s v="High"/>
    <n v="4790.1068000000005"/>
    <n v="2015.5468000000005"/>
  </r>
  <r>
    <x v="451"/>
    <x v="345"/>
    <d v="2025-01-16T00:00:00"/>
    <n v="30"/>
    <x v="7"/>
    <x v="2"/>
    <s v="United Kingdom"/>
    <s v="Manchester"/>
    <s v="Corporate"/>
    <x v="3"/>
    <x v="2"/>
    <s v="Monitors"/>
    <s v="MON-4215"/>
    <n v="722.87"/>
    <n v="1619.2288000000001"/>
    <n v="0.10199999999999999"/>
    <n v="28"/>
    <n v="1.2400000000000002"/>
    <x v="451"/>
    <n v="20240.36"/>
    <n v="20473.5289472"/>
    <n v="0.50286350620426346"/>
    <s v="High"/>
    <n v="40713.888947200001"/>
    <n v="20473.5289472"/>
  </r>
  <r>
    <x v="452"/>
    <x v="346"/>
    <d v="2025-01-14T00:00:00"/>
    <n v="25"/>
    <x v="7"/>
    <x v="3"/>
    <s v="India"/>
    <s v="Delhi"/>
    <s v="Small Business"/>
    <x v="3"/>
    <x v="3"/>
    <s v="Printers"/>
    <s v="PRN-9378"/>
    <n v="1361.34"/>
    <n v="1737.9"/>
    <n v="7.6999999999999999E-2"/>
    <n v="14"/>
    <n v="0.27660981092159209"/>
    <x v="452"/>
    <n v="19058.759999999998"/>
    <n v="3398.3838000000032"/>
    <n v="0.15132751654731813"/>
    <s v="Medium"/>
    <n v="22457.143800000002"/>
    <n v="3398.3838000000032"/>
  </r>
  <r>
    <x v="453"/>
    <x v="347"/>
    <d v="2024-12-26T00:00:00"/>
    <n v="5"/>
    <x v="7"/>
    <x v="0"/>
    <s v="USA"/>
    <s v="San Francisco"/>
    <s v="Consumer"/>
    <x v="4"/>
    <x v="3"/>
    <s v="Printers"/>
    <s v="PRN-4788"/>
    <n v="699.57"/>
    <n v="1140.2991"/>
    <n v="0.192"/>
    <n v="26"/>
    <n v="0.62999999999999978"/>
    <x v="453"/>
    <n v="18188.82"/>
    <n v="5766.5834928000004"/>
    <n v="0.24072161817408735"/>
    <s v="Medium"/>
    <n v="23955.4034928"/>
    <n v="5766.5834928000004"/>
  </r>
  <r>
    <x v="454"/>
    <x v="348"/>
    <d v="2025-01-11T00:00:00"/>
    <n v="19"/>
    <x v="7"/>
    <x v="2"/>
    <s v="Germany"/>
    <s v="Berlin"/>
    <s v="Education"/>
    <x v="3"/>
    <x v="10"/>
    <s v="Phones"/>
    <s v="PHN-8057"/>
    <n v="501.81"/>
    <n v="921.62"/>
    <n v="0.01"/>
    <n v="9"/>
    <n v="0.83659153863015878"/>
    <x v="454"/>
    <n v="4516.29"/>
    <n v="3695.3442000000005"/>
    <n v="0.45001325071202031"/>
    <s v="High"/>
    <n v="8211.6342000000004"/>
    <n v="3695.3442000000005"/>
  </r>
  <r>
    <x v="455"/>
    <x v="349"/>
    <d v="2025-01-13T00:00:00"/>
    <n v="20"/>
    <x v="7"/>
    <x v="3"/>
    <s v="India"/>
    <s v="Bengaluru"/>
    <s v="Corporate"/>
    <x v="4"/>
    <x v="2"/>
    <s v="Networking"/>
    <s v="NET-9832"/>
    <n v="126.15"/>
    <n v="284.23"/>
    <n v="0.113"/>
    <n v="22"/>
    <n v="1.2531113753468095"/>
    <x v="455"/>
    <n v="2775.3"/>
    <n v="2771.1642200000006"/>
    <n v="0.49962716968541088"/>
    <s v="High"/>
    <n v="5546.4642200000008"/>
    <n v="2771.1642200000006"/>
  </r>
  <r>
    <x v="456"/>
    <x v="350"/>
    <d v="2025-01-14T00:00:00"/>
    <n v="18"/>
    <x v="7"/>
    <x v="3"/>
    <s v="India"/>
    <s v="Bengaluru"/>
    <s v="Small Business"/>
    <x v="4"/>
    <x v="14"/>
    <s v="Monitors"/>
    <s v="MON-8629"/>
    <n v="586.07000000000005"/>
    <n v="845.97"/>
    <n v="0.14699999999999999"/>
    <n v="4"/>
    <n v="0.44346238503932972"/>
    <x v="456"/>
    <n v="2344.2800000000002"/>
    <n v="542.16963999999962"/>
    <n v="0.18783270370862928"/>
    <s v="Medium"/>
    <n v="2886.4496399999998"/>
    <n v="542.16963999999962"/>
  </r>
  <r>
    <x v="457"/>
    <x v="350"/>
    <d v="2025-01-15T00:00:00"/>
    <n v="19"/>
    <x v="7"/>
    <x v="3"/>
    <s v="India"/>
    <s v="Delhi"/>
    <s v="Non-Profit"/>
    <x v="0"/>
    <x v="6"/>
    <s v="Components"/>
    <s v="CMP-6919"/>
    <n v="495.59"/>
    <n v="631.78"/>
    <n v="8.6999999999999994E-2"/>
    <n v="17"/>
    <n v="0.27480376924473859"/>
    <x v="457"/>
    <n v="8425.0299999999988"/>
    <n v="1380.8273800000024"/>
    <n v="0.14081658813601899"/>
    <s v="Medium"/>
    <n v="9805.8573800000013"/>
    <n v="1380.8273800000024"/>
  </r>
  <r>
    <x v="458"/>
    <x v="350"/>
    <d v="2024-12-29T00:00:00"/>
    <n v="2"/>
    <x v="7"/>
    <x v="0"/>
    <s v="Canada"/>
    <s v="Vancouver"/>
    <s v="Enterprise"/>
    <x v="4"/>
    <x v="11"/>
    <s v="Accessories"/>
    <s v="ACC-8620"/>
    <n v="1146.72"/>
    <n v="2074.34"/>
    <n v="0.111"/>
    <n v="8"/>
    <n v="0.80893330542765463"/>
    <x v="458"/>
    <n v="9173.76"/>
    <n v="5578.9460800000015"/>
    <n v="0.37816425337472737"/>
    <s v="High"/>
    <n v="14752.706080000002"/>
    <n v="5578.9460800000015"/>
  </r>
  <r>
    <x v="459"/>
    <x v="350"/>
    <d v="2025-01-02T00:00:00"/>
    <n v="6"/>
    <x v="7"/>
    <x v="2"/>
    <s v="Germany"/>
    <s v="Frankfurt"/>
    <s v="Education"/>
    <x v="2"/>
    <x v="7"/>
    <s v="Laptops"/>
    <s v="LAP-8214"/>
    <n v="1391.99"/>
    <n v="3469.7"/>
    <n v="0.184"/>
    <n v="23"/>
    <n v="1.4926184814546082"/>
    <x v="459"/>
    <n v="32015.77"/>
    <n v="33103.559599999993"/>
    <n v="0.50835227886006973"/>
    <s v="High"/>
    <n v="65119.329599999997"/>
    <n v="33103.559599999993"/>
  </r>
  <r>
    <x v="460"/>
    <x v="351"/>
    <d v="2025-01-08T00:00:00"/>
    <n v="11"/>
    <x v="7"/>
    <x v="3"/>
    <s v="China"/>
    <s v="Shenzhen"/>
    <s v="Enterprise"/>
    <x v="1"/>
    <x v="10"/>
    <s v="Laptops"/>
    <s v="LAP-8825"/>
    <n v="1201.31"/>
    <n v="2764.65"/>
    <n v="0"/>
    <n v="21"/>
    <n v="1.301362679075343"/>
    <x v="460"/>
    <n v="25227.51"/>
    <n v="32830.14"/>
    <n v="0.56547483406579491"/>
    <s v="High"/>
    <n v="58057.65"/>
    <n v="32830.14"/>
  </r>
  <r>
    <x v="461"/>
    <x v="352"/>
    <d v="2025-01-12T00:00:00"/>
    <n v="14"/>
    <x v="7"/>
    <x v="2"/>
    <s v="United Kingdom"/>
    <s v="Manchester"/>
    <s v="Corporate"/>
    <x v="2"/>
    <x v="0"/>
    <s v="Monitors"/>
    <s v="MON-6310"/>
    <n v="1399.72"/>
    <n v="3149.21"/>
    <n v="0.185"/>
    <n v="12"/>
    <n v="1.2498856914239991"/>
    <x v="461"/>
    <n v="16796.64"/>
    <n v="14002.633800000003"/>
    <n v="0.45464168703873797"/>
    <s v="High"/>
    <n v="30799.273800000003"/>
    <n v="14002.633800000003"/>
  </r>
  <r>
    <x v="462"/>
    <x v="353"/>
    <d v="2025-01-23T00:00:00"/>
    <n v="20"/>
    <x v="8"/>
    <x v="3"/>
    <s v="Japan"/>
    <s v="Osaka"/>
    <s v="Corporate"/>
    <x v="0"/>
    <x v="7"/>
    <s v="Phones"/>
    <s v="PHN-7019"/>
    <n v="908.6"/>
    <n v="1680.91"/>
    <n v="0.25"/>
    <n v="20"/>
    <n v="0.85000000000000009"/>
    <x v="462"/>
    <n v="18172"/>
    <n v="7041.6500000000015"/>
    <n v="0.27927927927927931"/>
    <s v="High"/>
    <n v="25213.65"/>
    <n v="7041.6500000000015"/>
  </r>
  <r>
    <x v="463"/>
    <x v="354"/>
    <d v="2025-01-05T00:00:00"/>
    <n v="1"/>
    <x v="8"/>
    <x v="3"/>
    <s v="India"/>
    <s v="Delhi"/>
    <s v="Education"/>
    <x v="3"/>
    <x v="12"/>
    <s v="Components"/>
    <s v="CMP-1156"/>
    <n v="1428.33"/>
    <n v="3028.05"/>
    <n v="0"/>
    <n v="11"/>
    <n v="1.1199932788641282"/>
    <x v="463"/>
    <n v="15711.63"/>
    <n v="17596.920000000006"/>
    <n v="0.52830039134096207"/>
    <s v="High"/>
    <n v="33308.550000000003"/>
    <n v="17596.920000000006"/>
  </r>
  <r>
    <x v="464"/>
    <x v="355"/>
    <d v="2025-01-20T00:00:00"/>
    <n v="13"/>
    <x v="8"/>
    <x v="1"/>
    <s v="South Africa"/>
    <s v="Cape Town"/>
    <s v="Corporate"/>
    <x v="2"/>
    <x v="10"/>
    <s v="Networking"/>
    <s v="NET-7901"/>
    <n v="432.13"/>
    <n v="1034.6600000000001"/>
    <n v="9.1999999999999998E-2"/>
    <n v="7"/>
    <n v="1.3943257815935022"/>
    <x v="464"/>
    <n v="3024.91"/>
    <n v="3551.3889600000011"/>
    <n v="0.54002851476204794"/>
    <s v="High"/>
    <n v="6576.298960000001"/>
    <n v="3551.3889600000011"/>
  </r>
  <r>
    <x v="465"/>
    <x v="356"/>
    <d v="2025-01-15T00:00:00"/>
    <n v="6"/>
    <x v="8"/>
    <x v="3"/>
    <s v="China"/>
    <s v="Beijing"/>
    <s v="Education"/>
    <x v="1"/>
    <x v="11"/>
    <s v="Phones"/>
    <s v="PHN-2875"/>
    <n v="304.77999999999997"/>
    <n v="537.27"/>
    <n v="0.187"/>
    <n v="8"/>
    <n v="0.76281252050659498"/>
    <x v="465"/>
    <n v="2438.2399999999998"/>
    <n v="1056.16408"/>
    <n v="0.3022444044307549"/>
    <s v="High"/>
    <n v="3494.4040799999998"/>
    <n v="1056.16408"/>
  </r>
  <r>
    <x v="466"/>
    <x v="357"/>
    <d v="2025-02-06T00:00:00"/>
    <n v="27"/>
    <x v="8"/>
    <x v="0"/>
    <s v="Brazil"/>
    <s v="Brasília"/>
    <s v="Non-Profit"/>
    <x v="3"/>
    <x v="0"/>
    <s v="Laptops"/>
    <s v="LAP-7353"/>
    <n v="725.62"/>
    <n v="1559.19"/>
    <n v="0.19"/>
    <n v="12"/>
    <n v="1.1487693282985585"/>
    <x v="466"/>
    <n v="8707.44"/>
    <n v="6447.8868000000002"/>
    <n v="0.42545349797405885"/>
    <s v="High"/>
    <n v="15155.326800000001"/>
    <n v="6447.8868000000002"/>
  </r>
  <r>
    <x v="467"/>
    <x v="358"/>
    <d v="2025-01-23T00:00:00"/>
    <n v="12"/>
    <x v="8"/>
    <x v="0"/>
    <s v="USA"/>
    <s v="Austin"/>
    <s v="Consumer"/>
    <x v="0"/>
    <x v="4"/>
    <s v="Phones"/>
    <s v="PHN-6307"/>
    <n v="100.69"/>
    <n v="226.14"/>
    <n v="6.5000000000000002E-2"/>
    <n v="12"/>
    <n v="1.2459032674545634"/>
    <x v="467"/>
    <n v="1208.28"/>
    <n v="1329.0108000000002"/>
    <n v="0.52379128162999689"/>
    <s v="High"/>
    <n v="2537.2908000000002"/>
    <n v="1329.0108000000002"/>
  </r>
  <r>
    <x v="468"/>
    <x v="359"/>
    <d v="2025-02-08T00:00:00"/>
    <n v="26"/>
    <x v="8"/>
    <x v="2"/>
    <s v="France"/>
    <s v="Paris"/>
    <s v="Non-Profit"/>
    <x v="2"/>
    <x v="14"/>
    <s v="Monitors"/>
    <s v="MON-1593"/>
    <n v="594.74"/>
    <n v="1020.69"/>
    <n v="0.21099999999999999"/>
    <n v="6"/>
    <n v="0.71619531223728017"/>
    <x v="468"/>
    <n v="3568.44"/>
    <n v="1263.5064600000001"/>
    <n v="0.26149016146176424"/>
    <s v="Medium"/>
    <n v="4831.9464600000001"/>
    <n v="1263.5064600000001"/>
  </r>
  <r>
    <x v="469"/>
    <x v="360"/>
    <d v="2025-01-24T00:00:00"/>
    <n v="7"/>
    <x v="8"/>
    <x v="0"/>
    <s v="USA"/>
    <s v="Austin"/>
    <s v="Enterprise"/>
    <x v="1"/>
    <x v="6"/>
    <s v="Accessories"/>
    <s v="ACC-4511"/>
    <n v="142.09"/>
    <n v="218.5"/>
    <n v="0.11899999999999999"/>
    <n v="11"/>
    <n v="0.5377577591667253"/>
    <x v="469"/>
    <n v="1562.99"/>
    <n v="554.49349999999981"/>
    <n v="0.26186437816398561"/>
    <s v="Medium"/>
    <n v="2117.4834999999998"/>
    <n v="554.49349999999981"/>
  </r>
  <r>
    <x v="470"/>
    <x v="361"/>
    <d v="2025-02-03T00:00:00"/>
    <n v="14"/>
    <x v="8"/>
    <x v="0"/>
    <s v="Brazil"/>
    <s v="Brasília"/>
    <s v="Enterprise"/>
    <x v="4"/>
    <x v="7"/>
    <s v="Components"/>
    <s v="CMP-8658"/>
    <n v="974.11"/>
    <n v="2035.8898999999999"/>
    <n v="0.111"/>
    <n v="10"/>
    <n v="1.0900000000000001"/>
    <x v="470"/>
    <n v="9741.1"/>
    <n v="8357.9612109999962"/>
    <n v="0.46178976431773766"/>
    <s v="High"/>
    <n v="18099.061210999997"/>
    <n v="8357.9612109999962"/>
  </r>
  <r>
    <x v="471"/>
    <x v="362"/>
    <d v="2025-02-16T00:00:00"/>
    <n v="26"/>
    <x v="8"/>
    <x v="2"/>
    <s v="France"/>
    <s v="Lyon"/>
    <s v="Corporate"/>
    <x v="0"/>
    <x v="5"/>
    <s v="Laptops"/>
    <s v="LAP-3779"/>
    <n v="204.11"/>
    <n v="236.87"/>
    <n v="0.182"/>
    <n v="13"/>
    <n v="0.16050169026505309"/>
    <x v="471"/>
    <n v="2653.4300000000003"/>
    <n v="-134.55441999999994"/>
    <n v="-5.3418446337075494E-2"/>
    <s v="Low"/>
    <n v="2518.8755800000004"/>
    <n v="-134.55441999999994"/>
  </r>
  <r>
    <x v="472"/>
    <x v="362"/>
    <d v="2025-02-14T00:00:00"/>
    <n v="24"/>
    <x v="8"/>
    <x v="1"/>
    <s v="Kenya"/>
    <s v="Nairobi"/>
    <s v="Small Business"/>
    <x v="3"/>
    <x v="13"/>
    <s v="Accessories"/>
    <s v="ACC-1659"/>
    <n v="1030.44"/>
    <n v="2562.84"/>
    <n v="0.14799999999999999"/>
    <n v="13"/>
    <n v="1.4871317107255153"/>
    <x v="472"/>
    <n v="13395.720000000001"/>
    <n v="14990.295839999995"/>
    <n v="0.52808734852027039"/>
    <s v="High"/>
    <n v="28386.015839999996"/>
    <n v="14990.295839999995"/>
  </r>
  <r>
    <x v="473"/>
    <x v="363"/>
    <d v="2025-02-04T00:00:00"/>
    <n v="13"/>
    <x v="8"/>
    <x v="3"/>
    <s v="Japan"/>
    <s v="Tokyo"/>
    <s v="Small Business"/>
    <x v="0"/>
    <x v="9"/>
    <s v="Printers"/>
    <s v="PRN-2991"/>
    <n v="122.29"/>
    <n v="224.95"/>
    <n v="0.153"/>
    <n v="28"/>
    <n v="0.83947992476899158"/>
    <x v="473"/>
    <n v="3424.1200000000003"/>
    <n v="1910.7941999999989"/>
    <n v="0.3581677471026618"/>
    <s v="High"/>
    <n v="5334.9141999999993"/>
    <n v="1910.7941999999989"/>
  </r>
  <r>
    <x v="474"/>
    <x v="363"/>
    <d v="2025-01-22T00:00:00"/>
    <n v="0"/>
    <x v="8"/>
    <x v="2"/>
    <s v="France"/>
    <s v="Lyon"/>
    <s v="Small Business"/>
    <x v="1"/>
    <x v="0"/>
    <s v="Accessories"/>
    <s v="ACC-5422"/>
    <n v="591.72"/>
    <n v="1029.5928000000001"/>
    <n v="0"/>
    <n v="22"/>
    <n v="0.7400000000000001"/>
    <x v="474"/>
    <n v="13017.84"/>
    <n v="9633.201600000004"/>
    <n v="0.42528735632183917"/>
    <s v="Medium"/>
    <n v="22651.041600000004"/>
    <n v="9633.201600000004"/>
  </r>
  <r>
    <x v="475"/>
    <x v="364"/>
    <d v="2025-02-15T00:00:00"/>
    <n v="19"/>
    <x v="8"/>
    <x v="3"/>
    <s v="China"/>
    <s v="Shenzhen"/>
    <s v="Non-Profit"/>
    <x v="2"/>
    <x v="9"/>
    <s v="Phones"/>
    <s v="PHN-8368"/>
    <n v="1253.22"/>
    <n v="3104.71"/>
    <n v="0"/>
    <n v="17"/>
    <n v="1.4773862530122404"/>
    <x v="475"/>
    <n v="21304.74"/>
    <n v="31475.329999999998"/>
    <n v="0.59634877331538205"/>
    <s v="High"/>
    <n v="52780.07"/>
    <n v="31475.329999999998"/>
  </r>
  <r>
    <x v="476"/>
    <x v="365"/>
    <d v="2025-02-06T00:00:00"/>
    <n v="8"/>
    <x v="8"/>
    <x v="1"/>
    <s v="Kenya"/>
    <s v="Kisumu"/>
    <s v="Education"/>
    <x v="3"/>
    <x v="0"/>
    <s v="Phones"/>
    <s v="PHN-1671"/>
    <n v="1445.27"/>
    <n v="2691.45"/>
    <n v="0"/>
    <n v="9"/>
    <n v="0.86224719256609483"/>
    <x v="476"/>
    <n v="13007.43"/>
    <n v="11215.619999999999"/>
    <n v="0.46301436028906351"/>
    <s v="High"/>
    <n v="24223.05"/>
    <n v="11215.619999999999"/>
  </r>
  <r>
    <x v="477"/>
    <x v="366"/>
    <d v="2025-02-17T00:00:00"/>
    <n v="17"/>
    <x v="8"/>
    <x v="2"/>
    <s v="United Kingdom"/>
    <s v="London"/>
    <s v="Enterprise"/>
    <x v="3"/>
    <x v="4"/>
    <s v="Components"/>
    <s v="CMP-5820"/>
    <n v="378.26"/>
    <n v="541.55999999999995"/>
    <n v="0.16300000000000001"/>
    <n v="25"/>
    <n v="0.43171363612330133"/>
    <x v="477"/>
    <n v="9456.5"/>
    <n v="1875.6429999999982"/>
    <n v="0.16551529573885526"/>
    <s v="Medium"/>
    <n v="11332.142999999998"/>
    <n v="1875.6429999999982"/>
  </r>
  <r>
    <x v="478"/>
    <x v="367"/>
    <d v="2025-03-04T00:00:00"/>
    <n v="30"/>
    <x v="8"/>
    <x v="3"/>
    <s v="Japan"/>
    <s v="Osaka"/>
    <s v="Education"/>
    <x v="0"/>
    <x v="9"/>
    <s v="Accessories"/>
    <s v="ACC-9591"/>
    <n v="766.59"/>
    <n v="1912.8"/>
    <n v="0.19600000000000001"/>
    <n v="5"/>
    <n v="1.4952060423433648"/>
    <x v="478"/>
    <n v="3832.9500000000003"/>
    <n v="3856.5059999999999"/>
    <n v="0.50153170783472845"/>
    <s v="High"/>
    <n v="7689.4560000000001"/>
    <n v="3856.5059999999999"/>
  </r>
  <r>
    <x v="479"/>
    <x v="368"/>
    <d v="2025-02-08T00:00:00"/>
    <n v="4"/>
    <x v="8"/>
    <x v="2"/>
    <s v="United Kingdom"/>
    <s v="Manchester"/>
    <s v="Enterprise"/>
    <x v="4"/>
    <x v="9"/>
    <s v="Networking"/>
    <s v="NET-2502"/>
    <n v="586.21"/>
    <n v="727.22"/>
    <n v="6.8000000000000005E-2"/>
    <n v="15"/>
    <n v="0.24054519711366232"/>
    <x v="479"/>
    <n v="8793.1500000000015"/>
    <n v="1373.3855999999996"/>
    <n v="0.13508884973559721"/>
    <s v="Low"/>
    <n v="10166.535600000001"/>
    <n v="1373.3855999999996"/>
  </r>
  <r>
    <x v="480"/>
    <x v="368"/>
    <d v="2025-02-25T00:00:00"/>
    <n v="21"/>
    <x v="8"/>
    <x v="2"/>
    <s v="United Kingdom"/>
    <s v="Birmingham"/>
    <s v="Corporate"/>
    <x v="4"/>
    <x v="2"/>
    <s v="Monitors"/>
    <s v="MON-4959"/>
    <n v="1016.32"/>
    <n v="2253.42"/>
    <n v="5.5E-2"/>
    <n v="12"/>
    <n v="1.2172347292191434"/>
    <x v="480"/>
    <n v="12195.84"/>
    <n v="13357.942800000001"/>
    <n v="0.52273837124419797"/>
    <s v="High"/>
    <n v="25553.782800000001"/>
    <n v="13357.942800000001"/>
  </r>
  <r>
    <x v="481"/>
    <x v="369"/>
    <d v="2025-02-15T00:00:00"/>
    <n v="9"/>
    <x v="8"/>
    <x v="0"/>
    <s v="Brazil"/>
    <s v="São Paulo"/>
    <s v="Non-Profit"/>
    <x v="0"/>
    <x v="7"/>
    <s v="Networking"/>
    <s v="NET-5482"/>
    <n v="837.39"/>
    <n v="1905.42"/>
    <n v="3.2000000000000001E-2"/>
    <n v="18"/>
    <n v="1.2754272202916206"/>
    <x v="481"/>
    <n v="15073.02"/>
    <n v="18127.018079999998"/>
    <n v="0.54599389423350919"/>
    <s v="High"/>
    <n v="33200.038079999998"/>
    <n v="18127.018079999998"/>
  </r>
  <r>
    <x v="482"/>
    <x v="370"/>
    <d v="2025-02-16T00:00:00"/>
    <n v="9"/>
    <x v="8"/>
    <x v="1"/>
    <s v="Nigeria"/>
    <s v="Lagos"/>
    <s v="Small Business"/>
    <x v="0"/>
    <x v="11"/>
    <s v="Printers"/>
    <s v="PRN-1882"/>
    <n v="90.68"/>
    <n v="118.17"/>
    <n v="0.13500000000000001"/>
    <n v="21"/>
    <n v="0.30315394794883099"/>
    <x v="482"/>
    <n v="1904.2800000000002"/>
    <n v="242.27804999999989"/>
    <n v="0.11286815653552899"/>
    <s v="Medium"/>
    <n v="2146.5580500000001"/>
    <n v="242.27804999999989"/>
  </r>
  <r>
    <x v="483"/>
    <x v="371"/>
    <d v="2025-03-01T00:00:00"/>
    <n v="20"/>
    <x v="8"/>
    <x v="0"/>
    <s v="Brazil"/>
    <s v="São Paulo"/>
    <s v="Corporate"/>
    <x v="0"/>
    <x v="0"/>
    <s v="Laptops"/>
    <s v="LAP-6989"/>
    <n v="1154.6400000000001"/>
    <n v="2794.13"/>
    <n v="3.5000000000000003E-2"/>
    <n v="11"/>
    <n v="1.419914432203977"/>
    <x v="483"/>
    <n v="12701.04"/>
    <n v="16958.649949999999"/>
    <n v="0.57177435025749479"/>
    <s v="High"/>
    <n v="29659.68995"/>
    <n v="16958.649949999999"/>
  </r>
  <r>
    <x v="484"/>
    <x v="372"/>
    <d v="2025-02-28T00:00:00"/>
    <n v="16"/>
    <x v="8"/>
    <x v="0"/>
    <s v="Brazil"/>
    <s v="São Paulo"/>
    <s v="Non-Profit"/>
    <x v="2"/>
    <x v="0"/>
    <s v="Monitors"/>
    <s v="MON-5179"/>
    <n v="414.95"/>
    <n v="1027.73"/>
    <n v="6.3E-2"/>
    <n v="8"/>
    <n v="1.4767562356910471"/>
    <x v="484"/>
    <n v="3319.6"/>
    <n v="4384.2640800000008"/>
    <n v="0.56909935513815568"/>
    <s v="High"/>
    <n v="7703.8640800000003"/>
    <n v="4384.2640800000008"/>
  </r>
  <r>
    <x v="485"/>
    <x v="373"/>
    <d v="2025-03-01T00:00:00"/>
    <n v="14"/>
    <x v="8"/>
    <x v="1"/>
    <s v="Kenya"/>
    <s v="Mombasa"/>
    <s v="Education"/>
    <x v="2"/>
    <x v="9"/>
    <s v="Accessories"/>
    <s v="ACC-5144"/>
    <n v="1162.8599999999999"/>
    <n v="1447.68"/>
    <n v="8.6999999999999994E-2"/>
    <n v="12"/>
    <n v="0.24493060213611284"/>
    <x v="485"/>
    <n v="13954.32"/>
    <n v="1906.4620800000012"/>
    <n v="0.12019975247021369"/>
    <s v="Low"/>
    <n v="15860.782080000001"/>
    <n v="1906.4620800000012"/>
  </r>
  <r>
    <x v="486"/>
    <x v="373"/>
    <d v="2025-02-17T00:00:00"/>
    <n v="2"/>
    <x v="8"/>
    <x v="0"/>
    <s v="Canada"/>
    <s v="Toronto"/>
    <s v="Small Business"/>
    <x v="3"/>
    <x v="2"/>
    <s v="Components"/>
    <s v="CMP-5065"/>
    <n v="1133.47"/>
    <n v="1698.75"/>
    <n v="4.2999999999999997E-2"/>
    <n v="5"/>
    <n v="0.49871633126593556"/>
    <x v="486"/>
    <n v="5667.35"/>
    <n v="2461.1687499999989"/>
    <n v="0.30278194904821976"/>
    <s v="Medium"/>
    <n v="8128.5187499999993"/>
    <n v="2461.1687499999989"/>
  </r>
  <r>
    <x v="487"/>
    <x v="373"/>
    <d v="2025-02-15T00:00:00"/>
    <n v="0"/>
    <x v="8"/>
    <x v="2"/>
    <s v="Germany"/>
    <s v="Frankfurt"/>
    <s v="Small Business"/>
    <x v="4"/>
    <x v="9"/>
    <s v="Accessories"/>
    <s v="ACC-3989"/>
    <n v="815.83"/>
    <n v="1982.18"/>
    <n v="0.127"/>
    <n v="6"/>
    <n v="1.4296483335989114"/>
    <x v="487"/>
    <n v="4894.9800000000005"/>
    <n v="5487.6788399999996"/>
    <n v="0.52854272923408507"/>
    <s v="High"/>
    <n v="10382.65884"/>
    <n v="5487.6788399999996"/>
  </r>
  <r>
    <x v="488"/>
    <x v="373"/>
    <d v="2025-02-27T00:00:00"/>
    <n v="12"/>
    <x v="8"/>
    <x v="2"/>
    <s v="France"/>
    <s v="Lyon"/>
    <s v="Non-Profit"/>
    <x v="2"/>
    <x v="10"/>
    <s v="Accessories"/>
    <s v="ACC-1604"/>
    <n v="1027.26"/>
    <n v="2200.41"/>
    <n v="8.7999999999999995E-2"/>
    <n v="6"/>
    <n v="1.1420185736814437"/>
    <x v="488"/>
    <n v="6163.5599999999995"/>
    <n v="5877.0835200000001"/>
    <n v="0.48810377204822358"/>
    <s v="High"/>
    <n v="12040.64352"/>
    <n v="5877.0835200000001"/>
  </r>
  <r>
    <x v="489"/>
    <x v="374"/>
    <d v="2025-03-17T00:00:00"/>
    <n v="29"/>
    <x v="8"/>
    <x v="2"/>
    <s v="Germany"/>
    <s v="Munich"/>
    <s v="Consumer"/>
    <x v="3"/>
    <x v="9"/>
    <s v="Accessories"/>
    <s v="ACC-5150"/>
    <n v="730.42"/>
    <n v="956.7"/>
    <n v="4.2000000000000003E-2"/>
    <n v="22"/>
    <n v="0.30979436488595619"/>
    <x v="489"/>
    <n v="16069.24"/>
    <n v="4094.1692000000021"/>
    <n v="0.20304945256975698"/>
    <s v="Medium"/>
    <n v="20163.409200000002"/>
    <n v="4094.1692000000021"/>
  </r>
  <r>
    <x v="490"/>
    <x v="375"/>
    <d v="2025-03-09T00:00:00"/>
    <n v="18"/>
    <x v="8"/>
    <x v="3"/>
    <s v="India"/>
    <s v="Delhi"/>
    <s v="Small Business"/>
    <x v="2"/>
    <x v="5"/>
    <s v="Monitors"/>
    <s v="MON-1436"/>
    <n v="325.87"/>
    <n v="538.79"/>
    <n v="0.17399999999999999"/>
    <n v="16"/>
    <n v="0.65338938840641958"/>
    <x v="490"/>
    <n v="5213.92"/>
    <n v="1906.7286400000003"/>
    <n v="0.26777457172778013"/>
    <s v="Medium"/>
    <n v="7120.6486400000003"/>
    <n v="1906.7286400000003"/>
  </r>
  <r>
    <x v="491"/>
    <x v="376"/>
    <d v="2025-03-21T00:00:00"/>
    <n v="28"/>
    <x v="8"/>
    <x v="1"/>
    <s v="Nigeria"/>
    <s v="Abuja"/>
    <s v="Enterprise"/>
    <x v="4"/>
    <x v="12"/>
    <s v="Phones"/>
    <s v="PHN-5887"/>
    <n v="1437.39"/>
    <n v="2687.9193000000005"/>
    <n v="0.13800000000000001"/>
    <n v="18"/>
    <n v="0.87000000000000022"/>
    <x v="491"/>
    <n v="25873.02"/>
    <n v="15832.73585880001"/>
    <n v="0.3796295147462066"/>
    <s v="High"/>
    <n v="41705.75585880001"/>
    <n v="15832.73585880001"/>
  </r>
  <r>
    <x v="492"/>
    <x v="377"/>
    <d v="2025-03-17T00:00:00"/>
    <n v="20"/>
    <x v="8"/>
    <x v="0"/>
    <s v="USA"/>
    <s v="San Francisco"/>
    <s v="Non-Profit"/>
    <x v="4"/>
    <x v="4"/>
    <s v="Phones"/>
    <s v="PHN-1044"/>
    <n v="1205.26"/>
    <n v="1696.35"/>
    <n v="1.9E-2"/>
    <n v="6"/>
    <n v="0.40745565272223416"/>
    <x v="492"/>
    <n v="7231.5599999999995"/>
    <n v="2753.1560999999983"/>
    <n v="0.27573704374028213"/>
    <s v="Medium"/>
    <n v="9984.7160999999978"/>
    <n v="2753.1560999999983"/>
  </r>
  <r>
    <x v="493"/>
    <x v="378"/>
    <d v="2025-03-10T00:00:00"/>
    <n v="10"/>
    <x v="8"/>
    <x v="3"/>
    <s v="Japan"/>
    <s v="Osaka"/>
    <s v="Education"/>
    <x v="0"/>
    <x v="8"/>
    <s v="Laptops"/>
    <s v="LAP-3017"/>
    <n v="51.86"/>
    <n v="88.161999999999992"/>
    <n v="0.17299999999999999"/>
    <n v="7"/>
    <n v="0.69999999999999984"/>
    <x v="493"/>
    <n v="363.02"/>
    <n v="147.34981799999991"/>
    <n v="0.2887118571733408"/>
    <s v="Medium"/>
    <n v="510.3698179999999"/>
    <n v="147.34981799999991"/>
  </r>
  <r>
    <x v="494"/>
    <x v="379"/>
    <d v="2025-03-24T00:00:00"/>
    <n v="21"/>
    <x v="8"/>
    <x v="1"/>
    <s v="Nigeria"/>
    <s v="Abuja"/>
    <s v="Enterprise"/>
    <x v="2"/>
    <x v="4"/>
    <s v="Accessories"/>
    <s v="ACC-4056"/>
    <n v="555.95000000000005"/>
    <n v="1045.1859999999999"/>
    <n v="0.14199999999999999"/>
    <n v="11"/>
    <n v="0.87999999999999967"/>
    <x v="494"/>
    <n v="6115.4500000000007"/>
    <n v="3749.0154679999978"/>
    <n v="0.38005257154193306"/>
    <s v="High"/>
    <n v="9864.4654679999985"/>
    <n v="3749.0154679999978"/>
  </r>
  <r>
    <x v="495"/>
    <x v="380"/>
    <d v="2025-03-31T00:00:00"/>
    <n v="25"/>
    <x v="8"/>
    <x v="0"/>
    <s v="Brazil"/>
    <s v="Brasília"/>
    <s v="Non-Profit"/>
    <x v="1"/>
    <x v="13"/>
    <s v="Components"/>
    <s v="CMP-3693"/>
    <n v="331.57"/>
    <n v="548.4"/>
    <n v="9.4E-2"/>
    <n v="10"/>
    <n v="0.65394939228518867"/>
    <x v="495"/>
    <n v="3315.7"/>
    <n v="1652.8040000000001"/>
    <n v="0.33265626836568918"/>
    <s v="Medium"/>
    <n v="4968.5039999999999"/>
    <n v="1652.8040000000001"/>
  </r>
  <r>
    <x v="496"/>
    <x v="381"/>
    <d v="2025-03-15T00:00:00"/>
    <n v="7"/>
    <x v="8"/>
    <x v="3"/>
    <s v="India"/>
    <s v="Bengaluru"/>
    <s v="Corporate"/>
    <x v="0"/>
    <x v="10"/>
    <s v="Laptops"/>
    <s v="LAP-8119"/>
    <n v="475.66"/>
    <n v="529.14"/>
    <n v="0.19600000000000001"/>
    <n v="11"/>
    <n v="0.11243325064121422"/>
    <x v="496"/>
    <n v="5232.26"/>
    <n v="-552.54583999999977"/>
    <n v="-0.11807256193613323"/>
    <s v="Low"/>
    <n v="4679.7141600000004"/>
    <n v="-552.54583999999977"/>
  </r>
  <r>
    <x v="497"/>
    <x v="382"/>
    <d v="2025-03-27T00:00:00"/>
    <n v="17"/>
    <x v="8"/>
    <x v="0"/>
    <s v="Brazil"/>
    <s v="Rio de Janeiro"/>
    <s v="Enterprise"/>
    <x v="2"/>
    <x v="7"/>
    <s v="Networking"/>
    <s v="NET-6269"/>
    <n v="996.73"/>
    <n v="1217.43"/>
    <n v="7.0000000000000007E-2"/>
    <n v="9"/>
    <n v="0.22142405666529555"/>
    <x v="497"/>
    <n v="8970.57"/>
    <n v="1219.3191000000006"/>
    <n v="0.11965970267527255"/>
    <s v="Low"/>
    <n v="10189.8891"/>
    <n v="1219.3191000000006"/>
  </r>
  <r>
    <x v="498"/>
    <x v="382"/>
    <d v="2025-04-04T00:00:00"/>
    <n v="25"/>
    <x v="8"/>
    <x v="3"/>
    <s v="Japan"/>
    <s v="Osaka"/>
    <s v="Corporate"/>
    <x v="2"/>
    <x v="4"/>
    <s v="Printers"/>
    <s v="PRN-9867"/>
    <n v="783.72"/>
    <n v="1355.94"/>
    <n v="0.187"/>
    <n v="4"/>
    <n v="0.73013321084060634"/>
    <x v="498"/>
    <n v="3134.88"/>
    <n v="1274.63688"/>
    <n v="0.28906497348525856"/>
    <s v="Medium"/>
    <n v="4409.5168800000001"/>
    <n v="1274.63688"/>
  </r>
  <r>
    <x v="499"/>
    <x v="383"/>
    <d v="2025-03-26T00:00:00"/>
    <n v="15"/>
    <x v="8"/>
    <x v="2"/>
    <s v="Germany"/>
    <s v="Berlin"/>
    <s v="Small Business"/>
    <x v="1"/>
    <x v="12"/>
    <s v="Phones"/>
    <s v="PHN-3007"/>
    <n v="116.97"/>
    <n v="140.82"/>
    <n v="0.122"/>
    <n v="5"/>
    <n v="0.20389843549628106"/>
    <x v="499"/>
    <n v="584.85"/>
    <n v="33.349799999999846"/>
    <n v="5.3946636669891926E-2"/>
    <s v="Low"/>
    <n v="618.19979999999987"/>
    <n v="33.349799999999846"/>
  </r>
  <r>
    <x v="500"/>
    <x v="383"/>
    <d v="2025-03-27T00:00:00"/>
    <n v="16"/>
    <x v="8"/>
    <x v="3"/>
    <s v="Japan"/>
    <s v="Tokyo"/>
    <s v="Enterprise"/>
    <x v="0"/>
    <x v="0"/>
    <s v="Printers"/>
    <s v="PRN-5264"/>
    <n v="1317.58"/>
    <n v="1897.74"/>
    <n v="8.1000000000000003E-2"/>
    <n v="6"/>
    <n v="0.44032240926547161"/>
    <x v="500"/>
    <n v="7905.48"/>
    <n v="2558.6583600000013"/>
    <n v="0.24451687009230266"/>
    <s v="Medium"/>
    <n v="10464.138360000001"/>
    <n v="2558.6583600000013"/>
  </r>
  <r>
    <x v="501"/>
    <x v="384"/>
    <d v="2025-04-08T00:00:00"/>
    <n v="25"/>
    <x v="8"/>
    <x v="3"/>
    <s v="China"/>
    <s v="Shanghai"/>
    <s v="Corporate"/>
    <x v="0"/>
    <x v="2"/>
    <s v="Printers"/>
    <s v="PRN-5815"/>
    <n v="80.59"/>
    <n v="157.82"/>
    <n v="0.217"/>
    <n v="6"/>
    <n v="0.9583074823179053"/>
    <x v="501"/>
    <n v="483.54"/>
    <n v="257.89835999999997"/>
    <n v="0.34783519967863541"/>
    <s v="High"/>
    <n v="741.43835999999999"/>
    <n v="257.89835999999997"/>
  </r>
  <r>
    <x v="502"/>
    <x v="384"/>
    <d v="2025-03-29T00:00:00"/>
    <n v="15"/>
    <x v="8"/>
    <x v="3"/>
    <s v="Japan"/>
    <s v="Tokyo"/>
    <s v="Non-Profit"/>
    <x v="2"/>
    <x v="4"/>
    <s v="Networking"/>
    <s v="NET-8430"/>
    <n v="1106.96"/>
    <n v="2726.62"/>
    <n v="0.09"/>
    <n v="7"/>
    <n v="1.4631603671316036"/>
    <x v="502"/>
    <n v="7748.72"/>
    <n v="9619.8493999999992"/>
    <n v="0.55386538628794602"/>
    <s v="High"/>
    <n v="17368.5694"/>
    <n v="9619.8493999999992"/>
  </r>
  <r>
    <x v="503"/>
    <x v="385"/>
    <d v="2025-03-29T00:00:00"/>
    <n v="14"/>
    <x v="8"/>
    <x v="3"/>
    <s v="India"/>
    <s v="Mumbai"/>
    <s v="Enterprise"/>
    <x v="2"/>
    <x v="11"/>
    <s v="Components"/>
    <s v="CMP-3259"/>
    <n v="935.83"/>
    <n v="2303.46"/>
    <n v="0.105"/>
    <n v="9"/>
    <n v="1.4614085891668358"/>
    <x v="503"/>
    <n v="8422.4700000000012"/>
    <n v="10131.900299999998"/>
    <n v="0.54606543559174292"/>
    <s v="High"/>
    <n v="18554.370299999999"/>
    <n v="10131.900299999998"/>
  </r>
  <r>
    <x v="504"/>
    <x v="386"/>
    <d v="2025-04-09T00:00:00"/>
    <n v="19"/>
    <x v="8"/>
    <x v="3"/>
    <s v="Japan"/>
    <s v="Tokyo"/>
    <s v="Small Business"/>
    <x v="0"/>
    <x v="14"/>
    <s v="Components"/>
    <s v="CMP-7055"/>
    <n v="1055.45"/>
    <n v="1210.04"/>
    <n v="8.9999999999999993E-3"/>
    <n v="18"/>
    <n v="0.14646833104363061"/>
    <x v="504"/>
    <n v="18998.100000000002"/>
    <n v="2586.5935199999985"/>
    <n v="0.1198346188053727"/>
    <s v="Low"/>
    <n v="21584.693520000001"/>
    <n v="2586.5935199999985"/>
  </r>
  <r>
    <x v="505"/>
    <x v="387"/>
    <d v="2025-04-02T00:00:00"/>
    <n v="10"/>
    <x v="8"/>
    <x v="2"/>
    <s v="Germany"/>
    <s v="Berlin"/>
    <s v="Enterprise"/>
    <x v="1"/>
    <x v="14"/>
    <s v="Printers"/>
    <s v="PRN-3159"/>
    <n v="663.61"/>
    <n v="1002.11"/>
    <n v="4.5999999999999999E-2"/>
    <n v="17"/>
    <n v="0.51008875695061862"/>
    <x v="505"/>
    <n v="11281.37"/>
    <n v="4970.8499799999972"/>
    <n v="0.30585667595670812"/>
    <s v="Medium"/>
    <n v="16252.219979999998"/>
    <n v="4970.8499799999972"/>
  </r>
  <r>
    <x v="506"/>
    <x v="388"/>
    <d v="2025-04-04T00:00:00"/>
    <n v="11"/>
    <x v="8"/>
    <x v="3"/>
    <s v="India"/>
    <s v="Mumbai"/>
    <s v="Education"/>
    <x v="4"/>
    <x v="13"/>
    <s v="Phones"/>
    <s v="PHN-4395"/>
    <n v="23.83"/>
    <n v="47.29"/>
    <n v="6.4000000000000001E-2"/>
    <n v="19"/>
    <n v="0.98447335291649196"/>
    <x v="506"/>
    <n v="452.77"/>
    <n v="388.23536000000001"/>
    <n v="0.46163244429262618"/>
    <s v="High"/>
    <n v="841.00536"/>
    <n v="388.23536000000001"/>
  </r>
  <r>
    <x v="507"/>
    <x v="388"/>
    <d v="2025-03-25T00:00:00"/>
    <n v="1"/>
    <x v="8"/>
    <x v="3"/>
    <s v="China"/>
    <s v="Beijing"/>
    <s v="Non-Profit"/>
    <x v="1"/>
    <x v="6"/>
    <s v="Networking"/>
    <s v="NET-8329"/>
    <n v="1133.03"/>
    <n v="1921.51"/>
    <n v="0.10100000000000001"/>
    <n v="5"/>
    <n v="0.6959039036918705"/>
    <x v="507"/>
    <n v="5665.15"/>
    <n v="2972.0374499999998"/>
    <n v="0.3440978289755654"/>
    <s v="Medium"/>
    <n v="8637.1874499999994"/>
    <n v="2972.0374499999998"/>
  </r>
  <r>
    <x v="508"/>
    <x v="389"/>
    <d v="2025-04-17T00:00:00"/>
    <n v="23"/>
    <x v="8"/>
    <x v="2"/>
    <s v="United Kingdom"/>
    <s v="London"/>
    <s v="Consumer"/>
    <x v="3"/>
    <x v="4"/>
    <s v="Networking"/>
    <s v="NET-7166"/>
    <n v="1421.19"/>
    <n v="1808.26"/>
    <n v="0.104"/>
    <n v="13"/>
    <n v="0.2723562648203266"/>
    <x v="508"/>
    <n v="18475.47"/>
    <n v="2587.1424799999986"/>
    <n v="0.12283103449093123"/>
    <s v="Medium"/>
    <n v="21062.61248"/>
    <n v="2587.1424799999986"/>
  </r>
  <r>
    <x v="509"/>
    <x v="389"/>
    <d v="2025-03-26T00:00:00"/>
    <n v="1"/>
    <x v="8"/>
    <x v="1"/>
    <s v="Nigeria"/>
    <s v="Lagos"/>
    <s v="Education"/>
    <x v="0"/>
    <x v="6"/>
    <s v="Accessories"/>
    <s v="ACC-9533"/>
    <n v="1450.43"/>
    <n v="1994.67"/>
    <n v="0.1"/>
    <n v="24"/>
    <n v="0.3752266569224299"/>
    <x v="509"/>
    <n v="34810.32"/>
    <n v="8274.5520000000033"/>
    <n v="0.19205237513529116"/>
    <s v="Medium"/>
    <n v="43084.872000000003"/>
    <n v="8274.5520000000033"/>
  </r>
  <r>
    <x v="510"/>
    <x v="390"/>
    <d v="2025-04-02T00:00:00"/>
    <n v="4"/>
    <x v="8"/>
    <x v="1"/>
    <s v="Nigeria"/>
    <s v="Lagos"/>
    <s v="Non-Profit"/>
    <x v="4"/>
    <x v="6"/>
    <s v="Phones"/>
    <s v="PHN-4556"/>
    <n v="259.93"/>
    <n v="486.06910000000005"/>
    <n v="7.1999999999999995E-2"/>
    <n v="22"/>
    <n v="0.87000000000000011"/>
    <x v="510"/>
    <n v="5718.46"/>
    <n v="4205.1267456000014"/>
    <n v="0.42375069149917027"/>
    <s v="High"/>
    <n v="9923.5867456000014"/>
    <n v="4205.1267456000014"/>
  </r>
  <r>
    <x v="511"/>
    <x v="391"/>
    <d v="2025-04-07T00:00:00"/>
    <n v="8"/>
    <x v="8"/>
    <x v="0"/>
    <s v="Brazil"/>
    <s v="São Paulo"/>
    <s v="Non-Profit"/>
    <x v="2"/>
    <x v="9"/>
    <s v="Printers"/>
    <s v="PRN-8763"/>
    <n v="71.62"/>
    <n v="118.37"/>
    <n v="0.156"/>
    <n v="11"/>
    <n v="0.65275062831611275"/>
    <x v="511"/>
    <n v="787.82"/>
    <n v="311.12708000000009"/>
    <n v="0.28311379652603474"/>
    <s v="Medium"/>
    <n v="1098.9470800000001"/>
    <n v="311.12708000000009"/>
  </r>
  <r>
    <x v="512"/>
    <x v="391"/>
    <d v="2025-04-29T00:00:00"/>
    <n v="30"/>
    <x v="8"/>
    <x v="1"/>
    <s v="South Africa"/>
    <s v="Durban"/>
    <s v="Consumer"/>
    <x v="4"/>
    <x v="13"/>
    <s v="Monitors"/>
    <s v="MON-7106"/>
    <n v="194.6"/>
    <n v="314.87"/>
    <n v="0.29299999999999998"/>
    <n v="25"/>
    <n v="0.61803699897225084"/>
    <x v="512"/>
    <n v="4865"/>
    <n v="700.32725000000028"/>
    <n v="0.1258375686712763"/>
    <s v="Medium"/>
    <n v="5565.3272500000003"/>
    <n v="700.32725000000028"/>
  </r>
  <r>
    <x v="513"/>
    <x v="392"/>
    <d v="2025-04-04T00:00:00"/>
    <n v="4"/>
    <x v="8"/>
    <x v="1"/>
    <s v="Kenya"/>
    <s v="Nakuru"/>
    <s v="Corporate"/>
    <x v="2"/>
    <x v="11"/>
    <s v="Laptops"/>
    <s v="LAP-7136"/>
    <n v="862.08"/>
    <n v="1952.83"/>
    <n v="0"/>
    <n v="7"/>
    <n v="1.2652538047512991"/>
    <x v="513"/>
    <n v="6034.56"/>
    <n v="7635.2499999999991"/>
    <n v="0.5585483631447693"/>
    <s v="High"/>
    <n v="13669.81"/>
    <n v="7635.2499999999991"/>
  </r>
  <r>
    <x v="514"/>
    <x v="393"/>
    <d v="2025-04-27T00:00:00"/>
    <n v="26"/>
    <x v="9"/>
    <x v="0"/>
    <s v="USA"/>
    <s v="San Francisco"/>
    <s v="Corporate"/>
    <x v="2"/>
    <x v="12"/>
    <s v="Monitors"/>
    <s v="MON-9319"/>
    <n v="156.55000000000001"/>
    <n v="227.45"/>
    <n v="1.4E-2"/>
    <n v="13"/>
    <n v="0.45289045033535597"/>
    <x v="514"/>
    <n v="2035.15"/>
    <n v="880.30409999999983"/>
    <n v="0.3019440779396938"/>
    <s v="Medium"/>
    <n v="2915.4540999999999"/>
    <n v="880.30409999999983"/>
  </r>
  <r>
    <x v="515"/>
    <x v="394"/>
    <d v="2025-04-13T00:00:00"/>
    <n v="9"/>
    <x v="9"/>
    <x v="2"/>
    <s v="Germany"/>
    <s v="Munich"/>
    <s v="Consumer"/>
    <x v="4"/>
    <x v="7"/>
    <s v="Phones"/>
    <s v="PHN-3803"/>
    <n v="7.02"/>
    <n v="11.582999999999998"/>
    <n v="0.13400000000000001"/>
    <n v="14"/>
    <n v="0.64999999999999991"/>
    <x v="515"/>
    <n v="98.28"/>
    <n v="42.152291999999989"/>
    <n v="0.30016096297851486"/>
    <s v="Medium"/>
    <n v="140.43229199999999"/>
    <n v="42.152291999999989"/>
  </r>
  <r>
    <x v="516"/>
    <x v="394"/>
    <d v="2025-04-10T00:00:00"/>
    <n v="6"/>
    <x v="9"/>
    <x v="2"/>
    <s v="United Kingdom"/>
    <s v="Birmingham"/>
    <s v="Non-Profit"/>
    <x v="2"/>
    <x v="8"/>
    <s v="Printers"/>
    <s v="PRN-8657"/>
    <n v="290.14"/>
    <n v="490.33659999999998"/>
    <n v="3.4000000000000002E-2"/>
    <n v="17"/>
    <n v="0.69"/>
    <x v="516"/>
    <n v="4932.38"/>
    <n v="3119.9276451999995"/>
    <n v="0.38745758143751452"/>
    <s v="Medium"/>
    <n v="8052.3076451999996"/>
    <n v="3119.9276451999995"/>
  </r>
  <r>
    <x v="517"/>
    <x v="395"/>
    <d v="2025-04-30T00:00:00"/>
    <n v="24"/>
    <x v="9"/>
    <x v="0"/>
    <s v="Brazil"/>
    <s v="Brasília"/>
    <s v="Education"/>
    <x v="1"/>
    <x v="10"/>
    <s v="Monitors"/>
    <s v="MON-4925"/>
    <n v="855.78"/>
    <n v="977.38"/>
    <n v="0.14699999999999999"/>
    <n v="38"/>
    <n v="0.1420925938909533"/>
    <x v="517"/>
    <n v="32519.64"/>
    <n v="-838.84467999999833"/>
    <n v="-2.6478018355506307E-2"/>
    <s v="Low"/>
    <n v="31680.795320000001"/>
    <n v="-838.84467999999833"/>
  </r>
  <r>
    <x v="518"/>
    <x v="396"/>
    <d v="2025-04-11T00:00:00"/>
    <n v="4"/>
    <x v="9"/>
    <x v="2"/>
    <s v="France"/>
    <s v="Lyon"/>
    <s v="Education"/>
    <x v="3"/>
    <x v="14"/>
    <s v="Networking"/>
    <s v="NET-9716"/>
    <n v="754.77"/>
    <n v="1666.18"/>
    <n v="0.13900000000000001"/>
    <n v="14"/>
    <n v="1.2075334207771906"/>
    <x v="518"/>
    <n v="10566.779999999999"/>
    <n v="9517.3537200000028"/>
    <n v="0.47387424584424653"/>
    <s v="High"/>
    <n v="20084.133720000002"/>
    <n v="9517.3537200000028"/>
  </r>
  <r>
    <x v="519"/>
    <x v="397"/>
    <d v="2025-04-12T00:00:00"/>
    <n v="3"/>
    <x v="9"/>
    <x v="2"/>
    <s v="France"/>
    <s v="Lyon"/>
    <s v="Small Business"/>
    <x v="0"/>
    <x v="4"/>
    <s v="Monitors"/>
    <s v="MON-5276"/>
    <n v="86.68"/>
    <n v="213.32"/>
    <n v="3.7999999999999999E-2"/>
    <n v="8"/>
    <n v="1.4610059990770647"/>
    <x v="519"/>
    <n v="693.44"/>
    <n v="948.27071999999976"/>
    <n v="0.57761133459614611"/>
    <s v="High"/>
    <n v="1641.7107199999998"/>
    <n v="948.27071999999976"/>
  </r>
  <r>
    <x v="520"/>
    <x v="397"/>
    <d v="2025-05-06T00:00:00"/>
    <n v="27"/>
    <x v="9"/>
    <x v="0"/>
    <s v="Brazil"/>
    <s v="Brasília"/>
    <s v="Enterprise"/>
    <x v="4"/>
    <x v="7"/>
    <s v="Laptops"/>
    <s v="LAP-4517"/>
    <n v="264.19"/>
    <n v="620.92999999999995"/>
    <n v="0.14199999999999999"/>
    <n v="12"/>
    <n v="1.3503160604110676"/>
    <x v="520"/>
    <n v="3170.2799999999997"/>
    <n v="3222.8152799999998"/>
    <n v="0.50410875152794532"/>
    <s v="High"/>
    <n v="6393.0952799999995"/>
    <n v="3222.8152799999998"/>
  </r>
  <r>
    <x v="521"/>
    <x v="398"/>
    <d v="2025-04-19T00:00:00"/>
    <n v="9"/>
    <x v="9"/>
    <x v="1"/>
    <s v="South Africa"/>
    <s v="Durban"/>
    <s v="Enterprise"/>
    <x v="0"/>
    <x v="6"/>
    <s v="Networking"/>
    <s v="NET-5270"/>
    <n v="113.74"/>
    <n v="165.7"/>
    <n v="0.124"/>
    <n v="13"/>
    <n v="0.45683136979075079"/>
    <x v="521"/>
    <n v="1478.62"/>
    <n v="408.37159999999994"/>
    <n v="0.21641410592394794"/>
    <s v="Medium"/>
    <n v="1886.9915999999998"/>
    <n v="408.37159999999994"/>
  </r>
  <r>
    <x v="522"/>
    <x v="399"/>
    <d v="2025-05-04T00:00:00"/>
    <n v="23"/>
    <x v="9"/>
    <x v="3"/>
    <s v="Japan"/>
    <s v="Osaka"/>
    <s v="Small Business"/>
    <x v="1"/>
    <x v="3"/>
    <s v="Components"/>
    <s v="CMP-3743"/>
    <n v="786.2"/>
    <n v="1075.3"/>
    <n v="0.08"/>
    <n v="9"/>
    <n v="0.3677181378784023"/>
    <x v="522"/>
    <n v="7075.8"/>
    <n v="1827.6839999999984"/>
    <n v="0.20527739478163815"/>
    <s v="Medium"/>
    <n v="8903.4839999999986"/>
    <n v="1827.6839999999984"/>
  </r>
  <r>
    <x v="523"/>
    <x v="400"/>
    <d v="2025-04-30T00:00:00"/>
    <n v="18"/>
    <x v="9"/>
    <x v="1"/>
    <s v="Kenya"/>
    <s v="Kisumu"/>
    <s v="Corporate"/>
    <x v="4"/>
    <x v="7"/>
    <s v="Networking"/>
    <s v="NET-3432"/>
    <n v="1119.04"/>
    <n v="1299.02"/>
    <n v="2.5000000000000001E-2"/>
    <n v="14"/>
    <n v="0.16083428653131257"/>
    <x v="523"/>
    <n v="15666.56"/>
    <n v="2065.0630000000001"/>
    <n v="0.11646215352085933"/>
    <s v="Low"/>
    <n v="17731.623"/>
    <n v="2065.0630000000001"/>
  </r>
  <r>
    <x v="524"/>
    <x v="401"/>
    <d v="2025-04-14T00:00:00"/>
    <n v="1"/>
    <x v="9"/>
    <x v="3"/>
    <s v="Japan"/>
    <s v="Osaka"/>
    <s v="Enterprise"/>
    <x v="1"/>
    <x v="6"/>
    <s v="Components"/>
    <s v="CMP-6495"/>
    <n v="138.9"/>
    <n v="289.92"/>
    <n v="2.9000000000000001E-2"/>
    <n v="12"/>
    <n v="1.087257019438445"/>
    <x v="524"/>
    <n v="1666.8000000000002"/>
    <n v="1711.3478399999999"/>
    <n v="0.50659353025828491"/>
    <s v="High"/>
    <n v="3378.1478400000001"/>
    <n v="1711.3478399999999"/>
  </r>
  <r>
    <x v="525"/>
    <x v="402"/>
    <d v="2025-05-04T00:00:00"/>
    <n v="20"/>
    <x v="9"/>
    <x v="2"/>
    <s v="United Kingdom"/>
    <s v="Birmingham"/>
    <s v="Enterprise"/>
    <x v="4"/>
    <x v="10"/>
    <s v="Monitors"/>
    <s v="MON-6962"/>
    <n v="1413.87"/>
    <n v="3275"/>
    <n v="0.255"/>
    <n v="38"/>
    <n v="1.3163374284764513"/>
    <x v="525"/>
    <n v="53727.06"/>
    <n v="38988.19"/>
    <n v="0.42051539525590453"/>
    <s v="High"/>
    <n v="92715.25"/>
    <n v="38988.19"/>
  </r>
  <r>
    <x v="526"/>
    <x v="403"/>
    <d v="2025-04-26T00:00:00"/>
    <n v="10"/>
    <x v="9"/>
    <x v="1"/>
    <s v="Nigeria"/>
    <s v="Port Harcourt"/>
    <s v="Enterprise"/>
    <x v="4"/>
    <x v="7"/>
    <s v="Laptops"/>
    <s v="LAP-3490"/>
    <n v="1457.44"/>
    <n v="1996.81"/>
    <n v="0.126"/>
    <n v="23"/>
    <n v="0.37008041497420124"/>
    <x v="526"/>
    <n v="33521.120000000003"/>
    <n v="6618.7546199999924"/>
    <n v="0.16489225944672353"/>
    <s v="Medium"/>
    <n v="40139.874619999995"/>
    <n v="6618.7546199999924"/>
  </r>
  <r>
    <x v="527"/>
    <x v="403"/>
    <d v="2025-05-16T00:00:00"/>
    <n v="30"/>
    <x v="9"/>
    <x v="0"/>
    <s v="Canada"/>
    <s v="Montreal"/>
    <s v="Enterprise"/>
    <x v="0"/>
    <x v="10"/>
    <s v="Printers"/>
    <s v="PRN-6178"/>
    <n v="763.32"/>
    <n v="1396.8756000000001"/>
    <n v="0.13100000000000001"/>
    <n v="16"/>
    <n v="0.83"/>
    <x v="527"/>
    <n v="12213.12"/>
    <n v="7209.0383424000011"/>
    <n v="0.37117596383004148"/>
    <s v="High"/>
    <n v="19422.158342400002"/>
    <n v="7209.0383424000011"/>
  </r>
  <r>
    <x v="528"/>
    <x v="404"/>
    <d v="2025-05-03T00:00:00"/>
    <n v="16"/>
    <x v="9"/>
    <x v="0"/>
    <s v="Brazil"/>
    <s v="Rio de Janeiro"/>
    <s v="Consumer"/>
    <x v="4"/>
    <x v="13"/>
    <s v="Networking"/>
    <s v="NET-8610"/>
    <n v="168.68"/>
    <n v="413.34"/>
    <n v="0.186"/>
    <n v="7"/>
    <n v="1.4504387004979842"/>
    <x v="528"/>
    <n v="1180.76"/>
    <n v="1174.4513199999999"/>
    <n v="0.49866069767361682"/>
    <s v="High"/>
    <n v="2355.2113199999999"/>
    <n v="1174.4513199999999"/>
  </r>
  <r>
    <x v="529"/>
    <x v="404"/>
    <d v="2025-04-17T00:00:00"/>
    <n v="0"/>
    <x v="9"/>
    <x v="0"/>
    <s v="Brazil"/>
    <s v="São Paulo"/>
    <s v="Corporate"/>
    <x v="0"/>
    <x v="9"/>
    <s v="Phones"/>
    <s v="PHN-4566"/>
    <n v="719.41"/>
    <n v="1125.99"/>
    <n v="4.1000000000000002E-2"/>
    <n v="21"/>
    <n v="0.56515755966694936"/>
    <x v="529"/>
    <n v="15107.609999999999"/>
    <n v="7568.7026100000021"/>
    <n v="0.33377131194876403"/>
    <s v="Medium"/>
    <n v="22676.312610000001"/>
    <n v="7568.7026100000021"/>
  </r>
  <r>
    <x v="530"/>
    <x v="405"/>
    <d v="2025-05-12T00:00:00"/>
    <n v="20"/>
    <x v="9"/>
    <x v="2"/>
    <s v="France"/>
    <s v="Lyon"/>
    <s v="Enterprise"/>
    <x v="4"/>
    <x v="10"/>
    <s v="Monitors"/>
    <s v="MON-9216"/>
    <n v="59.51"/>
    <n v="67.040000000000006"/>
    <n v="0.114"/>
    <n v="9"/>
    <n v="0.12653335573853147"/>
    <x v="530"/>
    <n v="535.59"/>
    <n v="-1.0130400000000463"/>
    <n v="-1.8950311663264469E-3"/>
    <s v="Low"/>
    <n v="534.57695999999999"/>
    <n v="-1.0130400000000463"/>
  </r>
  <r>
    <x v="531"/>
    <x v="405"/>
    <d v="2025-04-23T00:00:00"/>
    <n v="1"/>
    <x v="9"/>
    <x v="0"/>
    <s v="USA"/>
    <s v="San Francisco"/>
    <s v="Non-Profit"/>
    <x v="0"/>
    <x v="2"/>
    <s v="Monitors"/>
    <s v="MON-3371"/>
    <n v="23.24"/>
    <n v="44.57"/>
    <n v="0.215"/>
    <n v="15"/>
    <n v="0.91781411359724629"/>
    <x v="531"/>
    <n v="348.59999999999997"/>
    <n v="176.21174999999999"/>
    <n v="0.33576182316802167"/>
    <s v="High"/>
    <n v="524.81174999999996"/>
    <n v="176.21174999999999"/>
  </r>
  <r>
    <x v="532"/>
    <x v="405"/>
    <d v="2025-05-02T00:00:00"/>
    <n v="10"/>
    <x v="9"/>
    <x v="2"/>
    <s v="Germany"/>
    <s v="Berlin"/>
    <s v="Corporate"/>
    <x v="4"/>
    <x v="11"/>
    <s v="Monitors"/>
    <s v="MON-2842"/>
    <n v="20.149999999999999"/>
    <n v="39.74"/>
    <n v="0.151"/>
    <n v="18"/>
    <n v="0.97220843672456603"/>
    <x v="532"/>
    <n v="362.7"/>
    <n v="244.60668000000004"/>
    <n v="0.4027729120318585"/>
    <s v="High"/>
    <n v="607.30668000000003"/>
    <n v="244.60668000000004"/>
  </r>
  <r>
    <x v="533"/>
    <x v="406"/>
    <d v="2025-05-06T00:00:00"/>
    <n v="12"/>
    <x v="9"/>
    <x v="0"/>
    <s v="Brazil"/>
    <s v="Brasília"/>
    <s v="Consumer"/>
    <x v="1"/>
    <x v="11"/>
    <s v="Phones"/>
    <s v="PHN-2787"/>
    <n v="394.13"/>
    <n v="932.29"/>
    <n v="0.109"/>
    <n v="7"/>
    <n v="1.3654377997107552"/>
    <x v="533"/>
    <n v="2758.91"/>
    <n v="3055.7827299999999"/>
    <n v="0.5255278089303268"/>
    <s v="High"/>
    <n v="5814.6927299999998"/>
    <n v="3055.7827299999999"/>
  </r>
  <r>
    <x v="534"/>
    <x v="407"/>
    <d v="2025-05-27T00:00:00"/>
    <n v="30"/>
    <x v="9"/>
    <x v="3"/>
    <s v="India"/>
    <s v="Delhi"/>
    <s v="Enterprise"/>
    <x v="4"/>
    <x v="4"/>
    <s v="Phones"/>
    <s v="PHN-3854"/>
    <n v="481.32"/>
    <n v="1135.99"/>
    <n v="0.14499999999999999"/>
    <n v="5"/>
    <n v="1.3601554059669245"/>
    <x v="534"/>
    <n v="2406.6"/>
    <n v="2449.7572500000001"/>
    <n v="0.50444337677175621"/>
    <s v="High"/>
    <n v="4856.35725"/>
    <n v="2449.7572500000001"/>
  </r>
  <r>
    <x v="535"/>
    <x v="407"/>
    <d v="2025-05-25T00:00:00"/>
    <n v="28"/>
    <x v="9"/>
    <x v="2"/>
    <s v="France"/>
    <s v="Paris"/>
    <s v="Small Business"/>
    <x v="4"/>
    <x v="12"/>
    <s v="Phones"/>
    <s v="PHN-8350"/>
    <n v="603.45000000000005"/>
    <n v="1244.08"/>
    <n v="0.2"/>
    <n v="11"/>
    <n v="1.0616123953931558"/>
    <x v="535"/>
    <n v="6637.9500000000007"/>
    <n v="4309.9539999999997"/>
    <n v="0.39367846119220623"/>
    <s v="High"/>
    <n v="10947.904"/>
    <n v="4309.9539999999997"/>
  </r>
  <r>
    <x v="536"/>
    <x v="407"/>
    <d v="2025-05-17T00:00:00"/>
    <n v="20"/>
    <x v="9"/>
    <x v="0"/>
    <s v="USA"/>
    <s v="Austin"/>
    <s v="Corporate"/>
    <x v="2"/>
    <x v="8"/>
    <s v="Phones"/>
    <s v="PHN-8776"/>
    <n v="932.26"/>
    <n v="1624.67"/>
    <n v="0.23499999999999999"/>
    <n v="28"/>
    <n v="0.7427219874283999"/>
    <x v="536"/>
    <n v="26103.279999999999"/>
    <n v="8697.1514000000025"/>
    <n v="0.24991504559337163"/>
    <s v="Medium"/>
    <n v="34800.431400000001"/>
    <n v="8697.1514000000025"/>
  </r>
  <r>
    <x v="537"/>
    <x v="408"/>
    <d v="2025-05-19T00:00:00"/>
    <n v="21"/>
    <x v="9"/>
    <x v="2"/>
    <s v="Germany"/>
    <s v="Berlin"/>
    <s v="Corporate"/>
    <x v="0"/>
    <x v="0"/>
    <s v="Phones"/>
    <s v="PHN-2462"/>
    <n v="350.76"/>
    <n v="492.18"/>
    <n v="5.2999999999999999E-2"/>
    <n v="11"/>
    <n v="0.40318166267533362"/>
    <x v="537"/>
    <n v="3858.3599999999997"/>
    <n v="1268.6790600000004"/>
    <n v="0.24744868239798437"/>
    <s v="Medium"/>
    <n v="5127.0390600000001"/>
    <n v="1268.6790600000004"/>
  </r>
  <r>
    <x v="538"/>
    <x v="408"/>
    <d v="2025-05-15T00:00:00"/>
    <n v="17"/>
    <x v="9"/>
    <x v="3"/>
    <s v="Japan"/>
    <s v="Nagoya"/>
    <s v="Education"/>
    <x v="2"/>
    <x v="8"/>
    <s v="Networking"/>
    <s v="NET-1966"/>
    <n v="691.19"/>
    <n v="1284.3"/>
    <n v="7.3999999999999996E-2"/>
    <n v="7"/>
    <n v="0.85809979889755328"/>
    <x v="538"/>
    <n v="4838.33"/>
    <n v="3486.5026000000016"/>
    <n v="0.41880753253825198"/>
    <s v="High"/>
    <n v="8324.8326000000015"/>
    <n v="3486.5026000000016"/>
  </r>
  <r>
    <x v="539"/>
    <x v="409"/>
    <d v="2025-05-13T00:00:00"/>
    <n v="11"/>
    <x v="9"/>
    <x v="1"/>
    <s v="Kenya"/>
    <s v="Nakuru"/>
    <s v="Small Business"/>
    <x v="1"/>
    <x v="1"/>
    <s v="Accessories"/>
    <s v="ACC-2252"/>
    <n v="1057.5999999999999"/>
    <n v="1437.06"/>
    <n v="0.20499999999999999"/>
    <n v="4"/>
    <n v="0.3587934947049925"/>
    <x v="539"/>
    <n v="4230.3999999999996"/>
    <n v="339.45080000000053"/>
    <n v="7.4280499485891424E-2"/>
    <s v="Medium"/>
    <n v="4569.8508000000002"/>
    <n v="339.45080000000053"/>
  </r>
  <r>
    <x v="540"/>
    <x v="410"/>
    <d v="2025-05-13T00:00:00"/>
    <n v="6"/>
    <x v="9"/>
    <x v="3"/>
    <s v="India"/>
    <s v="Bengaluru"/>
    <s v="Enterprise"/>
    <x v="2"/>
    <x v="13"/>
    <s v="Phones"/>
    <s v="PHN-5683"/>
    <n v="935.98"/>
    <n v="2077.69"/>
    <n v="0.17499999999999999"/>
    <n v="24"/>
    <n v="1.2198017051646404"/>
    <x v="540"/>
    <n v="22463.52"/>
    <n v="18674.741999999995"/>
    <n v="0.45395067978321491"/>
    <s v="High"/>
    <n v="41138.261999999995"/>
    <n v="18674.741999999995"/>
  </r>
  <r>
    <x v="541"/>
    <x v="411"/>
    <d v="2025-05-27T00:00:00"/>
    <n v="17"/>
    <x v="9"/>
    <x v="0"/>
    <s v="Canada"/>
    <s v="Vancouver"/>
    <s v="Education"/>
    <x v="2"/>
    <x v="11"/>
    <s v="Components"/>
    <s v="CMP-9307"/>
    <n v="862.89"/>
    <n v="1426.03"/>
    <n v="5.6000000000000001E-2"/>
    <n v="19"/>
    <n v="0.65262084390826181"/>
    <x v="541"/>
    <n v="16394.91"/>
    <n v="9182.3640799999994"/>
    <n v="0.35900479665188778"/>
    <s v="Medium"/>
    <n v="25577.274079999999"/>
    <n v="9182.3640799999994"/>
  </r>
  <r>
    <x v="542"/>
    <x v="412"/>
    <d v="2025-05-26T00:00:00"/>
    <n v="14"/>
    <x v="9"/>
    <x v="3"/>
    <s v="India"/>
    <s v="Hyderabad"/>
    <s v="Corporate"/>
    <x v="4"/>
    <x v="6"/>
    <s v="Printers"/>
    <s v="PRN-8850"/>
    <n v="320.12"/>
    <n v="594.41999999999996"/>
    <n v="0.104"/>
    <n v="18"/>
    <n v="0.85686617518430575"/>
    <x v="542"/>
    <n v="5762.16"/>
    <n v="3824.6457599999994"/>
    <n v="0.39894891538931104"/>
    <s v="High"/>
    <n v="9586.8057599999993"/>
    <n v="3824.6457599999994"/>
  </r>
  <r>
    <x v="543"/>
    <x v="412"/>
    <d v="2025-05-14T00:00:00"/>
    <n v="2"/>
    <x v="9"/>
    <x v="0"/>
    <s v="Canada"/>
    <s v="Vancouver"/>
    <s v="Non-Profit"/>
    <x v="0"/>
    <x v="7"/>
    <s v="Printers"/>
    <s v="PRN-2407"/>
    <n v="883.5"/>
    <n v="1978.91"/>
    <n v="5.3999999999999999E-2"/>
    <n v="27"/>
    <n v="1.2398528579513299"/>
    <x v="543"/>
    <n v="23854.5"/>
    <n v="26690.819219999998"/>
    <n v="0.52805718970390547"/>
    <s v="High"/>
    <n v="50545.319219999998"/>
    <n v="26690.819219999998"/>
  </r>
  <r>
    <x v="544"/>
    <x v="413"/>
    <d v="2025-05-24T00:00:00"/>
    <n v="10"/>
    <x v="9"/>
    <x v="2"/>
    <s v="France"/>
    <s v="Paris"/>
    <s v="Small Business"/>
    <x v="4"/>
    <x v="10"/>
    <s v="Components"/>
    <s v="CMP-2865"/>
    <n v="170.39"/>
    <n v="388.04"/>
    <n v="8.4000000000000005E-2"/>
    <n v="15"/>
    <n v="1.2773636950525269"/>
    <x v="544"/>
    <n v="2555.85"/>
    <n v="2775.8196000000003"/>
    <n v="0.52062858508711796"/>
    <s v="High"/>
    <n v="5331.6696000000002"/>
    <n v="2775.8196000000003"/>
  </r>
  <r>
    <x v="545"/>
    <x v="414"/>
    <d v="2025-06-05T00:00:00"/>
    <n v="21"/>
    <x v="9"/>
    <x v="3"/>
    <s v="Japan"/>
    <s v="Osaka"/>
    <s v="Enterprise"/>
    <x v="2"/>
    <x v="4"/>
    <s v="Phones"/>
    <s v="PHN-6480"/>
    <n v="1466.5"/>
    <n v="2778.74"/>
    <n v="0.13500000000000001"/>
    <n v="4"/>
    <n v="0.89481077395158526"/>
    <x v="545"/>
    <n v="5866"/>
    <n v="3748.4403999999995"/>
    <n v="0.38987608680792279"/>
    <s v="High"/>
    <n v="9614.4403999999995"/>
    <n v="3748.4403999999995"/>
  </r>
  <r>
    <x v="546"/>
    <x v="415"/>
    <d v="2025-05-27T00:00:00"/>
    <n v="11"/>
    <x v="9"/>
    <x v="3"/>
    <s v="China"/>
    <s v="Beijing"/>
    <s v="Enterprise"/>
    <x v="1"/>
    <x v="7"/>
    <s v="Phones"/>
    <s v="PHN-3800"/>
    <n v="918.12"/>
    <n v="1337.69"/>
    <n v="9.5000000000000001E-2"/>
    <n v="8"/>
    <n v="0.45698819326449708"/>
    <x v="546"/>
    <n v="7344.96"/>
    <n v="2339.9156000000012"/>
    <n v="0.24160512707050164"/>
    <s v="Medium"/>
    <n v="9684.8756000000012"/>
    <n v="2339.9156000000012"/>
  </r>
  <r>
    <x v="547"/>
    <x v="415"/>
    <d v="2025-05-18T00:00:00"/>
    <n v="2"/>
    <x v="9"/>
    <x v="3"/>
    <s v="Japan"/>
    <s v="Tokyo"/>
    <s v="Enterprise"/>
    <x v="3"/>
    <x v="13"/>
    <s v="Printers"/>
    <s v="PRN-6131"/>
    <n v="1144.3800000000001"/>
    <n v="2755.04"/>
    <n v="0.15"/>
    <n v="17"/>
    <n v="1.4074520701165694"/>
    <x v="547"/>
    <n v="19454.460000000003"/>
    <n v="20355.867999999999"/>
    <n v="0.51132128326096682"/>
    <s v="High"/>
    <n v="39810.328000000001"/>
    <n v="20355.867999999999"/>
  </r>
  <r>
    <x v="548"/>
    <x v="416"/>
    <d v="2025-05-30T00:00:00"/>
    <n v="13"/>
    <x v="9"/>
    <x v="1"/>
    <s v="Nigeria"/>
    <s v="Lagos"/>
    <s v="Consumer"/>
    <x v="0"/>
    <x v="7"/>
    <s v="Accessories"/>
    <s v="ACC-3349"/>
    <n v="66.400000000000006"/>
    <n v="141.43"/>
    <n v="0.107"/>
    <n v="8"/>
    <n v="1.1299698795180722"/>
    <x v="548"/>
    <n v="531.20000000000005"/>
    <n v="479.17592000000002"/>
    <n v="0.47425508715607551"/>
    <s v="High"/>
    <n v="1010.3759200000001"/>
    <n v="479.17592000000002"/>
  </r>
  <r>
    <x v="549"/>
    <x v="416"/>
    <d v="2025-05-28T00:00:00"/>
    <n v="11"/>
    <x v="9"/>
    <x v="3"/>
    <s v="India"/>
    <s v="Bengaluru"/>
    <s v="Corporate"/>
    <x v="0"/>
    <x v="0"/>
    <s v="Laptops"/>
    <s v="LAP-9016"/>
    <n v="623.4"/>
    <n v="1100.0899999999999"/>
    <n v="0.114"/>
    <n v="12"/>
    <n v="0.764661533525826"/>
    <x v="549"/>
    <n v="7480.7999999999993"/>
    <n v="4215.3568799999994"/>
    <n v="0.36040529579490388"/>
    <s v="High"/>
    <n v="11696.156879999999"/>
    <n v="4215.3568799999994"/>
  </r>
  <r>
    <x v="550"/>
    <x v="416"/>
    <d v="2025-05-19T00:00:00"/>
    <n v="2"/>
    <x v="9"/>
    <x v="0"/>
    <s v="Brazil"/>
    <s v="São Paulo"/>
    <s v="Small Business"/>
    <x v="0"/>
    <x v="9"/>
    <s v="Monitors"/>
    <s v="MON-2993"/>
    <n v="383.77"/>
    <n v="952.56"/>
    <n v="0.14000000000000001"/>
    <n v="10"/>
    <n v="1.4821116814758839"/>
    <x v="550"/>
    <n v="3837.7"/>
    <n v="4354.315999999998"/>
    <n v="0.53153167669594381"/>
    <s v="High"/>
    <n v="8192.0159999999978"/>
    <n v="4354.315999999998"/>
  </r>
  <r>
    <x v="551"/>
    <x v="417"/>
    <d v="2025-06-09T00:00:00"/>
    <n v="22"/>
    <x v="9"/>
    <x v="0"/>
    <s v="USA"/>
    <s v="New York"/>
    <s v="Consumer"/>
    <x v="3"/>
    <x v="4"/>
    <s v="Networking"/>
    <s v="NET-3749"/>
    <n v="382.96"/>
    <n v="552.84"/>
    <n v="0.17599999999999999"/>
    <n v="8"/>
    <n v="0.44359724253185728"/>
    <x v="551"/>
    <n v="3063.68"/>
    <n v="580.64128000000073"/>
    <n v="0.15932768693763483"/>
    <s v="Medium"/>
    <n v="3644.3212800000006"/>
    <n v="580.64128000000073"/>
  </r>
  <r>
    <x v="552"/>
    <x v="418"/>
    <d v="2025-05-21T00:00:00"/>
    <n v="2"/>
    <x v="9"/>
    <x v="1"/>
    <s v="South Africa"/>
    <s v="Johannesburg"/>
    <s v="Non-Profit"/>
    <x v="0"/>
    <x v="5"/>
    <s v="Laptops"/>
    <s v="LAP-7099"/>
    <n v="1263.8399999999999"/>
    <n v="2281.7199999999998"/>
    <n v="7.8E-2"/>
    <n v="15"/>
    <n v="0.80538675781744518"/>
    <x v="552"/>
    <n v="18957.599999999999"/>
    <n v="12598.587599999999"/>
    <n v="0.39924301882398494"/>
    <s v="High"/>
    <n v="31556.187599999997"/>
    <n v="12598.587599999999"/>
  </r>
  <r>
    <x v="553"/>
    <x v="418"/>
    <d v="2025-05-21T00:00:00"/>
    <n v="2"/>
    <x v="9"/>
    <x v="2"/>
    <s v="United Kingdom"/>
    <s v="Birmingham"/>
    <s v="Enterprise"/>
    <x v="1"/>
    <x v="3"/>
    <s v="Laptops"/>
    <s v="LAP-3385"/>
    <n v="1015.16"/>
    <n v="2148.14"/>
    <n v="3.7999999999999999E-2"/>
    <n v="19"/>
    <n v="1.1160605224792151"/>
    <x v="553"/>
    <n v="19288.04"/>
    <n v="19975.662919999995"/>
    <n v="0.50875647059322227"/>
    <s v="High"/>
    <n v="39263.702919999996"/>
    <n v="19975.662919999995"/>
  </r>
  <r>
    <x v="554"/>
    <x v="419"/>
    <d v="2025-06-09T00:00:00"/>
    <n v="19"/>
    <x v="9"/>
    <x v="0"/>
    <s v="Brazil"/>
    <s v="São Paulo"/>
    <s v="Non-Profit"/>
    <x v="1"/>
    <x v="1"/>
    <s v="Components"/>
    <s v="CMP-3731"/>
    <n v="1331.38"/>
    <n v="2309.56"/>
    <n v="0.14899999999999999"/>
    <n v="31"/>
    <n v="0.73471135213087158"/>
    <x v="554"/>
    <n v="41272.780000000006"/>
    <n v="19655.722359999992"/>
    <n v="0.32260307735553528"/>
    <s v="Medium"/>
    <n v="60928.502359999999"/>
    <n v="19655.722359999992"/>
  </r>
  <r>
    <x v="555"/>
    <x v="420"/>
    <d v="2025-06-08T00:00:00"/>
    <n v="12"/>
    <x v="9"/>
    <x v="3"/>
    <s v="Japan"/>
    <s v="Osaka"/>
    <s v="Corporate"/>
    <x v="3"/>
    <x v="4"/>
    <s v="Accessories"/>
    <s v="ACC-1249"/>
    <n v="653.6"/>
    <n v="842.09"/>
    <n v="9.8000000000000004E-2"/>
    <n v="19"/>
    <n v="0.2883873929008568"/>
    <x v="555"/>
    <n v="12418.4"/>
    <n v="2013.3384200000019"/>
    <n v="0.13950768517324622"/>
    <s v="Medium"/>
    <n v="14431.738420000001"/>
    <n v="2013.3384200000019"/>
  </r>
  <r>
    <x v="556"/>
    <x v="421"/>
    <d v="2025-06-20T00:00:00"/>
    <n v="22"/>
    <x v="9"/>
    <x v="2"/>
    <s v="Germany"/>
    <s v="Berlin"/>
    <s v="Corporate"/>
    <x v="2"/>
    <x v="1"/>
    <s v="Printers"/>
    <s v="PRN-9787"/>
    <n v="483.47"/>
    <n v="1135.43"/>
    <n v="0.14599999999999999"/>
    <n v="11"/>
    <n v="1.3485014582083688"/>
    <x v="556"/>
    <n v="5318.17"/>
    <n v="5348.0594200000014"/>
    <n v="0.50140112399719983"/>
    <s v="High"/>
    <n v="10666.229420000001"/>
    <n v="5348.0594200000014"/>
  </r>
  <r>
    <x v="557"/>
    <x v="422"/>
    <d v="2025-06-06T00:00:00"/>
    <n v="5"/>
    <x v="9"/>
    <x v="2"/>
    <s v="France"/>
    <s v="Paris"/>
    <s v="Consumer"/>
    <x v="0"/>
    <x v="6"/>
    <s v="Components"/>
    <s v="CMP-4093"/>
    <n v="379.45"/>
    <n v="742.23"/>
    <n v="0.09"/>
    <n v="13"/>
    <n v="0.95606799314797741"/>
    <x v="557"/>
    <n v="4932.8499999999995"/>
    <n v="3847.7309000000014"/>
    <n v="0.43820915083192286"/>
    <s v="High"/>
    <n v="8780.5809000000008"/>
    <n v="3847.7309000000014"/>
  </r>
  <r>
    <x v="558"/>
    <x v="422"/>
    <d v="2025-06-05T00:00:00"/>
    <n v="4"/>
    <x v="9"/>
    <x v="2"/>
    <s v="Germany"/>
    <s v="Munich"/>
    <s v="Enterprise"/>
    <x v="2"/>
    <x v="3"/>
    <s v="Components"/>
    <s v="CMP-4159"/>
    <n v="1171.42"/>
    <n v="2187.8000000000002"/>
    <n v="0.23"/>
    <n v="15"/>
    <n v="0.86764781205716146"/>
    <x v="558"/>
    <n v="17571.300000000003"/>
    <n v="7697.7899999999972"/>
    <n v="0.30463265594447592"/>
    <s v="High"/>
    <n v="25269.09"/>
    <n v="7697.7899999999972"/>
  </r>
  <r>
    <x v="559"/>
    <x v="422"/>
    <d v="2025-06-27T00:00:00"/>
    <n v="26"/>
    <x v="9"/>
    <x v="2"/>
    <s v="Germany"/>
    <s v="Munich"/>
    <s v="Consumer"/>
    <x v="0"/>
    <x v="14"/>
    <s v="Laptops"/>
    <s v="LAP-1619"/>
    <n v="1362.31"/>
    <n v="3294.57"/>
    <n v="0.113"/>
    <n v="7"/>
    <n v="1.418370268147485"/>
    <x v="559"/>
    <n v="9536.17"/>
    <n v="10919.815130000001"/>
    <n v="0.5338200561157721"/>
    <s v="High"/>
    <n v="20455.985130000001"/>
    <n v="10919.815130000001"/>
  </r>
  <r>
    <x v="560"/>
    <x v="423"/>
    <d v="2025-06-10T00:00:00"/>
    <n v="7"/>
    <x v="9"/>
    <x v="0"/>
    <s v="Canada"/>
    <s v="Toronto"/>
    <s v="Consumer"/>
    <x v="0"/>
    <x v="5"/>
    <s v="Printers"/>
    <s v="PRN-6429"/>
    <n v="75.180000000000007"/>
    <n v="137.57940000000002"/>
    <n v="0.157"/>
    <n v="17"/>
    <n v="0.83000000000000007"/>
    <x v="560"/>
    <n v="1278.0600000000002"/>
    <n v="693.59038140000007"/>
    <n v="0.35178162819490627"/>
    <s v="High"/>
    <n v="1971.6503814000002"/>
    <n v="693.59038140000007"/>
  </r>
  <r>
    <x v="561"/>
    <x v="424"/>
    <d v="2025-06-14T00:00:00"/>
    <n v="9"/>
    <x v="9"/>
    <x v="3"/>
    <s v="India"/>
    <s v="Delhi"/>
    <s v="Non-Profit"/>
    <x v="3"/>
    <x v="1"/>
    <s v="Accessories"/>
    <s v="ACC-2902"/>
    <n v="618.69000000000005"/>
    <n v="796.15"/>
    <n v="0.09"/>
    <n v="11"/>
    <n v="0.2868318544020429"/>
    <x v="561"/>
    <n v="6805.59"/>
    <n v="1163.8715000000002"/>
    <n v="0.14604142325049191"/>
    <s v="Medium"/>
    <n v="7969.4615000000003"/>
    <n v="1163.8715000000002"/>
  </r>
  <r>
    <x v="562"/>
    <x v="425"/>
    <d v="2025-06-24T00:00:00"/>
    <n v="15"/>
    <x v="9"/>
    <x v="3"/>
    <s v="Japan"/>
    <s v="Nagoya"/>
    <s v="Corporate"/>
    <x v="2"/>
    <x v="0"/>
    <s v="Phones"/>
    <s v="PHN-5675"/>
    <n v="400.39"/>
    <n v="712.75"/>
    <n v="0.115"/>
    <n v="19"/>
    <n v="0.78013936411998308"/>
    <x v="562"/>
    <n v="7607.41"/>
    <n v="4377.4812500000007"/>
    <n v="0.36524997671547504"/>
    <s v="High"/>
    <n v="11984.891250000001"/>
    <n v="4377.4812500000007"/>
  </r>
  <r>
    <x v="563"/>
    <x v="425"/>
    <d v="2025-06-25T00:00:00"/>
    <n v="16"/>
    <x v="9"/>
    <x v="3"/>
    <s v="India"/>
    <s v="Hyderabad"/>
    <s v="Enterprise"/>
    <x v="0"/>
    <x v="3"/>
    <s v="Phones"/>
    <s v="PHN-3482"/>
    <n v="527.33000000000004"/>
    <n v="911.72"/>
    <n v="0.14399999999999999"/>
    <n v="25"/>
    <n v="0.72893633967344917"/>
    <x v="563"/>
    <n v="13183.250000000002"/>
    <n v="6327.5579999999991"/>
    <n v="0.32431040272652978"/>
    <s v="Medium"/>
    <n v="19510.808000000001"/>
    <n v="6327.5579999999991"/>
  </r>
  <r>
    <x v="564"/>
    <x v="425"/>
    <d v="2025-06-18T00:00:00"/>
    <n v="9"/>
    <x v="9"/>
    <x v="2"/>
    <s v="France"/>
    <s v="Marseille"/>
    <s v="Small Business"/>
    <x v="4"/>
    <x v="4"/>
    <s v="Accessories"/>
    <s v="ACC-1770"/>
    <n v="1225.5"/>
    <n v="2132.37"/>
    <n v="7.4999999999999997E-2"/>
    <n v="56"/>
    <n v="0.73999999999999988"/>
    <x v="564"/>
    <n v="68628"/>
    <n v="41828.766000000003"/>
    <n v="0.3786890338614477"/>
    <s v="Medium"/>
    <n v="110456.766"/>
    <n v="41828.766000000003"/>
  </r>
  <r>
    <x v="565"/>
    <x v="426"/>
    <d v="2025-06-29T00:00:00"/>
    <n v="15"/>
    <x v="9"/>
    <x v="1"/>
    <s v="Nigeria"/>
    <s v="Port Harcourt"/>
    <s v="Consumer"/>
    <x v="4"/>
    <x v="3"/>
    <s v="Accessories"/>
    <s v="ACC-3961"/>
    <n v="730.99"/>
    <n v="1242.8399999999999"/>
    <n v="0.12"/>
    <n v="10"/>
    <n v="0.70021477721993453"/>
    <x v="565"/>
    <n v="7309.9"/>
    <n v="3627.0920000000006"/>
    <n v="0.33163524303574515"/>
    <s v="Medium"/>
    <n v="10936.992"/>
    <n v="3627.0920000000006"/>
  </r>
  <r>
    <x v="566"/>
    <x v="427"/>
    <d v="2025-07-12T00:00:00"/>
    <n v="27"/>
    <x v="9"/>
    <x v="2"/>
    <s v="France"/>
    <s v="Marseille"/>
    <s v="Consumer"/>
    <x v="2"/>
    <x v="11"/>
    <s v="Accessories"/>
    <s v="ACC-7906"/>
    <n v="318.83"/>
    <n v="699.5"/>
    <n v="0.08"/>
    <n v="13"/>
    <n v="1.1939591631904152"/>
    <x v="566"/>
    <n v="4144.79"/>
    <n v="4221.2300000000005"/>
    <n v="0.50456848059172699"/>
    <s v="High"/>
    <n v="8366.02"/>
    <n v="4221.2300000000005"/>
  </r>
  <r>
    <x v="567"/>
    <x v="427"/>
    <d v="2025-06-30T00:00:00"/>
    <n v="15"/>
    <x v="9"/>
    <x v="1"/>
    <s v="South Africa"/>
    <s v="Johannesburg"/>
    <s v="Small Business"/>
    <x v="2"/>
    <x v="11"/>
    <s v="Monitors"/>
    <s v="MON-5891"/>
    <n v="1487.59"/>
    <n v="2484.2752999999998"/>
    <n v="8.9999999999999993E-3"/>
    <n v="11"/>
    <n v="0.66999999999999993"/>
    <x v="567"/>
    <n v="16363.49"/>
    <n v="10717.595045299999"/>
    <n v="0.39575943974815253"/>
    <s v="Medium"/>
    <n v="27081.085045299998"/>
    <n v="10717.595045299999"/>
  </r>
  <r>
    <x v="568"/>
    <x v="428"/>
    <d v="2025-07-05T00:00:00"/>
    <n v="18"/>
    <x v="9"/>
    <x v="3"/>
    <s v="India"/>
    <s v="Delhi"/>
    <s v="Consumer"/>
    <x v="4"/>
    <x v="9"/>
    <s v="Laptops"/>
    <s v="LAP-1990"/>
    <n v="982.93"/>
    <n v="2299.3000000000002"/>
    <n v="0.113"/>
    <n v="6"/>
    <n v="1.3392306674941252"/>
    <x v="568"/>
    <n v="5897.58"/>
    <n v="6339.2946000000011"/>
    <n v="0.51804850562087157"/>
    <s v="High"/>
    <n v="12236.874600000001"/>
    <n v="6339.2946000000011"/>
  </r>
  <r>
    <x v="569"/>
    <x v="429"/>
    <d v="2025-06-21T00:00:00"/>
    <n v="2"/>
    <x v="9"/>
    <x v="1"/>
    <s v="South Africa"/>
    <s v="Johannesburg"/>
    <s v="Small Business"/>
    <x v="2"/>
    <x v="4"/>
    <s v="Phones"/>
    <s v="PHN-7379"/>
    <n v="1466.27"/>
    <n v="3589.89"/>
    <n v="9.7000000000000003E-2"/>
    <n v="9"/>
    <n v="1.4483144304937017"/>
    <x v="569"/>
    <n v="13196.43"/>
    <n v="15978.606029999999"/>
    <n v="0.54768076425234147"/>
    <s v="High"/>
    <n v="29175.036029999999"/>
    <n v="15978.606029999999"/>
  </r>
  <r>
    <x v="570"/>
    <x v="429"/>
    <d v="2025-07-12T00:00:00"/>
    <n v="23"/>
    <x v="9"/>
    <x v="2"/>
    <s v="United Kingdom"/>
    <s v="London"/>
    <s v="Non-Profit"/>
    <x v="2"/>
    <x v="4"/>
    <s v="Networking"/>
    <s v="NET-6370"/>
    <n v="801.24"/>
    <n v="1959.09"/>
    <n v="0.123"/>
    <n v="23"/>
    <n v="1.4450726374120113"/>
    <x v="570"/>
    <n v="18428.52"/>
    <n v="21088.284389999997"/>
    <n v="0.53365358650651762"/>
    <s v="High"/>
    <n v="39516.804389999998"/>
    <n v="21088.284389999997"/>
  </r>
  <r>
    <x v="571"/>
    <x v="430"/>
    <d v="2025-06-27T00:00:00"/>
    <n v="6"/>
    <x v="9"/>
    <x v="1"/>
    <s v="South Africa"/>
    <s v="Durban"/>
    <s v="Enterprise"/>
    <x v="0"/>
    <x v="8"/>
    <s v="Phones"/>
    <s v="PHN-3819"/>
    <n v="93.91"/>
    <n v="99.04"/>
    <n v="5.7000000000000002E-2"/>
    <n v="6"/>
    <n v="5.4626770312000958E-2"/>
    <x v="571"/>
    <n v="563.46"/>
    <n v="-3.0916800000001103"/>
    <n v="-5.5172283829323376E-3"/>
    <s v="Low"/>
    <n v="560.36831999999993"/>
    <n v="-3.0916800000001103"/>
  </r>
  <r>
    <x v="572"/>
    <x v="431"/>
    <d v="2025-07-08T00:00:00"/>
    <n v="16"/>
    <x v="9"/>
    <x v="2"/>
    <s v="United Kingdom"/>
    <s v="London"/>
    <s v="Education"/>
    <x v="2"/>
    <x v="1"/>
    <s v="Phones"/>
    <s v="PHN-5316"/>
    <n v="892.73"/>
    <n v="979.84"/>
    <n v="0.17399999999999999"/>
    <n v="10"/>
    <n v="9.7577094978324924E-2"/>
    <x v="572"/>
    <n v="8927.2999999999993"/>
    <n v="-833.82159999999931"/>
    <n v="-0.10302388649112838"/>
    <s v="Low"/>
    <n v="8093.4784"/>
    <n v="-833.82159999999931"/>
  </r>
  <r>
    <x v="573"/>
    <x v="432"/>
    <d v="2025-07-23T00:00:00"/>
    <n v="29"/>
    <x v="9"/>
    <x v="0"/>
    <s v="Canada"/>
    <s v="Vancouver"/>
    <s v="Non-Profit"/>
    <x v="4"/>
    <x v="12"/>
    <s v="Printers"/>
    <s v="PRN-3775"/>
    <n v="255.4"/>
    <n v="322.70999999999998"/>
    <n v="0.115"/>
    <n v="16"/>
    <n v="0.26354737666405625"/>
    <x v="573"/>
    <n v="4086.4"/>
    <n v="483.17359999999962"/>
    <n v="0.10573713048412212"/>
    <s v="Medium"/>
    <n v="4569.5735999999997"/>
    <n v="483.17359999999962"/>
  </r>
  <r>
    <x v="574"/>
    <x v="432"/>
    <d v="2025-07-14T00:00:00"/>
    <n v="20"/>
    <x v="9"/>
    <x v="2"/>
    <s v="Germany"/>
    <s v="Berlin"/>
    <s v="Corporate"/>
    <x v="2"/>
    <x v="5"/>
    <s v="Accessories"/>
    <s v="ACC-8094"/>
    <n v="385.08"/>
    <n v="893.19"/>
    <n v="0.151"/>
    <n v="8"/>
    <n v="1.3194920535992523"/>
    <x v="574"/>
    <n v="3080.64"/>
    <n v="2985.9064800000001"/>
    <n v="0.49219213762621666"/>
    <s v="High"/>
    <n v="6066.54648"/>
    <n v="2985.9064800000001"/>
  </r>
  <r>
    <x v="575"/>
    <x v="432"/>
    <d v="2025-07-10T00:00:00"/>
    <n v="16"/>
    <x v="9"/>
    <x v="3"/>
    <s v="China"/>
    <s v="Shanghai"/>
    <s v="Enterprise"/>
    <x v="2"/>
    <x v="8"/>
    <s v="Components"/>
    <s v="CMP-8390"/>
    <n v="757.19"/>
    <n v="1735.41"/>
    <n v="0.13600000000000001"/>
    <n v="8"/>
    <n v="1.2919082396756427"/>
    <x v="575"/>
    <n v="6057.52"/>
    <n v="5937.6339200000002"/>
    <n v="0.4950027285685718"/>
    <s v="High"/>
    <n v="11995.153920000001"/>
    <n v="5937.6339200000002"/>
  </r>
  <r>
    <x v="576"/>
    <x v="432"/>
    <d v="2025-07-14T00:00:00"/>
    <n v="20"/>
    <x v="9"/>
    <x v="1"/>
    <s v="South Africa"/>
    <s v="Johannesburg"/>
    <s v="Enterprise"/>
    <x v="4"/>
    <x v="13"/>
    <s v="Laptops"/>
    <s v="LAP-1308"/>
    <n v="1151.06"/>
    <n v="2821.36"/>
    <n v="0.248"/>
    <n v="20"/>
    <n v="1.4510972494917731"/>
    <x v="576"/>
    <n v="23021.199999999997"/>
    <n v="19412.054400000008"/>
    <n v="0.45747267501594235"/>
    <s v="High"/>
    <n v="42433.254400000005"/>
    <n v="19412.054400000008"/>
  </r>
  <r>
    <x v="577"/>
    <x v="433"/>
    <d v="2025-07-10T00:00:00"/>
    <n v="15"/>
    <x v="9"/>
    <x v="2"/>
    <s v="United Kingdom"/>
    <s v="Birmingham"/>
    <s v="Non-Profit"/>
    <x v="4"/>
    <x v="2"/>
    <s v="Phones"/>
    <s v="PHN-5383"/>
    <n v="546.83000000000004"/>
    <n v="842.11820000000012"/>
    <n v="7.8E-2"/>
    <n v="13"/>
    <n v="0.54000000000000015"/>
    <x v="577"/>
    <n v="7108.7900000000009"/>
    <n v="2984.8387452000006"/>
    <n v="0.29571513085612872"/>
    <s v="Medium"/>
    <n v="10093.628745200002"/>
    <n v="2984.8387452000006"/>
  </r>
  <r>
    <x v="578"/>
    <x v="434"/>
    <d v="2025-07-11T00:00:00"/>
    <n v="15"/>
    <x v="9"/>
    <x v="1"/>
    <s v="Nigeria"/>
    <s v="Port Harcourt"/>
    <s v="Small Business"/>
    <x v="1"/>
    <x v="1"/>
    <s v="Laptops"/>
    <s v="LAP-7523"/>
    <n v="1170.1500000000001"/>
    <n v="2115.19"/>
    <n v="9.1999999999999998E-2"/>
    <n v="23"/>
    <n v="0.80762295432209541"/>
    <x v="578"/>
    <n v="26913.45"/>
    <n v="17260.177960000005"/>
    <n v="0.39073489674946776"/>
    <s v="High"/>
    <n v="44173.627960000005"/>
    <n v="17260.177960000005"/>
  </r>
  <r>
    <x v="579"/>
    <x v="435"/>
    <d v="2025-07-05T00:00:00"/>
    <n v="8"/>
    <x v="9"/>
    <x v="2"/>
    <s v="Germany"/>
    <s v="Munich"/>
    <s v="Small Business"/>
    <x v="2"/>
    <x v="6"/>
    <s v="Monitors"/>
    <s v="MON-7626"/>
    <n v="314.93"/>
    <n v="687.95"/>
    <n v="0.20499999999999999"/>
    <n v="8"/>
    <n v="1.1844536881211698"/>
    <x v="579"/>
    <n v="2519.44"/>
    <n v="1855.922"/>
    <n v="0.424175645352316"/>
    <s v="High"/>
    <n v="4375.3620000000001"/>
    <n v="1855.922"/>
  </r>
  <r>
    <x v="580"/>
    <x v="435"/>
    <d v="2025-07-11T00:00:00"/>
    <n v="14"/>
    <x v="9"/>
    <x v="3"/>
    <s v="China"/>
    <s v="Shanghai"/>
    <s v="Small Business"/>
    <x v="4"/>
    <x v="9"/>
    <s v="Networking"/>
    <s v="NET-3535"/>
    <n v="1227.7"/>
    <n v="2197.23"/>
    <n v="9.9000000000000005E-2"/>
    <n v="22"/>
    <n v="0.78971247047324256"/>
    <x v="580"/>
    <n v="27009.4"/>
    <n v="16544.093059999999"/>
    <n v="0.37985685871873898"/>
    <s v="High"/>
    <n v="43553.493060000001"/>
    <n v="16544.093059999999"/>
  </r>
  <r>
    <x v="581"/>
    <x v="436"/>
    <d v="2025-07-23T00:00:00"/>
    <n v="20"/>
    <x v="10"/>
    <x v="3"/>
    <s v="China"/>
    <s v="Beijing"/>
    <s v="Small Business"/>
    <x v="1"/>
    <x v="3"/>
    <s v="Components"/>
    <s v="CMP-1220"/>
    <n v="647.36"/>
    <n v="1383.6"/>
    <n v="7.3999999999999996E-2"/>
    <n v="12"/>
    <n v="1.1372960949085515"/>
    <x v="581"/>
    <n v="7768.32"/>
    <n v="7606.243199999999"/>
    <n v="0.49472906000997802"/>
    <s v="High"/>
    <n v="15374.563199999999"/>
    <n v="7606.243199999999"/>
  </r>
  <r>
    <x v="582"/>
    <x v="436"/>
    <d v="2025-07-06T00:00:00"/>
    <n v="3"/>
    <x v="10"/>
    <x v="1"/>
    <s v="Nigeria"/>
    <s v="Lagos"/>
    <s v="Consumer"/>
    <x v="1"/>
    <x v="13"/>
    <s v="Laptops"/>
    <s v="LAP-8910"/>
    <n v="1313.3"/>
    <n v="2884.34"/>
    <n v="0.157"/>
    <n v="42"/>
    <n v="1.196253712023148"/>
    <x v="582"/>
    <n v="55158.6"/>
    <n v="46964.342039999996"/>
    <n v="0.45988042551305253"/>
    <s v="High"/>
    <n v="102122.94203999999"/>
    <n v="46964.342039999996"/>
  </r>
  <r>
    <x v="583"/>
    <x v="437"/>
    <d v="2025-07-18T00:00:00"/>
    <n v="9"/>
    <x v="10"/>
    <x v="0"/>
    <s v="Canada"/>
    <s v="Vancouver"/>
    <s v="Education"/>
    <x v="0"/>
    <x v="12"/>
    <s v="Laptops"/>
    <s v="LAP-2218"/>
    <n v="57.96"/>
    <n v="88.51"/>
    <n v="4.2999999999999997E-2"/>
    <n v="7"/>
    <n v="0.52708764665286412"/>
    <x v="583"/>
    <n v="405.72"/>
    <n v="187.20848999999998"/>
    <n v="0.3157353595877978"/>
    <s v="Medium"/>
    <n v="592.92849000000001"/>
    <n v="187.20848999999998"/>
  </r>
  <r>
    <x v="584"/>
    <x v="438"/>
    <d v="2025-08-03T00:00:00"/>
    <n v="23"/>
    <x v="10"/>
    <x v="1"/>
    <s v="Kenya"/>
    <s v="Nakuru"/>
    <s v="Small Business"/>
    <x v="3"/>
    <x v="11"/>
    <s v="Phones"/>
    <s v="PHN-7636"/>
    <n v="389.93"/>
    <n v="486.13"/>
    <n v="0.13200000000000001"/>
    <n v="17"/>
    <n v="0.2467109481188931"/>
    <x v="584"/>
    <n v="6628.81"/>
    <n v="544.52427999999873"/>
    <n v="7.5909508569562828E-2"/>
    <s v="Low"/>
    <n v="7173.3342799999991"/>
    <n v="544.52427999999873"/>
  </r>
  <r>
    <x v="585"/>
    <x v="438"/>
    <d v="2025-07-16T00:00:00"/>
    <n v="5"/>
    <x v="10"/>
    <x v="2"/>
    <s v="United Kingdom"/>
    <s v="London"/>
    <s v="Enterprise"/>
    <x v="1"/>
    <x v="10"/>
    <s v="Printers"/>
    <s v="PRN-5753"/>
    <n v="930.03"/>
    <n v="1086.68"/>
    <n v="0.109"/>
    <n v="26"/>
    <n v="0.16843542681418888"/>
    <x v="585"/>
    <n v="24180.78"/>
    <n v="993.24888000000283"/>
    <n v="3.9455300728168656E-2"/>
    <s v="Low"/>
    <n v="25174.028880000002"/>
    <n v="993.24888000000283"/>
  </r>
  <r>
    <x v="586"/>
    <x v="439"/>
    <d v="2025-08-04T00:00:00"/>
    <n v="21"/>
    <x v="10"/>
    <x v="0"/>
    <s v="Canada"/>
    <s v="Montreal"/>
    <s v="Consumer"/>
    <x v="1"/>
    <x v="4"/>
    <s v="Monitors"/>
    <s v="MON-7868"/>
    <n v="90.3"/>
    <n v="131.76"/>
    <n v="0.10199999999999999"/>
    <n v="15"/>
    <n v="0.45913621262458465"/>
    <x v="586"/>
    <n v="1354.5"/>
    <n v="420.30719999999997"/>
    <n v="0.23681851189244668"/>
    <s v="Medium"/>
    <n v="1774.8072"/>
    <n v="420.30719999999997"/>
  </r>
  <r>
    <x v="587"/>
    <x v="440"/>
    <d v="2025-07-17T00:00:00"/>
    <n v="1"/>
    <x v="10"/>
    <x v="1"/>
    <s v="South Africa"/>
    <s v="Durban"/>
    <s v="Small Business"/>
    <x v="0"/>
    <x v="0"/>
    <s v="Networking"/>
    <s v="NET-1612"/>
    <n v="1198.9000000000001"/>
    <n v="2941.2"/>
    <n v="5.0999999999999997E-2"/>
    <n v="24"/>
    <n v="1.4532488114104591"/>
    <x v="587"/>
    <n v="28773.600000000002"/>
    <n v="38215.171199999982"/>
    <n v="0.57047129713583977"/>
    <s v="High"/>
    <n v="66988.771199999988"/>
    <n v="38215.171199999982"/>
  </r>
  <r>
    <x v="588"/>
    <x v="441"/>
    <d v="2025-07-23T00:00:00"/>
    <n v="6"/>
    <x v="10"/>
    <x v="0"/>
    <s v="Canada"/>
    <s v="Vancouver"/>
    <s v="Consumer"/>
    <x v="1"/>
    <x v="4"/>
    <s v="Components"/>
    <s v="CMP-8851"/>
    <n v="1364.89"/>
    <n v="2757.54"/>
    <n v="0.17199999999999999"/>
    <n v="61"/>
    <n v="1.0203386353479034"/>
    <x v="588"/>
    <n v="83258.290000000008"/>
    <n v="56019.54032"/>
    <n v="0.4022143379983118"/>
    <s v="High"/>
    <n v="139277.83032000001"/>
    <n v="56019.54032"/>
  </r>
  <r>
    <x v="589"/>
    <x v="442"/>
    <d v="2025-07-31T00:00:00"/>
    <n v="12"/>
    <x v="10"/>
    <x v="1"/>
    <s v="Kenya"/>
    <s v="Nairobi"/>
    <s v="Small Business"/>
    <x v="4"/>
    <x v="5"/>
    <s v="Accessories"/>
    <s v="ACC-1028"/>
    <n v="619.64"/>
    <n v="861.16"/>
    <n v="0.113"/>
    <n v="14"/>
    <n v="0.3897747078949067"/>
    <x v="589"/>
    <n v="8674.9599999999991"/>
    <n v="2018.9248800000005"/>
    <n v="0.18879246435276761"/>
    <s v="Medium"/>
    <n v="10693.88488"/>
    <n v="2018.9248800000005"/>
  </r>
  <r>
    <x v="590"/>
    <x v="443"/>
    <d v="2025-08-05T00:00:00"/>
    <n v="16"/>
    <x v="10"/>
    <x v="0"/>
    <s v="Brazil"/>
    <s v="Brasília"/>
    <s v="Enterprise"/>
    <x v="4"/>
    <x v="6"/>
    <s v="Accessories"/>
    <s v="ACC-8098"/>
    <n v="1068.17"/>
    <n v="2375.37"/>
    <n v="0.109"/>
    <n v="18"/>
    <n v="1.2237752417686321"/>
    <x v="590"/>
    <n v="19227.060000000001"/>
    <n v="18869.124059999998"/>
    <n v="0.49530220744108822"/>
    <s v="High"/>
    <n v="38096.18406"/>
    <n v="18869.124059999998"/>
  </r>
  <r>
    <x v="591"/>
    <x v="444"/>
    <d v="2025-08-07T00:00:00"/>
    <n v="17"/>
    <x v="10"/>
    <x v="1"/>
    <s v="Nigeria"/>
    <s v="Lagos"/>
    <s v="Enterprise"/>
    <x v="2"/>
    <x v="3"/>
    <s v="Accessories"/>
    <s v="ACC-8999"/>
    <n v="1204.95"/>
    <n v="2065.73"/>
    <n v="0.13600000000000001"/>
    <n v="10"/>
    <n v="0.71436989086684088"/>
    <x v="591"/>
    <n v="12049.5"/>
    <n v="5798.4071999999978"/>
    <n v="0.32487882949100039"/>
    <s v="Medium"/>
    <n v="17847.907199999998"/>
    <n v="5798.4071999999978"/>
  </r>
  <r>
    <x v="592"/>
    <x v="445"/>
    <d v="2025-08-18T00:00:00"/>
    <n v="27"/>
    <x v="10"/>
    <x v="3"/>
    <s v="China"/>
    <s v="Shenzhen"/>
    <s v="Non-Profit"/>
    <x v="4"/>
    <x v="3"/>
    <s v="Networking"/>
    <s v="NET-1804"/>
    <n v="547.32000000000005"/>
    <n v="996.12239999999997"/>
    <n v="9.1999999999999998E-2"/>
    <n v="14"/>
    <n v="0.81999999999999973"/>
    <x v="592"/>
    <n v="7662.4800000000005"/>
    <n v="5000.2279487999995"/>
    <n v="0.39487824950380013"/>
    <s v="High"/>
    <n v="12662.7079488"/>
    <n v="5000.2279487999995"/>
  </r>
  <r>
    <x v="593"/>
    <x v="446"/>
    <d v="2025-08-19T00:00:00"/>
    <n v="27"/>
    <x v="10"/>
    <x v="3"/>
    <s v="Japan"/>
    <s v="Nagoya"/>
    <s v="Consumer"/>
    <x v="4"/>
    <x v="0"/>
    <s v="Accessories"/>
    <s v="ACC-1596"/>
    <n v="896.09"/>
    <n v="1451.6658000000002"/>
    <n v="8.3000000000000004E-2"/>
    <n v="11"/>
    <n v="0.62000000000000022"/>
    <x v="593"/>
    <n v="9856.99"/>
    <n v="4785.9629246000022"/>
    <n v="0.32684411055912338"/>
    <s v="Medium"/>
    <n v="14642.952924600002"/>
    <n v="4785.9629246000022"/>
  </r>
  <r>
    <x v="594"/>
    <x v="446"/>
    <d v="2025-08-17T00:00:00"/>
    <n v="25"/>
    <x v="10"/>
    <x v="2"/>
    <s v="United Kingdom"/>
    <s v="Birmingham"/>
    <s v="Education"/>
    <x v="1"/>
    <x v="12"/>
    <s v="Printers"/>
    <s v="PRN-5876"/>
    <n v="1142.06"/>
    <n v="1455"/>
    <n v="7.8E-2"/>
    <n v="28"/>
    <n v="0.27401362450309097"/>
    <x v="594"/>
    <n v="31977.68"/>
    <n v="5584.5999999999985"/>
    <n v="0.1486757459877302"/>
    <s v="Medium"/>
    <n v="37562.28"/>
    <n v="5584.5999999999985"/>
  </r>
  <r>
    <x v="595"/>
    <x v="447"/>
    <d v="2025-08-06T00:00:00"/>
    <n v="13"/>
    <x v="10"/>
    <x v="1"/>
    <s v="South Africa"/>
    <s v="Johannesburg"/>
    <s v="Education"/>
    <x v="4"/>
    <x v="2"/>
    <s v="Networking"/>
    <s v="NET-7966"/>
    <n v="1463.9"/>
    <n v="2633.02"/>
    <n v="8.4000000000000005E-2"/>
    <n v="4"/>
    <n v="0.79863378646082372"/>
    <x v="595"/>
    <n v="5855.6"/>
    <n v="3791.7852800000001"/>
    <n v="0.39303761277791527"/>
    <s v="High"/>
    <n v="9647.3852800000004"/>
    <n v="3791.7852800000001"/>
  </r>
  <r>
    <x v="596"/>
    <x v="448"/>
    <d v="2025-08-15T00:00:00"/>
    <n v="19"/>
    <x v="10"/>
    <x v="3"/>
    <s v="Japan"/>
    <s v="Tokyo"/>
    <s v="Small Business"/>
    <x v="4"/>
    <x v="13"/>
    <s v="Components"/>
    <s v="CMP-5658"/>
    <n v="275.43"/>
    <n v="608.36"/>
    <n v="0.25700000000000001"/>
    <n v="4"/>
    <n v="1.2087644773626693"/>
    <x v="596"/>
    <n v="1101.72"/>
    <n v="706.32592"/>
    <n v="0.39065706915231446"/>
    <s v="High"/>
    <n v="1808.04592"/>
    <n v="706.32592"/>
  </r>
  <r>
    <x v="597"/>
    <x v="449"/>
    <d v="2025-08-16T00:00:00"/>
    <n v="15"/>
    <x v="10"/>
    <x v="3"/>
    <s v="India"/>
    <s v="Bengaluru"/>
    <s v="Enterprise"/>
    <x v="2"/>
    <x v="5"/>
    <s v="Monitors"/>
    <s v="MON-1822"/>
    <n v="24.44"/>
    <n v="28.69"/>
    <n v="0.14599999999999999"/>
    <n v="6"/>
    <n v="0.1738952536824877"/>
    <x v="597"/>
    <n v="146.64000000000001"/>
    <n v="0.36755999999999744"/>
    <n v="2.5002795774584476E-3"/>
    <s v="Low"/>
    <n v="147.00756000000001"/>
    <n v="0.36755999999999744"/>
  </r>
  <r>
    <x v="598"/>
    <x v="449"/>
    <d v="2025-08-21T00:00:00"/>
    <n v="20"/>
    <x v="10"/>
    <x v="3"/>
    <s v="China"/>
    <s v="Shanghai"/>
    <s v="Corporate"/>
    <x v="2"/>
    <x v="12"/>
    <s v="Phones"/>
    <s v="PHN-9234"/>
    <n v="1220.4100000000001"/>
    <n v="2552.2199999999998"/>
    <n v="0.18099999999999999"/>
    <n v="14"/>
    <n v="1.0912807990757201"/>
    <x v="598"/>
    <n v="17085.740000000002"/>
    <n v="12178.014519999993"/>
    <n v="0.41614668793360271"/>
    <s v="High"/>
    <n v="29263.754519999995"/>
    <n v="12178.014519999993"/>
  </r>
  <r>
    <x v="599"/>
    <x v="450"/>
    <d v="2025-08-08T00:00:00"/>
    <n v="6"/>
    <x v="10"/>
    <x v="3"/>
    <s v="Japan"/>
    <s v="Osaka"/>
    <s v="Consumer"/>
    <x v="2"/>
    <x v="8"/>
    <s v="Laptops"/>
    <s v="LAP-4828"/>
    <n v="1225.94"/>
    <n v="1793.08"/>
    <n v="0.13600000000000001"/>
    <n v="22"/>
    <n v="0.46261644126139928"/>
    <x v="599"/>
    <n v="26970.68"/>
    <n v="7112.1846399999922"/>
    <n v="0.20867332353434462"/>
    <s v="Medium"/>
    <n v="34082.864639999993"/>
    <n v="7112.1846399999922"/>
  </r>
  <r>
    <x v="600"/>
    <x v="451"/>
    <d v="2025-08-16T00:00:00"/>
    <n v="13"/>
    <x v="10"/>
    <x v="0"/>
    <s v="Canada"/>
    <s v="Montreal"/>
    <s v="Enterprise"/>
    <x v="0"/>
    <x v="5"/>
    <s v="Networking"/>
    <s v="NET-3785"/>
    <n v="698.66"/>
    <n v="868.62"/>
    <n v="7.1999999999999995E-2"/>
    <n v="15"/>
    <n v="0.24326568001603074"/>
    <x v="600"/>
    <n v="10479.9"/>
    <n v="1611.2903999999999"/>
    <n v="0.13326151906432637"/>
    <s v="Low"/>
    <n v="12091.190399999999"/>
    <n v="1611.2903999999999"/>
  </r>
  <r>
    <x v="601"/>
    <x v="452"/>
    <d v="2025-08-14T00:00:00"/>
    <n v="9"/>
    <x v="10"/>
    <x v="2"/>
    <s v="United Kingdom"/>
    <s v="London"/>
    <s v="Non-Profit"/>
    <x v="2"/>
    <x v="14"/>
    <s v="Components"/>
    <s v="CMP-6346"/>
    <n v="41.76"/>
    <n v="45.19"/>
    <n v="0.17899999999999999"/>
    <n v="23"/>
    <n v="8.2136015325670497E-2"/>
    <x v="601"/>
    <n v="960.4799999999999"/>
    <n v="-107.15723000000003"/>
    <n v="-0.12557643340514638"/>
    <s v="Low"/>
    <n v="853.32276999999988"/>
    <n v="-107.15723000000003"/>
  </r>
  <r>
    <x v="602"/>
    <x v="452"/>
    <d v="2025-08-28T00:00:00"/>
    <n v="23"/>
    <x v="10"/>
    <x v="3"/>
    <s v="India"/>
    <s v="Mumbai"/>
    <s v="Non-Profit"/>
    <x v="0"/>
    <x v="8"/>
    <s v="Laptops"/>
    <s v="LAP-3905"/>
    <n v="638.54"/>
    <n v="987.24"/>
    <n v="0"/>
    <n v="11"/>
    <n v="0.54608951670999473"/>
    <x v="602"/>
    <n v="7023.94"/>
    <n v="3835.7"/>
    <n v="0.35320692030306716"/>
    <s v="Medium"/>
    <n v="10859.64"/>
    <n v="3835.7"/>
  </r>
  <r>
    <x v="603"/>
    <x v="453"/>
    <d v="2025-08-23T00:00:00"/>
    <n v="17"/>
    <x v="10"/>
    <x v="0"/>
    <s v="Brazil"/>
    <s v="Brasília"/>
    <s v="Consumer"/>
    <x v="0"/>
    <x v="1"/>
    <s v="Monitors"/>
    <s v="MON-4317"/>
    <n v="86.64"/>
    <n v="213.06"/>
    <n v="0.21199999999999999"/>
    <n v="11"/>
    <n v="1.4591412742382273"/>
    <x v="603"/>
    <n v="953.04"/>
    <n v="893.76407999999992"/>
    <n v="0.48395175735154322"/>
    <s v="High"/>
    <n v="1846.8040799999999"/>
    <n v="893.76407999999992"/>
  </r>
  <r>
    <x v="604"/>
    <x v="454"/>
    <d v="2025-08-19T00:00:00"/>
    <n v="12"/>
    <x v="10"/>
    <x v="1"/>
    <s v="Kenya"/>
    <s v="Nakuru"/>
    <s v="Corporate"/>
    <x v="2"/>
    <x v="3"/>
    <s v="Components"/>
    <s v="CMP-2854"/>
    <n v="601.51"/>
    <n v="679.35"/>
    <n v="0.188"/>
    <n v="3"/>
    <n v="0.12940765739555457"/>
    <x v="604"/>
    <n v="1804.53"/>
    <n v="-149.63339999999971"/>
    <n v="-9.0418579626062243E-2"/>
    <s v="Low"/>
    <n v="1654.8966000000003"/>
    <n v="-149.63339999999971"/>
  </r>
  <r>
    <x v="605"/>
    <x v="454"/>
    <d v="2025-09-06T00:00:00"/>
    <n v="30"/>
    <x v="10"/>
    <x v="0"/>
    <s v="Canada"/>
    <s v="Montreal"/>
    <s v="Education"/>
    <x v="2"/>
    <x v="3"/>
    <s v="Networking"/>
    <s v="NET-1336"/>
    <n v="833.73"/>
    <n v="1116.5999999999999"/>
    <n v="0.17599999999999999"/>
    <n v="14"/>
    <n v="0.33928250152927192"/>
    <x v="605"/>
    <n v="11672.220000000001"/>
    <n v="1208.877599999998"/>
    <n v="9.3848958958279924E-2"/>
    <s v="Medium"/>
    <n v="12881.097599999999"/>
    <n v="1208.877599999998"/>
  </r>
  <r>
    <x v="606"/>
    <x v="455"/>
    <d v="2025-08-30T00:00:00"/>
    <n v="20"/>
    <x v="10"/>
    <x v="0"/>
    <s v="USA"/>
    <s v="San Francisco"/>
    <s v="Corporate"/>
    <x v="4"/>
    <x v="10"/>
    <s v="Printers"/>
    <s v="PRN-2098"/>
    <n v="933.29"/>
    <n v="1456.81"/>
    <n v="0.123"/>
    <n v="13"/>
    <n v="0.5609403293724351"/>
    <x v="606"/>
    <n v="12132.77"/>
    <n v="4476.3208099999974"/>
    <n v="0.26951028573489977"/>
    <s v="Medium"/>
    <n v="16609.090809999998"/>
    <n v="4476.3208099999974"/>
  </r>
  <r>
    <x v="607"/>
    <x v="456"/>
    <d v="2025-08-28T00:00:00"/>
    <n v="17"/>
    <x v="10"/>
    <x v="2"/>
    <s v="France"/>
    <s v="Paris"/>
    <s v="Education"/>
    <x v="1"/>
    <x v="7"/>
    <s v="Networking"/>
    <s v="NET-6218"/>
    <n v="416.16"/>
    <n v="571.9"/>
    <n v="7.0999999999999994E-2"/>
    <n v="2"/>
    <n v="0.37423106497500946"/>
    <x v="607"/>
    <n v="832.32"/>
    <n v="230.27020000000005"/>
    <n v="0.21670649701079497"/>
    <s v="Medium"/>
    <n v="1062.5902000000001"/>
    <n v="230.27020000000005"/>
  </r>
  <r>
    <x v="608"/>
    <x v="457"/>
    <d v="2025-09-03T00:00:00"/>
    <n v="21"/>
    <x v="10"/>
    <x v="2"/>
    <s v="France"/>
    <s v="Paris"/>
    <s v="Education"/>
    <x v="3"/>
    <x v="12"/>
    <s v="Phones"/>
    <s v="PHN-9465"/>
    <n v="603.47"/>
    <n v="1344.05"/>
    <n v="0.20499999999999999"/>
    <n v="18"/>
    <n v="1.2272026778464544"/>
    <x v="608"/>
    <n v="10862.460000000001"/>
    <n v="8370.8954999999969"/>
    <n v="0.43522803392262976"/>
    <s v="High"/>
    <n v="19233.355499999998"/>
    <n v="8370.8954999999969"/>
  </r>
  <r>
    <x v="609"/>
    <x v="458"/>
    <d v="2025-09-11T00:00:00"/>
    <n v="28"/>
    <x v="10"/>
    <x v="0"/>
    <s v="Brazil"/>
    <s v="São Paulo"/>
    <s v="Non-Profit"/>
    <x v="2"/>
    <x v="7"/>
    <s v="Printers"/>
    <s v="PRN-9490"/>
    <n v="1203.02"/>
    <n v="2439.33"/>
    <n v="0"/>
    <n v="18"/>
    <n v="1.0276720254027365"/>
    <x v="609"/>
    <n v="21654.36"/>
    <n v="22253.58"/>
    <n v="0.50682359500354612"/>
    <s v="High"/>
    <n v="43907.94"/>
    <n v="22253.58"/>
  </r>
  <r>
    <x v="610"/>
    <x v="459"/>
    <d v="2025-08-26T00:00:00"/>
    <n v="6"/>
    <x v="10"/>
    <x v="0"/>
    <s v="USA"/>
    <s v="New York"/>
    <s v="Corporate"/>
    <x v="3"/>
    <x v="3"/>
    <s v="Networking"/>
    <s v="NET-5196"/>
    <n v="1304.95"/>
    <n v="1712.03"/>
    <n v="0.21199999999999999"/>
    <n v="8"/>
    <n v="0.31195064945017043"/>
    <x v="610"/>
    <n v="10439.6"/>
    <n v="353.03711999999905"/>
    <n v="3.2710922833287949E-2"/>
    <s v="Medium"/>
    <n v="10792.637119999999"/>
    <n v="353.03711999999905"/>
  </r>
  <r>
    <x v="611"/>
    <x v="460"/>
    <d v="2025-09-12T00:00:00"/>
    <n v="22"/>
    <x v="10"/>
    <x v="3"/>
    <s v="China"/>
    <s v="Shenzhen"/>
    <s v="Education"/>
    <x v="3"/>
    <x v="0"/>
    <s v="Printers"/>
    <s v="PRN-8137"/>
    <n v="352.66"/>
    <n v="411.18"/>
    <n v="0.17299999999999999"/>
    <n v="13"/>
    <n v="0.1659388646288209"/>
    <x v="611"/>
    <n v="4584.58"/>
    <n v="-163.98382000000038"/>
    <n v="-3.7095408248758066E-2"/>
    <s v="Low"/>
    <n v="4420.5961799999995"/>
    <n v="-163.98382000000038"/>
  </r>
  <r>
    <x v="612"/>
    <x v="460"/>
    <d v="2025-09-14T00:00:00"/>
    <n v="24"/>
    <x v="10"/>
    <x v="2"/>
    <s v="Germany"/>
    <s v="Berlin"/>
    <s v="Non-Profit"/>
    <x v="1"/>
    <x v="1"/>
    <s v="Monitors"/>
    <s v="MON-9662"/>
    <n v="1397.67"/>
    <n v="3131.37"/>
    <n v="0.10299999999999999"/>
    <n v="20"/>
    <n v="1.2404215587370406"/>
    <x v="612"/>
    <n v="27953.4"/>
    <n v="28223.377799999995"/>
    <n v="0.50240293062874808"/>
    <s v="High"/>
    <n v="56176.777799999996"/>
    <n v="28223.377799999995"/>
  </r>
  <r>
    <x v="613"/>
    <x v="461"/>
    <d v="2025-09-24T00:00:00"/>
    <n v="30"/>
    <x v="10"/>
    <x v="1"/>
    <s v="Kenya"/>
    <s v="Nairobi"/>
    <s v="Consumer"/>
    <x v="2"/>
    <x v="0"/>
    <s v="Components"/>
    <s v="CMP-4970"/>
    <n v="589.14"/>
    <n v="1300.58"/>
    <n v="5.5E-2"/>
    <n v="11"/>
    <n v="1.207590725464236"/>
    <x v="613"/>
    <n v="6480.54"/>
    <n v="7038.989099999998"/>
    <n v="0.52065342275863724"/>
    <s v="High"/>
    <n v="13519.529099999998"/>
    <n v="7038.989099999998"/>
  </r>
  <r>
    <x v="614"/>
    <x v="462"/>
    <d v="2025-08-28T00:00:00"/>
    <n v="2"/>
    <x v="10"/>
    <x v="1"/>
    <s v="Nigeria"/>
    <s v="Port Harcourt"/>
    <s v="Small Business"/>
    <x v="3"/>
    <x v="1"/>
    <s v="Accessories"/>
    <s v="ACC-4483"/>
    <n v="521.05999999999995"/>
    <n v="1240.31"/>
    <n v="0.14599999999999999"/>
    <n v="18"/>
    <n v="1.3803592676467202"/>
    <x v="614"/>
    <n v="9379.0799999999981"/>
    <n v="9686.9653199999993"/>
    <n v="0.50807417885650974"/>
    <s v="High"/>
    <n v="19066.045319999997"/>
    <n v="9686.9653199999993"/>
  </r>
  <r>
    <x v="615"/>
    <x v="463"/>
    <d v="2025-09-05T00:00:00"/>
    <n v="8"/>
    <x v="10"/>
    <x v="1"/>
    <s v="Nigeria"/>
    <s v="Port Harcourt"/>
    <s v="Small Business"/>
    <x v="4"/>
    <x v="14"/>
    <s v="Laptops"/>
    <s v="LAP-7553"/>
    <n v="1271.0999999999999"/>
    <n v="1932.42"/>
    <n v="0.25"/>
    <n v="21"/>
    <n v="0.52027377861694613"/>
    <x v="615"/>
    <n v="26693.1"/>
    <n v="3742.5149999999994"/>
    <n v="0.12296498690760807"/>
    <s v="Medium"/>
    <n v="30435.614999999998"/>
    <n v="3742.5149999999994"/>
  </r>
  <r>
    <x v="616"/>
    <x v="464"/>
    <d v="2025-09-22T00:00:00"/>
    <n v="23"/>
    <x v="10"/>
    <x v="2"/>
    <s v="France"/>
    <s v="Marseille"/>
    <s v="Corporate"/>
    <x v="2"/>
    <x v="14"/>
    <s v="Components"/>
    <s v="CMP-5311"/>
    <n v="663.9"/>
    <n v="947.77"/>
    <n v="0.17399999999999999"/>
    <n v="15"/>
    <n v="0.42757945473715925"/>
    <x v="616"/>
    <n v="9958.5"/>
    <n v="1784.3703000000005"/>
    <n v="0.1519535049280073"/>
    <s v="Medium"/>
    <n v="11742.8703"/>
    <n v="1784.3703000000005"/>
  </r>
  <r>
    <x v="617"/>
    <x v="464"/>
    <d v="2025-09-03T00:00:00"/>
    <n v="4"/>
    <x v="10"/>
    <x v="2"/>
    <s v="France"/>
    <s v="Marseille"/>
    <s v="Small Business"/>
    <x v="4"/>
    <x v="13"/>
    <s v="Laptops"/>
    <s v="LAP-3220"/>
    <n v="1286.56"/>
    <n v="2777.35"/>
    <n v="0.13200000000000001"/>
    <n v="15"/>
    <n v="1.1587411391617959"/>
    <x v="617"/>
    <n v="19298.399999999998"/>
    <n v="16862.697000000004"/>
    <n v="0.46632150014696744"/>
    <s v="High"/>
    <n v="36161.097000000002"/>
    <n v="16862.697000000004"/>
  </r>
  <r>
    <x v="618"/>
    <x v="465"/>
    <d v="2025-09-30T00:00:00"/>
    <n v="29"/>
    <x v="10"/>
    <x v="0"/>
    <s v="Brazil"/>
    <s v="Brasília"/>
    <s v="Education"/>
    <x v="3"/>
    <x v="10"/>
    <s v="Accessories"/>
    <s v="ACC-1663"/>
    <n v="780.59"/>
    <n v="1451.8974000000001"/>
    <n v="0"/>
    <n v="12"/>
    <n v="0.86"/>
    <x v="618"/>
    <n v="9367.08"/>
    <n v="8055.6888000000017"/>
    <n v="0.4623655913978495"/>
    <s v="High"/>
    <n v="17422.768800000002"/>
    <n v="8055.6888000000017"/>
  </r>
  <r>
    <x v="619"/>
    <x v="466"/>
    <d v="2025-09-11T00:00:00"/>
    <n v="9"/>
    <x v="10"/>
    <x v="0"/>
    <s v="Canada"/>
    <s v="Toronto"/>
    <s v="Corporate"/>
    <x v="0"/>
    <x v="3"/>
    <s v="Printers"/>
    <s v="PRN-1276"/>
    <n v="1207.6300000000001"/>
    <n v="2209.9629000000004"/>
    <n v="0.19600000000000001"/>
    <n v="17"/>
    <n v="0.83000000000000018"/>
    <x v="619"/>
    <n v="20529.710000000003"/>
    <n v="9676.0629172000044"/>
    <n v="0.32033819971182348"/>
    <s v="High"/>
    <n v="30205.772917200007"/>
    <n v="9676.0629172000044"/>
  </r>
  <r>
    <x v="620"/>
    <x v="467"/>
    <d v="2025-10-05T00:00:00"/>
    <n v="27"/>
    <x v="10"/>
    <x v="0"/>
    <s v="Brazil"/>
    <s v="Rio de Janeiro"/>
    <s v="Education"/>
    <x v="1"/>
    <x v="11"/>
    <s v="Monitors"/>
    <s v="MON-9274"/>
    <n v="660.78"/>
    <n v="1630.39"/>
    <n v="0.218"/>
    <n v="13"/>
    <n v="1.4673718938224525"/>
    <x v="620"/>
    <n v="8590.14"/>
    <n v="7984.4047400000018"/>
    <n v="0.48172694123724097"/>
    <s v="High"/>
    <n v="16574.544740000001"/>
    <n v="7984.4047400000018"/>
  </r>
  <r>
    <x v="621"/>
    <x v="467"/>
    <d v="2025-09-16T00:00:00"/>
    <n v="8"/>
    <x v="10"/>
    <x v="3"/>
    <s v="Japan"/>
    <s v="Osaka"/>
    <s v="Corporate"/>
    <x v="0"/>
    <x v="11"/>
    <s v="Phones"/>
    <s v="PHN-1197"/>
    <n v="1225.57"/>
    <n v="2705.57"/>
    <n v="0.183"/>
    <n v="16"/>
    <n v="1.2076013609993719"/>
    <x v="621"/>
    <n v="19609.12"/>
    <n v="15758.091040000003"/>
    <n v="0.44555650775453404"/>
    <s v="High"/>
    <n v="35367.211040000002"/>
    <n v="15758.091040000003"/>
  </r>
  <r>
    <x v="622"/>
    <x v="468"/>
    <d v="2025-09-30T00:00:00"/>
    <n v="20"/>
    <x v="10"/>
    <x v="1"/>
    <s v="Kenya"/>
    <s v="Mombasa"/>
    <s v="Corporate"/>
    <x v="2"/>
    <x v="9"/>
    <s v="Phones"/>
    <s v="PHN-6954"/>
    <n v="1009.48"/>
    <n v="1088.81"/>
    <n v="0.16"/>
    <n v="6"/>
    <n v="7.8585014066648098E-2"/>
    <x v="622"/>
    <n v="6056.88"/>
    <n v="-569.27760000000035"/>
    <n v="-0.10373885688219693"/>
    <s v="Low"/>
    <n v="5487.6023999999998"/>
    <n v="-569.27760000000035"/>
  </r>
  <r>
    <x v="623"/>
    <x v="468"/>
    <d v="2025-09-12T00:00:00"/>
    <n v="2"/>
    <x v="10"/>
    <x v="3"/>
    <s v="Japan"/>
    <s v="Tokyo"/>
    <s v="Consumer"/>
    <x v="1"/>
    <x v="5"/>
    <s v="Components"/>
    <s v="CMP-6971"/>
    <n v="1470.15"/>
    <n v="2593.7800000000002"/>
    <n v="0.11"/>
    <n v="12"/>
    <n v="0.7642961602557562"/>
    <x v="623"/>
    <n v="17641.800000000003"/>
    <n v="10059.770399999998"/>
    <n v="0.36314801849645306"/>
    <s v="High"/>
    <n v="27701.570400000001"/>
    <n v="10059.770399999998"/>
  </r>
  <r>
    <x v="624"/>
    <x v="469"/>
    <d v="2025-09-28T00:00:00"/>
    <n v="17"/>
    <x v="10"/>
    <x v="1"/>
    <s v="Kenya"/>
    <s v="Nairobi"/>
    <s v="Non-Profit"/>
    <x v="0"/>
    <x v="13"/>
    <s v="Laptops"/>
    <s v="LAP-3278"/>
    <n v="891.46"/>
    <n v="1765.0907999999999"/>
    <n v="0.185"/>
    <n v="6"/>
    <n v="0.97999999999999987"/>
    <x v="624"/>
    <n v="5348.76"/>
    <n v="3282.5340119999983"/>
    <n v="0.38030612877238629"/>
    <s v="High"/>
    <n v="8631.2940119999985"/>
    <n v="3282.5340119999983"/>
  </r>
  <r>
    <x v="625"/>
    <x v="470"/>
    <d v="2025-09-30T00:00:00"/>
    <n v="18"/>
    <x v="10"/>
    <x v="3"/>
    <s v="Japan"/>
    <s v="Nagoya"/>
    <s v="Non-Profit"/>
    <x v="4"/>
    <x v="7"/>
    <s v="Monitors"/>
    <s v="MON-2998"/>
    <n v="1212.99"/>
    <n v="1653.64"/>
    <n v="0.107"/>
    <n v="8"/>
    <n v="0.36327587201873063"/>
    <x v="625"/>
    <n v="9703.92"/>
    <n v="2109.6841600000007"/>
    <n v="0.17858090819931455"/>
    <s v="Medium"/>
    <n v="11813.604160000001"/>
    <n v="2109.6841600000007"/>
  </r>
  <r>
    <x v="626"/>
    <x v="471"/>
    <d v="2025-09-26T00:00:00"/>
    <n v="12"/>
    <x v="10"/>
    <x v="2"/>
    <s v="United Kingdom"/>
    <s v="London"/>
    <s v="Small Business"/>
    <x v="2"/>
    <x v="8"/>
    <s v="Networking"/>
    <s v="NET-9003"/>
    <n v="425.15"/>
    <n v="885.92"/>
    <n v="0.23899999999999999"/>
    <n v="13"/>
    <n v="1.0837821945195814"/>
    <x v="626"/>
    <n v="5526.95"/>
    <n v="3237.4565599999996"/>
    <n v="0.3693868532725848"/>
    <s v="High"/>
    <n v="8764.4065599999994"/>
    <n v="3237.4565599999996"/>
  </r>
  <r>
    <x v="627"/>
    <x v="471"/>
    <d v="2025-09-23T00:00:00"/>
    <n v="9"/>
    <x v="10"/>
    <x v="1"/>
    <s v="South Africa"/>
    <s v="Durban"/>
    <s v="Non-Profit"/>
    <x v="1"/>
    <x v="2"/>
    <s v="Components"/>
    <s v="CMP-6898"/>
    <n v="1310.3"/>
    <n v="2875.8"/>
    <n v="8.3000000000000004E-2"/>
    <n v="5"/>
    <n v="1.19476455773487"/>
    <x v="627"/>
    <n v="6551.5"/>
    <n v="6634.0429999999997"/>
    <n v="0.50313005691157353"/>
    <s v="High"/>
    <n v="13185.543"/>
    <n v="6634.0429999999997"/>
  </r>
  <r>
    <x v="628"/>
    <x v="472"/>
    <d v="2025-09-18T00:00:00"/>
    <n v="3"/>
    <x v="10"/>
    <x v="0"/>
    <s v="Brazil"/>
    <s v="Rio de Janeiro"/>
    <s v="Non-Profit"/>
    <x v="2"/>
    <x v="9"/>
    <s v="Accessories"/>
    <s v="ACC-6777"/>
    <n v="5.5"/>
    <n v="5.92"/>
    <n v="0.21199999999999999"/>
    <n v="4"/>
    <n v="7.6363636363636356E-2"/>
    <x v="628"/>
    <n v="22"/>
    <n v="-3.3401600000000009"/>
    <n v="-0.17900260666758133"/>
    <s v="Low"/>
    <n v="18.659839999999999"/>
    <n v="-3.3401600000000009"/>
  </r>
  <r>
    <x v="629"/>
    <x v="472"/>
    <d v="2025-09-25T00:00:00"/>
    <n v="10"/>
    <x v="10"/>
    <x v="3"/>
    <s v="India"/>
    <s v="Delhi"/>
    <s v="Consumer"/>
    <x v="3"/>
    <x v="1"/>
    <s v="Phones"/>
    <s v="PHN-2859"/>
    <n v="1488.91"/>
    <n v="2620.4816000000001"/>
    <n v="0.16800000000000001"/>
    <n v="24"/>
    <n v="0.7599999999999999"/>
    <x v="629"/>
    <n v="35733.840000000004"/>
    <n v="16591.936588799996"/>
    <n v="0.31708916083916078"/>
    <s v="High"/>
    <n v="52325.776588799999"/>
    <n v="16591.9365887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x v="0"/>
    <n v="4"/>
    <n v="6"/>
    <n v="10"/>
    <n v="0.4"/>
  </r>
  <r>
    <x v="0"/>
    <x v="1"/>
    <n v="1"/>
    <n v="6"/>
    <n v="7"/>
    <n v="0.14285714285714285"/>
  </r>
  <r>
    <x v="0"/>
    <x v="2"/>
    <n v="1"/>
    <n v="4"/>
    <n v="5"/>
    <n v="0.2"/>
  </r>
  <r>
    <x v="0"/>
    <x v="3"/>
    <n v="3"/>
    <n v="9"/>
    <n v="12"/>
    <n v="0.25"/>
  </r>
  <r>
    <x v="0"/>
    <x v="4"/>
    <n v="2"/>
    <n v="10"/>
    <n v="12"/>
    <n v="0.16666666666666666"/>
  </r>
  <r>
    <x v="0"/>
    <x v="5"/>
    <n v="5"/>
    <n v="4"/>
    <n v="9"/>
    <n v="0.55555555555555558"/>
  </r>
  <r>
    <x v="0"/>
    <x v="6"/>
    <n v="2"/>
    <n v="5"/>
    <n v="7"/>
    <n v="0.2857142857142857"/>
  </r>
  <r>
    <x v="1"/>
    <x v="0"/>
    <n v="2"/>
    <n v="4"/>
    <n v="6"/>
    <n v="0.33333333333333331"/>
  </r>
  <r>
    <x v="1"/>
    <x v="1"/>
    <n v="3"/>
    <n v="3"/>
    <n v="6"/>
    <n v="0.5"/>
  </r>
  <r>
    <x v="1"/>
    <x v="2"/>
    <n v="2"/>
    <n v="4"/>
    <n v="6"/>
    <n v="0.33333333333333331"/>
  </r>
  <r>
    <x v="1"/>
    <x v="3"/>
    <m/>
    <n v="7"/>
    <n v="7"/>
    <n v="0"/>
  </r>
  <r>
    <x v="1"/>
    <x v="4"/>
    <m/>
    <n v="3"/>
    <n v="3"/>
    <n v="0"/>
  </r>
  <r>
    <x v="1"/>
    <x v="5"/>
    <m/>
    <n v="3"/>
    <n v="3"/>
    <n v="0"/>
  </r>
  <r>
    <x v="1"/>
    <x v="6"/>
    <n v="2"/>
    <n v="11"/>
    <n v="13"/>
    <n v="0.15384615384615385"/>
  </r>
  <r>
    <x v="2"/>
    <x v="0"/>
    <n v="3"/>
    <n v="1"/>
    <n v="4"/>
    <n v="0.75"/>
  </r>
  <r>
    <x v="2"/>
    <x v="1"/>
    <m/>
    <n v="10"/>
    <n v="10"/>
    <n v="0"/>
  </r>
  <r>
    <x v="2"/>
    <x v="2"/>
    <n v="1"/>
    <n v="4"/>
    <n v="5"/>
    <n v="0.2"/>
  </r>
  <r>
    <x v="2"/>
    <x v="3"/>
    <n v="1"/>
    <n v="5"/>
    <n v="6"/>
    <n v="0.16666666666666666"/>
  </r>
  <r>
    <x v="2"/>
    <x v="4"/>
    <n v="4"/>
    <n v="4"/>
    <n v="8"/>
    <n v="0.5"/>
  </r>
  <r>
    <x v="2"/>
    <x v="5"/>
    <n v="1"/>
    <n v="6"/>
    <n v="7"/>
    <n v="0.14285714285714285"/>
  </r>
  <r>
    <x v="2"/>
    <x v="6"/>
    <m/>
    <n v="11"/>
    <n v="11"/>
    <n v="0"/>
  </r>
  <r>
    <x v="3"/>
    <x v="0"/>
    <n v="1"/>
    <n v="6"/>
    <n v="7"/>
    <n v="0.14285714285714285"/>
  </r>
  <r>
    <x v="3"/>
    <x v="1"/>
    <n v="3"/>
    <n v="7"/>
    <n v="10"/>
    <n v="0.3"/>
  </r>
  <r>
    <x v="3"/>
    <x v="2"/>
    <n v="2"/>
    <n v="4"/>
    <n v="6"/>
    <n v="0.33333333333333331"/>
  </r>
  <r>
    <x v="3"/>
    <x v="3"/>
    <n v="3"/>
    <n v="7"/>
    <n v="10"/>
    <n v="0.3"/>
  </r>
  <r>
    <x v="3"/>
    <x v="4"/>
    <n v="2"/>
    <n v="4"/>
    <n v="6"/>
    <n v="0.33333333333333331"/>
  </r>
  <r>
    <x v="3"/>
    <x v="5"/>
    <m/>
    <n v="3"/>
    <n v="3"/>
    <n v="0"/>
  </r>
  <r>
    <x v="3"/>
    <x v="6"/>
    <n v="2"/>
    <n v="10"/>
    <n v="12"/>
    <n v="0.16666666666666666"/>
  </r>
  <r>
    <x v="4"/>
    <x v="0"/>
    <n v="4"/>
    <n v="5"/>
    <n v="9"/>
    <n v="0.44444444444444442"/>
  </r>
  <r>
    <x v="4"/>
    <x v="1"/>
    <n v="2"/>
    <n v="4"/>
    <n v="6"/>
    <n v="0.33333333333333331"/>
  </r>
  <r>
    <x v="4"/>
    <x v="2"/>
    <n v="2"/>
    <n v="5"/>
    <n v="7"/>
    <n v="0.2857142857142857"/>
  </r>
  <r>
    <x v="4"/>
    <x v="3"/>
    <n v="1"/>
    <n v="9"/>
    <n v="10"/>
    <n v="0.1"/>
  </r>
  <r>
    <x v="4"/>
    <x v="4"/>
    <n v="1"/>
    <n v="3"/>
    <n v="4"/>
    <n v="0.25"/>
  </r>
  <r>
    <x v="4"/>
    <x v="5"/>
    <n v="1"/>
    <n v="6"/>
    <n v="7"/>
    <n v="0.14285714285714285"/>
  </r>
  <r>
    <x v="4"/>
    <x v="6"/>
    <n v="1"/>
    <n v="7"/>
    <n v="8"/>
    <n v="0.125"/>
  </r>
  <r>
    <x v="5"/>
    <x v="0"/>
    <n v="2"/>
    <n v="5"/>
    <n v="7"/>
    <n v="0.2857142857142857"/>
  </r>
  <r>
    <x v="5"/>
    <x v="1"/>
    <n v="2"/>
    <n v="8"/>
    <n v="10"/>
    <n v="0.2"/>
  </r>
  <r>
    <x v="5"/>
    <x v="2"/>
    <n v="1"/>
    <n v="8"/>
    <n v="9"/>
    <n v="0.1111111111111111"/>
  </r>
  <r>
    <x v="5"/>
    <x v="3"/>
    <n v="2"/>
    <n v="10"/>
    <n v="12"/>
    <n v="0.16666666666666666"/>
  </r>
  <r>
    <x v="5"/>
    <x v="4"/>
    <n v="1"/>
    <n v="6"/>
    <n v="7"/>
    <n v="0.14285714285714285"/>
  </r>
  <r>
    <x v="5"/>
    <x v="5"/>
    <n v="2"/>
    <n v="7"/>
    <n v="9"/>
    <n v="0.22222222222222221"/>
  </r>
  <r>
    <x v="5"/>
    <x v="6"/>
    <n v="2"/>
    <n v="4"/>
    <n v="6"/>
    <n v="0.33333333333333331"/>
  </r>
  <r>
    <x v="6"/>
    <x v="0"/>
    <n v="1"/>
    <n v="4"/>
    <n v="5"/>
    <n v="0.2"/>
  </r>
  <r>
    <x v="6"/>
    <x v="1"/>
    <n v="3"/>
    <n v="5"/>
    <n v="8"/>
    <n v="0.375"/>
  </r>
  <r>
    <x v="6"/>
    <x v="2"/>
    <n v="3"/>
    <n v="4"/>
    <n v="7"/>
    <n v="0.42857142857142855"/>
  </r>
  <r>
    <x v="6"/>
    <x v="3"/>
    <n v="2"/>
    <n v="5"/>
    <n v="7"/>
    <n v="0.2857142857142857"/>
  </r>
  <r>
    <x v="6"/>
    <x v="4"/>
    <n v="1"/>
    <n v="11"/>
    <n v="12"/>
    <n v="8.3333333333333329E-2"/>
  </r>
  <r>
    <x v="6"/>
    <x v="5"/>
    <n v="1"/>
    <n v="10"/>
    <n v="11"/>
    <n v="9.0909090909090912E-2"/>
  </r>
  <r>
    <x v="6"/>
    <x v="6"/>
    <n v="3"/>
    <n v="6"/>
    <n v="9"/>
    <n v="0.33333333333333331"/>
  </r>
  <r>
    <x v="7"/>
    <x v="0"/>
    <n v="4"/>
    <n v="6"/>
    <n v="10"/>
    <n v="0.4"/>
  </r>
  <r>
    <x v="7"/>
    <x v="1"/>
    <n v="1"/>
    <n v="4"/>
    <n v="5"/>
    <n v="0.2"/>
  </r>
  <r>
    <x v="7"/>
    <x v="2"/>
    <n v="7"/>
    <n v="3"/>
    <n v="10"/>
    <n v="0.7"/>
  </r>
  <r>
    <x v="7"/>
    <x v="3"/>
    <m/>
    <n v="2"/>
    <n v="2"/>
    <n v="0"/>
  </r>
  <r>
    <x v="7"/>
    <x v="4"/>
    <n v="2"/>
    <n v="4"/>
    <n v="6"/>
    <n v="0.33333333333333331"/>
  </r>
  <r>
    <x v="7"/>
    <x v="5"/>
    <n v="2"/>
    <n v="13"/>
    <n v="15"/>
    <n v="0.13333333333333333"/>
  </r>
  <r>
    <x v="7"/>
    <x v="6"/>
    <n v="1"/>
    <n v="7"/>
    <n v="8"/>
    <n v="0.125"/>
  </r>
  <r>
    <x v="8"/>
    <x v="0"/>
    <n v="6"/>
    <n v="7"/>
    <n v="13"/>
    <n v="0.46153846153846156"/>
  </r>
  <r>
    <x v="8"/>
    <x v="1"/>
    <n v="2"/>
    <n v="4"/>
    <n v="6"/>
    <n v="0.33333333333333331"/>
  </r>
  <r>
    <x v="8"/>
    <x v="2"/>
    <n v="3"/>
    <n v="3"/>
    <n v="6"/>
    <n v="0.5"/>
  </r>
  <r>
    <x v="8"/>
    <x v="3"/>
    <n v="3"/>
    <n v="2"/>
    <n v="5"/>
    <n v="0.6"/>
  </r>
  <r>
    <x v="8"/>
    <x v="4"/>
    <n v="1"/>
    <n v="1"/>
    <n v="2"/>
    <n v="0.5"/>
  </r>
  <r>
    <x v="8"/>
    <x v="5"/>
    <n v="1"/>
    <n v="5"/>
    <n v="6"/>
    <n v="0.16666666666666666"/>
  </r>
  <r>
    <x v="8"/>
    <x v="6"/>
    <n v="3"/>
    <n v="3"/>
    <n v="6"/>
    <n v="0.5"/>
  </r>
  <r>
    <x v="9"/>
    <x v="0"/>
    <n v="2"/>
    <n v="2"/>
    <n v="4"/>
    <n v="0.5"/>
  </r>
  <r>
    <x v="9"/>
    <x v="1"/>
    <n v="5"/>
    <n v="6"/>
    <n v="11"/>
    <n v="0.45454545454545453"/>
  </r>
  <r>
    <x v="9"/>
    <x v="2"/>
    <n v="2"/>
    <n v="5"/>
    <n v="7"/>
    <n v="0.2857142857142857"/>
  </r>
  <r>
    <x v="9"/>
    <x v="3"/>
    <n v="1"/>
    <n v="6"/>
    <n v="7"/>
    <n v="0.14285714285714285"/>
  </r>
  <r>
    <x v="9"/>
    <x v="4"/>
    <n v="2"/>
    <n v="5"/>
    <n v="7"/>
    <n v="0.2857142857142857"/>
  </r>
  <r>
    <x v="9"/>
    <x v="5"/>
    <n v="2"/>
    <n v="2"/>
    <n v="4"/>
    <n v="0.5"/>
  </r>
  <r>
    <x v="9"/>
    <x v="6"/>
    <n v="1"/>
    <n v="4"/>
    <n v="5"/>
    <n v="0.2"/>
  </r>
  <r>
    <x v="10"/>
    <x v="0"/>
    <n v="1"/>
    <n v="7"/>
    <n v="8"/>
    <n v="0.125"/>
  </r>
  <r>
    <x v="10"/>
    <x v="1"/>
    <n v="2"/>
    <n v="5"/>
    <n v="7"/>
    <n v="0.2857142857142857"/>
  </r>
  <r>
    <x v="10"/>
    <x v="2"/>
    <n v="4"/>
    <n v="5"/>
    <n v="9"/>
    <n v="0.44444444444444442"/>
  </r>
  <r>
    <x v="10"/>
    <x v="3"/>
    <n v="2"/>
    <n v="5"/>
    <n v="7"/>
    <n v="0.2857142857142857"/>
  </r>
  <r>
    <x v="10"/>
    <x v="4"/>
    <n v="2"/>
    <n v="7"/>
    <n v="9"/>
    <n v="0.22222222222222221"/>
  </r>
  <r>
    <x v="10"/>
    <x v="5"/>
    <n v="1"/>
    <n v="3"/>
    <n v="4"/>
    <n v="0.25"/>
  </r>
  <r>
    <x v="10"/>
    <x v="6"/>
    <n v="3"/>
    <n v="7"/>
    <n v="10"/>
    <n v="0.3"/>
  </r>
  <r>
    <x v="11"/>
    <x v="0"/>
    <n v="2"/>
    <n v="2"/>
    <n v="4"/>
    <n v="0.5"/>
  </r>
  <r>
    <x v="11"/>
    <x v="1"/>
    <n v="2"/>
    <n v="3"/>
    <n v="5"/>
    <n v="0.4"/>
  </r>
  <r>
    <x v="11"/>
    <x v="2"/>
    <n v="1"/>
    <n v="4"/>
    <n v="5"/>
    <n v="0.2"/>
  </r>
  <r>
    <x v="11"/>
    <x v="3"/>
    <n v="1"/>
    <n v="8"/>
    <n v="9"/>
    <n v="0.1111111111111111"/>
  </r>
  <r>
    <x v="11"/>
    <x v="4"/>
    <n v="5"/>
    <n v="4"/>
    <n v="9"/>
    <n v="0.55555555555555558"/>
  </r>
  <r>
    <x v="11"/>
    <x v="5"/>
    <n v="1"/>
    <n v="9"/>
    <n v="10"/>
    <n v="0.1"/>
  </r>
  <r>
    <x v="11"/>
    <x v="6"/>
    <n v="6"/>
    <n v="2"/>
    <n v="8"/>
    <n v="0.7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s v="ORD-2023-723587"/>
    <x v="0"/>
    <d v="2023-01-05T00:00:00"/>
    <n v="3"/>
    <s v="Q1-2023"/>
    <x v="0"/>
    <x v="0"/>
    <s v="Toronto"/>
    <s v="Corporate"/>
    <x v="0"/>
    <x v="0"/>
    <x v="0"/>
    <s v="LAP-8555"/>
    <n v="315.87"/>
    <n v="591.67999999999995"/>
    <n v="0"/>
    <n v="0"/>
    <n v="7"/>
    <n v="0.87317567353658132"/>
    <n v="4141.7599999999993"/>
    <n v="2211.09"/>
    <n v="1930.6699999999992"/>
    <n v="0.46614724175229844"/>
    <s v="High"/>
    <n v="4141.7599999999993"/>
    <n v="1930.6699999999992"/>
    <n v="1"/>
    <d v="2023-01-02T00:00:00"/>
    <d v="2023-01-31T00:00:00"/>
    <x v="0"/>
    <n v="1"/>
    <s v="False"/>
    <n v="4141.7599999999993"/>
    <n v="8"/>
    <n v="4733.4399999999996"/>
    <n v="8"/>
    <n v="363.25049999999999"/>
    <n v="2542.7534999999998"/>
  </r>
  <r>
    <s v="ORD-2023-689428"/>
    <x v="1"/>
    <d v="2023-01-30T00:00:00"/>
    <n v="23"/>
    <s v="Q1-2023"/>
    <x v="1"/>
    <x v="1"/>
    <s v="Cape Town"/>
    <s v="Consumer"/>
    <x v="1"/>
    <x v="1"/>
    <x v="1"/>
    <s v="PRN-4787"/>
    <n v="299.02"/>
    <n v="724.7"/>
    <n v="0.14000000000000001"/>
    <n v="0.14000000000000001"/>
    <n v="5"/>
    <n v="1.4235837067754669"/>
    <n v="3116.21"/>
    <n v="1495.1"/>
    <n v="1621.1100000000001"/>
    <n v="0.52021847051386139"/>
    <s v="High"/>
    <n v="3116.2100000000005"/>
    <n v="1621.1100000000006"/>
    <n v="1"/>
    <d v="2023-01-07T00:00:00"/>
    <d v="2023-01-31T00:00:00"/>
    <x v="1"/>
    <n v="2"/>
    <s v="False"/>
    <n v="3116.2100000000005"/>
    <n v="6"/>
    <n v="4348.2000000000007"/>
    <n v="6"/>
    <n v="343.87299999999993"/>
    <n v="1719.3649999999998"/>
  </r>
  <r>
    <s v="ORD-2023-884192"/>
    <x v="2"/>
    <d v="2023-01-29T00:00:00"/>
    <n v="19"/>
    <s v="Q1-2023"/>
    <x v="2"/>
    <x v="2"/>
    <s v="Lyon"/>
    <s v="Non-Profit"/>
    <x v="2"/>
    <x v="2"/>
    <x v="0"/>
    <s v="LAP-4551"/>
    <n v="401.66"/>
    <n v="772.09"/>
    <n v="8.8999999999999996E-2"/>
    <n v="8.8999999999999996E-2"/>
    <n v="14"/>
    <n v="0.92224767216053372"/>
    <n v="9847.2358600000007"/>
    <n v="5623.2400000000007"/>
    <n v="4223.99586"/>
    <n v="0.42895244107619046"/>
    <s v="High"/>
    <n v="9847.2358600000007"/>
    <n v="4223.99586"/>
    <n v="1"/>
    <d v="2023-01-10T00:00:00"/>
    <d v="2023-01-31T00:00:00"/>
    <x v="1"/>
    <n v="3"/>
    <s v="False"/>
    <n v="9847.2358600000007"/>
    <n v="16"/>
    <n v="12353.44"/>
    <n v="16"/>
    <n v="461.90899999999999"/>
    <n v="6466.7259999999997"/>
  </r>
  <r>
    <s v="ORD-2023-700699"/>
    <x v="3"/>
    <d v="2023-01-26T00:00:00"/>
    <n v="14"/>
    <s v="Q1-2023"/>
    <x v="3"/>
    <x v="3"/>
    <s v="Shenzhen"/>
    <s v="Non-Profit"/>
    <x v="3"/>
    <x v="3"/>
    <x v="1"/>
    <s v="PRN-1641"/>
    <n v="1083.0899999999999"/>
    <n v="1425.87"/>
    <n v="0"/>
    <n v="0"/>
    <n v="8"/>
    <n v="0.31648339473173975"/>
    <n v="11406.96"/>
    <n v="8664.7199999999993"/>
    <n v="2742.24"/>
    <n v="0.24040059752992909"/>
    <s v="Medium"/>
    <n v="11406.96"/>
    <n v="2742.24"/>
    <n v="1"/>
    <d v="2023-01-12T00:00:00"/>
    <d v="2023-01-31T00:00:00"/>
    <x v="1"/>
    <n v="3"/>
    <s v="False"/>
    <n v="11406.96"/>
    <n v="9"/>
    <n v="12832.829999999998"/>
    <n v="9"/>
    <n v="1245.5534999999998"/>
    <n v="9964.4279999999981"/>
  </r>
  <r>
    <s v="ORD-2023-382017"/>
    <x v="4"/>
    <d v="2023-01-19T00:00:00"/>
    <n v="6"/>
    <s v="Q1-2023"/>
    <x v="0"/>
    <x v="4"/>
    <s v="Chicago"/>
    <s v="Corporate"/>
    <x v="2"/>
    <x v="4"/>
    <x v="2"/>
    <s v="PHN-3159"/>
    <n v="833.57"/>
    <n v="881.57"/>
    <n v="5.7000000000000002E-2"/>
    <n v="5.7000000000000002E-2"/>
    <n v="18"/>
    <n v="5.7583646244466567E-2"/>
    <n v="14963.769179999999"/>
    <n v="15004.26"/>
    <n v="-40.490820000000895"/>
    <n v="-2.7059238560107821E-3"/>
    <s v="Low"/>
    <n v="14963.769179999999"/>
    <n v="-40.490820000000895"/>
    <n v="1"/>
    <d v="2023-01-13T00:00:00"/>
    <d v="2023-01-31T00:00:00"/>
    <x v="0"/>
    <n v="3"/>
    <s v="False"/>
    <n v="14963.769179999999"/>
    <n v="21"/>
    <n v="18512.97"/>
    <n v="21"/>
    <n v="958.60550000000001"/>
    <n v="17254.899000000001"/>
  </r>
  <r>
    <s v="ORD-2023-112666"/>
    <x v="4"/>
    <d v="2023-01-15T00:00:00"/>
    <n v="2"/>
    <s v="Q1-2023"/>
    <x v="1"/>
    <x v="5"/>
    <s v="Abuja"/>
    <s v="Education"/>
    <x v="1"/>
    <x v="5"/>
    <x v="1"/>
    <s v="PRN-6276"/>
    <n v="28.38"/>
    <n v="47.22"/>
    <n v="0.19400000000000001"/>
    <n v="0.19400000000000001"/>
    <n v="18"/>
    <n v="0.66384778012684986"/>
    <n v="685.06776000000002"/>
    <n v="510.84"/>
    <n v="174.22776000000005"/>
    <n v="0.25432193743871417"/>
    <s v="Medium"/>
    <n v="685.06776000000002"/>
    <n v="174.22776000000005"/>
    <n v="1"/>
    <d v="2023-01-13T00:00:00"/>
    <d v="2023-01-31T00:00:00"/>
    <x v="0"/>
    <n v="3"/>
    <s v="False"/>
    <n v="685.06776000000002"/>
    <n v="21"/>
    <n v="991.62"/>
    <n v="21"/>
    <n v="32.636999999999993"/>
    <n v="587.46599999999989"/>
  </r>
  <r>
    <s v="ORD-2023-780206"/>
    <x v="5"/>
    <d v="2023-02-03T00:00:00"/>
    <n v="15"/>
    <s v="Q1-2023"/>
    <x v="2"/>
    <x v="6"/>
    <s v="London"/>
    <s v="Enterprise"/>
    <x v="0"/>
    <x v="6"/>
    <x v="3"/>
    <s v="ACC-3645"/>
    <n v="873.06"/>
    <n v="2101.5500000000002"/>
    <n v="6.6000000000000003E-2"/>
    <n v="6.6000000000000003E-2"/>
    <n v="10"/>
    <n v="1.4071083316152386"/>
    <n v="19628.476999999999"/>
    <n v="8730.5999999999985"/>
    <n v="10897.877"/>
    <n v="0.55520746719167269"/>
    <s v="High"/>
    <n v="19628.476999999999"/>
    <n v="10897.877"/>
    <n v="1"/>
    <d v="2023-01-19T00:00:00"/>
    <d v="2023-01-31T00:00:00"/>
    <x v="1"/>
    <n v="5"/>
    <s v="False"/>
    <n v="19628.476999999999"/>
    <n v="12"/>
    <n v="25218.600000000002"/>
    <n v="12"/>
    <n v="1004.0189999999999"/>
    <n v="10040.189999999999"/>
  </r>
  <r>
    <s v="ORD-2023-586275"/>
    <x v="6"/>
    <d v="2023-02-03T00:00:00"/>
    <n v="14"/>
    <s v="Q1-2023"/>
    <x v="1"/>
    <x v="7"/>
    <s v="Kisumu"/>
    <s v="Corporate"/>
    <x v="3"/>
    <x v="3"/>
    <x v="4"/>
    <s v="NET-6036"/>
    <n v="884.36"/>
    <n v="1545.34"/>
    <n v="0.24299999999999999"/>
    <n v="0.24299999999999999"/>
    <n v="41"/>
    <n v="0.74741055678682877"/>
    <n v="47962.717579999997"/>
    <n v="36258.76"/>
    <n v="11703.957579999995"/>
    <n v="0.24402198562827965"/>
    <s v=" "/>
    <n v="47962.717579999997"/>
    <n v="11703.957579999995"/>
    <n v="1"/>
    <d v="2023-01-20T00:00:00"/>
    <d v="2023-01-31T00:00:00"/>
    <x v="1"/>
    <n v="5"/>
    <s v="True"/>
    <n v="47962.717579999997"/>
    <n v="49"/>
    <n v="75721.659999999989"/>
    <n v="49"/>
    <n v="1017.0139999999999"/>
    <n v="41697.573999999993"/>
  </r>
  <r>
    <s v="ORD-2023-613317"/>
    <x v="7"/>
    <d v="2023-01-22T00:00:00"/>
    <n v="1"/>
    <s v="Q1-2023"/>
    <x v="2"/>
    <x v="8"/>
    <s v="Munich"/>
    <s v="Corporate"/>
    <x v="2"/>
    <x v="7"/>
    <x v="5"/>
    <s v="MON-2537"/>
    <n v="150.86000000000001"/>
    <n v="346.96"/>
    <n v="0.19600000000000001"/>
    <n v="0.19600000000000001"/>
    <n v="8"/>
    <n v="1.2998806840779527"/>
    <n v="2231.6467200000002"/>
    <n v="1206.8800000000001"/>
    <n v="1024.7667200000001"/>
    <n v="0.45919755614365343"/>
    <s v="High"/>
    <n v="2231.6467200000002"/>
    <n v="1024.7667200000001"/>
    <n v="2"/>
    <d v="2023-01-20T00:00:00"/>
    <d v="2023-01-31T00:00:00"/>
    <x v="0"/>
    <n v="4"/>
    <s v="False"/>
    <n v="2231.6467200000002"/>
    <n v="9"/>
    <n v="3122.64"/>
    <n v="9"/>
    <n v="173.489"/>
    <n v="1387.912"/>
  </r>
  <r>
    <s v="ORD-2023-811823"/>
    <x v="8"/>
    <d v="2023-02-15T00:00:00"/>
    <n v="20"/>
    <s v="Q1-2023"/>
    <x v="2"/>
    <x v="8"/>
    <s v="Berlin"/>
    <s v="Small Business"/>
    <x v="1"/>
    <x v="5"/>
    <x v="4"/>
    <s v="NET-8787"/>
    <n v="492.62"/>
    <n v="743.85620000000006"/>
    <n v="8.8999999999999996E-2"/>
    <n v="8.8999999999999996E-2"/>
    <n v="10"/>
    <n v="0.51000000000000012"/>
    <n v="6776.5299820000009"/>
    <n v="4926.2"/>
    <n v="1850.3299820000011"/>
    <n v="0.27304977428195504"/>
    <s v="Medium"/>
    <n v="6776.5299820000009"/>
    <n v="1850.3299820000011"/>
    <n v="2"/>
    <d v="2023-01-20T00:00:00"/>
    <d v="2023-01-31T00:00:00"/>
    <x v="1"/>
    <n v="6"/>
    <s v="False"/>
    <n v="6776.5299820000009"/>
    <n v="12"/>
    <n v="8926.2744000000002"/>
    <n v="12"/>
    <n v="566.51299999999992"/>
    <n v="5665.1299999999992"/>
  </r>
  <r>
    <s v="ORD-2023-430904"/>
    <x v="9"/>
    <d v="2023-01-31T00:00:00"/>
    <n v="4"/>
    <s v="Q1-2023"/>
    <x v="2"/>
    <x v="6"/>
    <s v="Manchester"/>
    <s v="Enterprise"/>
    <x v="1"/>
    <x v="8"/>
    <x v="0"/>
    <s v="LAP-9782"/>
    <n v="941.2"/>
    <n v="1797.6920000000002"/>
    <n v="0.22"/>
    <n v="0.22"/>
    <n v="16"/>
    <n v="0.91000000000000014"/>
    <n v="22435.196160000003"/>
    <n v="15059.2"/>
    <n v="7375.9961600000024"/>
    <n v="0.32876896227681573"/>
    <s v="High"/>
    <n v="22435.196160000003"/>
    <n v="7375.9961600000024"/>
    <n v="2"/>
    <d v="2023-01-20T00:00:00"/>
    <d v="2023-01-31T00:00:00"/>
    <x v="0"/>
    <n v="5"/>
    <s v="True"/>
    <n v="22435.196160000003"/>
    <n v="19"/>
    <n v="34156.148000000001"/>
    <n v="19"/>
    <n v="1082.3799999999999"/>
    <n v="17318.079999999998"/>
  </r>
  <r>
    <s v="ORD-2023-856322"/>
    <x v="10"/>
    <d v="2023-02-06T00:00:00"/>
    <n v="8"/>
    <s v="Q1-2023"/>
    <x v="0"/>
    <x v="9"/>
    <s v="Brasília"/>
    <s v="Corporate"/>
    <x v="4"/>
    <x v="2"/>
    <x v="5"/>
    <s v="MON-7207"/>
    <n v="41.84"/>
    <n v="86.2"/>
    <n v="0.22600000000000001"/>
    <n v="0.22600000000000001"/>
    <n v="27"/>
    <n v="1.0602294455066921"/>
    <n v="1801.4076000000002"/>
    <n v="1129.68"/>
    <n v="671.72760000000017"/>
    <n v="0.37289039970742882"/>
    <s v="High"/>
    <n v="1801.4076"/>
    <n v="671.72759999999994"/>
    <n v="1"/>
    <d v="2023-01-29T00:00:00"/>
    <d v="2023-01-31T00:00:00"/>
    <x v="1"/>
    <n v="8"/>
    <s v="True"/>
    <n v="1801.4076"/>
    <n v="32"/>
    <n v="2758.4"/>
    <n v="32"/>
    <n v="48.116"/>
    <n v="1299.1320000000001"/>
  </r>
  <r>
    <s v="ORD-2023-575584"/>
    <x v="11"/>
    <d v="2023-02-21T00:00:00"/>
    <n v="22"/>
    <s v="Q1-2023"/>
    <x v="2"/>
    <x v="8"/>
    <s v="Munich"/>
    <s v="Small Business"/>
    <x v="4"/>
    <x v="6"/>
    <x v="4"/>
    <s v="NET-3460"/>
    <n v="1142.8800000000001"/>
    <n v="1465.29"/>
    <n v="0.186"/>
    <n v="0.186"/>
    <n v="7"/>
    <n v="0.2821031079378411"/>
    <n v="8349.2224200000001"/>
    <n v="8000.1600000000008"/>
    <n v="349.06241999999929"/>
    <n v="4.1807775915017401E-2"/>
    <s v="Medium"/>
    <n v="8349.2224200000001"/>
    <n v="349.06241999999929"/>
    <n v="3"/>
    <d v="2023-01-29T00:00:00"/>
    <d v="2023-01-31T00:00:00"/>
    <x v="1"/>
    <n v="9"/>
    <s v="False"/>
    <n v="8349.2224200000001"/>
    <n v="8"/>
    <n v="11722.32"/>
    <n v="8"/>
    <n v="1314.3120000000001"/>
    <n v="9200.1840000000011"/>
  </r>
  <r>
    <s v="ORD-2023-855675"/>
    <x v="12"/>
    <d v="2023-02-28T00:00:00"/>
    <n v="23"/>
    <s v="Q1-2023"/>
    <x v="0"/>
    <x v="4"/>
    <s v="Austin"/>
    <s v="Non-Profit"/>
    <x v="0"/>
    <x v="9"/>
    <x v="2"/>
    <s v="PHN-2036"/>
    <n v="1214.49"/>
    <n v="1533.95"/>
    <n v="0"/>
    <n v="0"/>
    <n v="11"/>
    <n v="0.26304045319434499"/>
    <n v="16873.45"/>
    <n v="13359.39"/>
    <n v="3514.0600000000013"/>
    <n v="0.20825972163369086"/>
    <s v="Medium"/>
    <n v="16873.45"/>
    <n v="3514.0600000000013"/>
    <n v="2"/>
    <d v="2023-01-29T00:00:00"/>
    <d v="2023-01-31T00:00:00"/>
    <x v="1"/>
    <n v="9"/>
    <s v="False"/>
    <n v="16873.45"/>
    <n v="13"/>
    <n v="19941.350000000002"/>
    <n v="13"/>
    <n v="1396.6634999999999"/>
    <n v="15363.298499999999"/>
  </r>
  <r>
    <s v="ORD-2023-271836"/>
    <x v="13"/>
    <d v="2023-02-12T00:00:00"/>
    <n v="5"/>
    <s v="Q1-2023"/>
    <x v="0"/>
    <x v="9"/>
    <s v="São Paulo"/>
    <s v="Education"/>
    <x v="1"/>
    <x v="8"/>
    <x v="6"/>
    <s v="CMP-2693"/>
    <n v="948.55"/>
    <n v="2089.16"/>
    <n v="7.0000000000000001E-3"/>
    <n v="7.0000000000000001E-3"/>
    <n v="12"/>
    <n v="1.2024774656053976"/>
    <n v="24894.430559999997"/>
    <n v="11382.599999999999"/>
    <n v="13511.830559999999"/>
    <n v="0.54276519912492427"/>
    <s v="High"/>
    <n v="24894.430560000001"/>
    <n v="13511.830560000002"/>
    <n v="2"/>
    <d v="2023-01-29T00:00:00"/>
    <d v="2023-01-31T00:00:00"/>
    <x v="0"/>
    <n v="7"/>
    <s v="False"/>
    <n v="24894.430560000001"/>
    <n v="14"/>
    <n v="29248.239999999998"/>
    <n v="14"/>
    <n v="1090.8324999999998"/>
    <n v="13089.989999999998"/>
  </r>
  <r>
    <s v="ORD-2023-159379"/>
    <x v="14"/>
    <d v="2023-02-11T00:00:00"/>
    <n v="3"/>
    <s v="Q1-2023"/>
    <x v="1"/>
    <x v="1"/>
    <s v="Cape Town"/>
    <s v="Corporate"/>
    <x v="2"/>
    <x v="3"/>
    <x v="4"/>
    <s v="NET-5018"/>
    <n v="1410.05"/>
    <n v="2763.95"/>
    <n v="0.161"/>
    <n v="0.161"/>
    <n v="26"/>
    <n v="0.9601787170667706"/>
    <n v="60292.805299999993"/>
    <n v="36661.299999999996"/>
    <n v="23631.505299999997"/>
    <n v="0.39194569206750779"/>
    <s v="High"/>
    <n v="60292.805299999993"/>
    <n v="23631.505299999997"/>
    <n v="2"/>
    <d v="2023-01-29T00:00:00"/>
    <d v="2023-01-31T00:00:00"/>
    <x v="0"/>
    <n v="8"/>
    <s v="False"/>
    <n v="60292.805299999993"/>
    <n v="31"/>
    <n v="85682.45"/>
    <n v="31"/>
    <n v="1621.5574999999999"/>
    <n v="42160.494999999995"/>
  </r>
  <r>
    <s v="ORD-2023-960380"/>
    <x v="15"/>
    <d v="2023-02-12T00:00:00"/>
    <n v="1"/>
    <s v="Q1-2023"/>
    <x v="1"/>
    <x v="5"/>
    <s v="Port Harcourt"/>
    <s v="Non-Profit"/>
    <x v="2"/>
    <x v="2"/>
    <x v="3"/>
    <s v="ACC-8242"/>
    <n v="944.61"/>
    <n v="1775.8668"/>
    <n v="5.8999999999999997E-2"/>
    <n v="5.8999999999999997E-2"/>
    <n v="6"/>
    <n v="0.88"/>
    <n v="10026.543952800001"/>
    <n v="5667.66"/>
    <n v="4358.8839528000008"/>
    <n v="0.43473443823908475"/>
    <s v="High"/>
    <n v="10026.543952800001"/>
    <n v="4358.8839528000008"/>
    <n v="2"/>
    <d v="2023-01-29T00:00:00"/>
    <d v="2023-01-31T00:00:00"/>
    <x v="0"/>
    <n v="8"/>
    <s v="False"/>
    <n v="10026.543952800001"/>
    <n v="7"/>
    <n v="12431.0676"/>
    <n v="7"/>
    <n v="1086.3015"/>
    <n v="6517.8090000000002"/>
  </r>
  <r>
    <s v="ORD-2023-480975"/>
    <x v="16"/>
    <d v="2023-02-26T00:00:00"/>
    <n v="11"/>
    <s v="Q1-2023"/>
    <x v="1"/>
    <x v="1"/>
    <s v="Johannesburg"/>
    <s v="Non-Profit"/>
    <x v="3"/>
    <x v="10"/>
    <x v="0"/>
    <s v="LAP-3393"/>
    <n v="498.5"/>
    <n v="755.87"/>
    <n v="0.13"/>
    <n v="0.13"/>
    <n v="40"/>
    <n v="0.51628886659979945"/>
    <n v="26304.275999999998"/>
    <n v="19940"/>
    <n v="6364.275999999998"/>
    <n v="0.24194834330357537"/>
    <s v="Medium"/>
    <n v="26304.275999999998"/>
    <n v="6364.275999999998"/>
    <n v="3"/>
    <d v="2023-01-29T00:00:00"/>
    <d v="2023-01-31T00:00:00"/>
    <x v="1"/>
    <n v="11"/>
    <s v="False"/>
    <n v="26304.275999999998"/>
    <n v="48"/>
    <n v="36281.760000000002"/>
    <n v="48"/>
    <n v="573.27499999999998"/>
    <n v="22931"/>
  </r>
  <r>
    <s v="ORD-2023-884625"/>
    <x v="17"/>
    <d v="2023-03-12T00:00:00"/>
    <n v="21"/>
    <s v="Q1-2023"/>
    <x v="2"/>
    <x v="8"/>
    <s v="Berlin"/>
    <s v="Small Business"/>
    <x v="2"/>
    <x v="9"/>
    <x v="5"/>
    <s v="MON-6699"/>
    <n v="1234.81"/>
    <n v="2055.2399999999998"/>
    <n v="5.2999999999999999E-2"/>
    <n v="5.2999999999999999E-2"/>
    <n v="44"/>
    <n v="0.66441800762870395"/>
    <n v="85637.740319999997"/>
    <n v="54331.64"/>
    <n v="31306.100319999998"/>
    <n v="0.36556429680441616"/>
    <s v="Medium"/>
    <n v="85637.740319999983"/>
    <n v="31306.100319999983"/>
    <n v="4"/>
    <d v="2023-01-29T00:00:00"/>
    <d v="2023-01-31T00:00:00"/>
    <x v="1"/>
    <n v="12"/>
    <s v="False"/>
    <n v="85637.740319999983"/>
    <n v="52"/>
    <n v="106872.47999999998"/>
    <n v="52"/>
    <n v="1420.0314999999998"/>
    <n v="62481.385999999991"/>
  </r>
  <r>
    <s v="ORD-2023-848013"/>
    <x v="18"/>
    <d v="2023-03-04T00:00:00"/>
    <n v="12"/>
    <s v="Q1-2023"/>
    <x v="3"/>
    <x v="10"/>
    <s v="Delhi"/>
    <s v="Consumer"/>
    <x v="0"/>
    <x v="3"/>
    <x v="5"/>
    <s v="MON-9906"/>
    <n v="299.75"/>
    <n v="523.01"/>
    <n v="0.157"/>
    <n v="0.157"/>
    <n v="50"/>
    <n v="0.74482068390325273"/>
    <n v="22044.871499999997"/>
    <n v="14987.5"/>
    <n v="7057.3714999999975"/>
    <n v="0.32013665854210122"/>
    <s v="Medium"/>
    <n v="22044.871500000001"/>
    <n v="7057.3715000000011"/>
    <n v="1"/>
    <d v="2023-02-20T00:00:00"/>
    <d v="2023-02-28T00:00:00"/>
    <x v="1"/>
    <n v="13"/>
    <s v="False"/>
    <n v="22044.871500000001"/>
    <n v="60"/>
    <n v="31380.6"/>
    <n v="60"/>
    <n v="344.71249999999998"/>
    <n v="17235.625"/>
  </r>
  <r>
    <s v="ORD-2023-156396"/>
    <x v="19"/>
    <d v="2023-03-12T00:00:00"/>
    <n v="19"/>
    <s v="Q1-2023"/>
    <x v="1"/>
    <x v="7"/>
    <s v="Nakuru"/>
    <s v="Corporate"/>
    <x v="1"/>
    <x v="7"/>
    <x v="4"/>
    <s v="NET-2499"/>
    <n v="352.65"/>
    <n v="485.86"/>
    <n v="4.1000000000000002E-2"/>
    <n v="4.1000000000000002E-2"/>
    <n v="6"/>
    <n v="0.37773996880759975"/>
    <n v="2795.6384399999997"/>
    <n v="2115.8999999999996"/>
    <n v="679.73844000000008"/>
    <n v="0.24314247159943908"/>
    <s v="Medium"/>
    <n v="2795.6384399999997"/>
    <n v="679.73844000000008"/>
    <n v="2"/>
    <d v="2023-02-20T00:00:00"/>
    <d v="2023-02-28T00:00:00"/>
    <x v="1"/>
    <n v="14"/>
    <s v="False"/>
    <n v="2795.6384399999997"/>
    <n v="7"/>
    <n v="3401.02"/>
    <n v="7"/>
    <n v="405.54749999999996"/>
    <n v="2433.2849999999999"/>
  </r>
  <r>
    <s v="ORD-2023-562894"/>
    <x v="20"/>
    <d v="2023-03-25T00:00:00"/>
    <n v="30"/>
    <s v="Q1-2023"/>
    <x v="0"/>
    <x v="0"/>
    <s v="Montreal"/>
    <s v="Enterprise"/>
    <x v="1"/>
    <x v="2"/>
    <x v="2"/>
    <s v="PHN-4854"/>
    <n v="1242.6600000000001"/>
    <n v="1794.07"/>
    <n v="8.8999999999999996E-2"/>
    <n v="8.8999999999999996E-2"/>
    <n v="16"/>
    <n v="0.44373360372104986"/>
    <n v="26150.364320000001"/>
    <n v="19882.560000000001"/>
    <n v="6267.8043199999993"/>
    <n v="0.23968325042440553"/>
    <s v="Medium"/>
    <n v="26150.364320000001"/>
    <n v="6267.8043199999993"/>
    <n v="2"/>
    <d v="2023-02-20T00:00:00"/>
    <d v="2023-02-28T00:00:00"/>
    <x v="1"/>
    <n v="15"/>
    <s v="False"/>
    <n v="26150.364320000001"/>
    <n v="19"/>
    <n v="34087.33"/>
    <n v="19"/>
    <n v="1429.059"/>
    <n v="22864.944"/>
  </r>
  <r>
    <s v="ORD-2023-744942"/>
    <x v="20"/>
    <d v="2023-03-18T00:00:00"/>
    <n v="23"/>
    <s v="Q1-2023"/>
    <x v="3"/>
    <x v="3"/>
    <s v="Beijing"/>
    <s v="Education"/>
    <x v="0"/>
    <x v="10"/>
    <x v="1"/>
    <s v="PRN-1060"/>
    <n v="770.11"/>
    <n v="1667.82"/>
    <n v="6.9000000000000006E-2"/>
    <n v="6.9000000000000006E-2"/>
    <n v="7"/>
    <n v="1.1656906156263389"/>
    <n v="10869.182940000001"/>
    <n v="5390.77"/>
    <n v="5478.4129400000002"/>
    <n v="0.50403171703355287"/>
    <s v="High"/>
    <n v="10869.182940000001"/>
    <n v="5478.4129400000002"/>
    <n v="2"/>
    <d v="2023-02-20T00:00:00"/>
    <d v="2023-02-28T00:00:00"/>
    <x v="1"/>
    <n v="16"/>
    <s v="False"/>
    <n v="10869.182940000001"/>
    <n v="8"/>
    <n v="13342.56"/>
    <n v="8"/>
    <n v="885.62649999999996"/>
    <n v="6199.3854999999994"/>
  </r>
  <r>
    <s v="ORD-2023-735274"/>
    <x v="20"/>
    <d v="2023-03-08T00:00:00"/>
    <n v="13"/>
    <s v="Q1-2023"/>
    <x v="2"/>
    <x v="6"/>
    <s v="Manchester"/>
    <s v="Small Business"/>
    <x v="2"/>
    <x v="11"/>
    <x v="1"/>
    <s v="PRN-7410"/>
    <n v="307.37"/>
    <n v="462.61"/>
    <n v="0.188"/>
    <n v="0.188"/>
    <n v="11"/>
    <n v="0.50505904935419854"/>
    <n v="4132.0325200000007"/>
    <n v="3381.07"/>
    <n v="750.9625200000005"/>
    <n v="0.18174167709599739"/>
    <s v="Medium"/>
    <n v="4132.0325200000007"/>
    <n v="750.9625200000005"/>
    <n v="3"/>
    <d v="2023-02-20T00:00:00"/>
    <d v="2023-02-28T00:00:00"/>
    <x v="1"/>
    <n v="17"/>
    <s v="False"/>
    <n v="4132.0325200000007"/>
    <n v="13"/>
    <n v="6013.93"/>
    <n v="13"/>
    <n v="353.47549999999995"/>
    <n v="3888.2304999999997"/>
  </r>
  <r>
    <s v="ORD-2023-286994"/>
    <x v="21"/>
    <d v="2023-03-09T00:00:00"/>
    <n v="13"/>
    <s v="Q1-2023"/>
    <x v="0"/>
    <x v="4"/>
    <s v="New York"/>
    <s v="Enterprise"/>
    <x v="1"/>
    <x v="3"/>
    <x v="6"/>
    <s v="CMP-1632"/>
    <n v="6.85"/>
    <n v="10.18"/>
    <n v="4.7E-2"/>
    <n v="4.7E-2"/>
    <n v="10"/>
    <n v="0.48613138686131391"/>
    <n v="97.0154"/>
    <n v="68.5"/>
    <n v="28.5154"/>
    <n v="0.2939265312517394"/>
    <s v="Medium"/>
    <n v="97.0154"/>
    <n v="28.5154"/>
    <n v="4"/>
    <d v="2023-02-20T00:00:00"/>
    <d v="2023-02-28T00:00:00"/>
    <x v="1"/>
    <n v="17"/>
    <s v="False"/>
    <n v="97.0154"/>
    <n v="12"/>
    <n v="122.16"/>
    <n v="12"/>
    <n v="7.8774999999999986"/>
    <n v="78.774999999999991"/>
  </r>
  <r>
    <s v="ORD-2023-619493"/>
    <x v="22"/>
    <d v="2023-02-27T00:00:00"/>
    <n v="1"/>
    <s v="Q1-2023"/>
    <x v="0"/>
    <x v="4"/>
    <s v="San Francisco"/>
    <s v="Non-Profit"/>
    <x v="1"/>
    <x v="9"/>
    <x v="4"/>
    <s v="NET-1282"/>
    <n v="1015.91"/>
    <n v="2331.48"/>
    <n v="0.14599999999999999"/>
    <n v="0.14599999999999999"/>
    <n v="26"/>
    <n v="1.2949670738549677"/>
    <n v="51768.181920000003"/>
    <n v="26413.66"/>
    <n v="25354.521920000003"/>
    <n v="0.48977037592669626"/>
    <s v="High"/>
    <n v="51768.181920000003"/>
    <n v="25354.521920000003"/>
    <n v="4"/>
    <d v="2023-02-20T00:00:00"/>
    <d v="2023-02-28T00:00:00"/>
    <x v="0"/>
    <n v="10"/>
    <s v="False"/>
    <n v="51768.181920000003"/>
    <n v="31"/>
    <n v="72275.88"/>
    <n v="31"/>
    <n v="1168.2964999999999"/>
    <n v="30375.708999999999"/>
  </r>
  <r>
    <s v="ORD-2023-888245"/>
    <x v="23"/>
    <d v="2023-02-28T00:00:00"/>
    <n v="1"/>
    <s v="Q1-2023"/>
    <x v="2"/>
    <x v="2"/>
    <s v="Marseille"/>
    <s v="Corporate"/>
    <x v="3"/>
    <x v="10"/>
    <x v="4"/>
    <s v="NET-5195"/>
    <n v="1299.81"/>
    <n v="3149.13"/>
    <n v="0.10299999999999999"/>
    <n v="0.10299999999999999"/>
    <n v="14"/>
    <n v="1.4227617882613615"/>
    <n v="39546.774539999999"/>
    <n v="18197.34"/>
    <n v="21349.434539999998"/>
    <n v="0.53985273864511729"/>
    <s v="High"/>
    <n v="39546.774540000006"/>
    <n v="21349.434540000006"/>
    <n v="2"/>
    <d v="2023-02-20T00:00:00"/>
    <d v="2023-02-28T00:00:00"/>
    <x v="0"/>
    <n v="11"/>
    <s v="False"/>
    <n v="39546.774540000006"/>
    <n v="16"/>
    <n v="50386.080000000002"/>
    <n v="16"/>
    <n v="1494.7814999999998"/>
    <n v="20926.940999999999"/>
  </r>
  <r>
    <s v="ORD-2023-472078"/>
    <x v="24"/>
    <d v="2023-03-06T00:00:00"/>
    <n v="6"/>
    <s v="Q1-2023"/>
    <x v="2"/>
    <x v="8"/>
    <s v="Frankfurt"/>
    <s v="Small Business"/>
    <x v="4"/>
    <x v="2"/>
    <x v="1"/>
    <s v="PRN-9624"/>
    <n v="880.02"/>
    <n v="1251.21"/>
    <n v="0.123"/>
    <n v="0.123"/>
    <n v="29"/>
    <n v="0.42179723188109369"/>
    <n v="31822.023930000003"/>
    <n v="25520.579999999998"/>
    <n v="6301.4439300000049"/>
    <n v="0.19802146915172672"/>
    <s v="Medium"/>
    <n v="31822.023929999999"/>
    <n v="6301.4439300000013"/>
    <n v="5"/>
    <d v="2023-02-20T00:00:00"/>
    <d v="2023-02-28T00:00:00"/>
    <x v="0"/>
    <n v="11"/>
    <s v="False"/>
    <n v="31822.023929999999"/>
    <n v="34"/>
    <n v="42541.14"/>
    <n v="34"/>
    <n v="1012.0229999999999"/>
    <n v="29348.666999999998"/>
  </r>
  <r>
    <s v="ORD-2023-373538"/>
    <x v="24"/>
    <d v="2023-03-25T00:00:00"/>
    <n v="25"/>
    <s v="Q1-2023"/>
    <x v="1"/>
    <x v="7"/>
    <s v="Nairobi"/>
    <s v="Corporate"/>
    <x v="3"/>
    <x v="12"/>
    <x v="4"/>
    <s v="NET-9666"/>
    <n v="1460.76"/>
    <n v="2790.0516000000002"/>
    <n v="0.13100000000000001"/>
    <n v="0.13100000000000001"/>
    <n v="12"/>
    <n v="0.91000000000000014"/>
    <n v="29094.658084800001"/>
    <n v="17529.12"/>
    <n v="11565.538084800002"/>
    <n v="0.39751414335548479"/>
    <s v="High"/>
    <n v="29094.658084800001"/>
    <n v="11565.538084800002"/>
    <n v="3"/>
    <d v="2023-02-20T00:00:00"/>
    <d v="2023-02-28T00:00:00"/>
    <x v="1"/>
    <n v="19"/>
    <s v="False"/>
    <n v="29094.658084800001"/>
    <n v="14"/>
    <n v="39060.722400000006"/>
    <n v="14"/>
    <n v="1679.8739999999998"/>
    <n v="20158.487999999998"/>
  </r>
  <r>
    <s v="ORD-2023-422918"/>
    <x v="24"/>
    <d v="2023-03-20T00:00:00"/>
    <n v="20"/>
    <s v="Q1-2023"/>
    <x v="2"/>
    <x v="8"/>
    <s v="Berlin"/>
    <s v="Small Business"/>
    <x v="2"/>
    <x v="4"/>
    <x v="0"/>
    <s v="LAP-3679"/>
    <n v="1200.78"/>
    <n v="2001.17"/>
    <n v="0.29199999999999998"/>
    <n v="0.25"/>
    <n v="18"/>
    <n v="0.66655840370425901"/>
    <n v="25502.910479999999"/>
    <n v="21614.04"/>
    <n v="3888.8704799999978"/>
    <n v="0.15248732034132906"/>
    <s v="Medium"/>
    <n v="25502.910479999999"/>
    <n v="3888.8704799999978"/>
    <n v="6"/>
    <d v="2023-02-20T00:00:00"/>
    <d v="2023-02-28T00:00:00"/>
    <x v="1"/>
    <n v="19"/>
    <s v="True"/>
    <n v="27015.795000000002"/>
    <n v="21"/>
    <n v="42024.57"/>
    <n v="21"/>
    <n v="1380.8969999999999"/>
    <n v="24856.146000000001"/>
  </r>
  <r>
    <s v="ORD-2023-869884"/>
    <x v="25"/>
    <d v="2023-03-05T00:00:00"/>
    <n v="3"/>
    <s v="Q1-2023"/>
    <x v="0"/>
    <x v="9"/>
    <s v="Brasília"/>
    <s v="Enterprise"/>
    <x v="2"/>
    <x v="6"/>
    <x v="5"/>
    <s v="MON-2828"/>
    <n v="1473.58"/>
    <n v="3436.52"/>
    <n v="0.108"/>
    <n v="0.108"/>
    <n v="8"/>
    <n v="1.3320891977361258"/>
    <n v="24523.006720000001"/>
    <n v="11788.64"/>
    <n v="12734.366720000002"/>
    <n v="0.51928243813652564"/>
    <s v="High"/>
    <n v="24523.006720000001"/>
    <n v="12734.366720000002"/>
    <n v="3"/>
    <d v="2023-02-20T00:00:00"/>
    <d v="2023-02-28T00:00:00"/>
    <x v="0"/>
    <n v="12"/>
    <s v="False"/>
    <n v="24523.006720000001"/>
    <n v="9"/>
    <n v="30928.68"/>
    <n v="9"/>
    <n v="1694.6169999999997"/>
    <n v="13556.935999999998"/>
  </r>
  <r>
    <s v="ORD-2023-139236"/>
    <x v="26"/>
    <d v="2023-03-20T00:00:00"/>
    <n v="17"/>
    <s v="Q1-2023"/>
    <x v="3"/>
    <x v="11"/>
    <s v="Nagoya"/>
    <s v="Small Business"/>
    <x v="1"/>
    <x v="2"/>
    <x v="4"/>
    <s v="NET-7349"/>
    <n v="1171.17"/>
    <n v="2030.64"/>
    <n v="0.157"/>
    <n v="0.157"/>
    <n v="11"/>
    <n v="0.73385588770204158"/>
    <n v="18830.12472"/>
    <n v="12882.87"/>
    <n v="5947.254719999999"/>
    <n v="0.31583724528830415"/>
    <s v="Medium"/>
    <n v="18830.12472"/>
    <n v="5947.254719999999"/>
    <n v="1"/>
    <d v="2023-03-03T00:00:00"/>
    <d v="2023-03-31T00:00:00"/>
    <x v="1"/>
    <n v="21"/>
    <s v="False"/>
    <n v="18830.12472"/>
    <n v="13"/>
    <n v="26398.32"/>
    <n v="13"/>
    <n v="1346.8454999999999"/>
    <n v="14815.300499999999"/>
  </r>
  <r>
    <s v="ORD-2023-276806"/>
    <x v="27"/>
    <d v="2023-03-24T00:00:00"/>
    <n v="20"/>
    <s v="Q1-2023"/>
    <x v="0"/>
    <x v="0"/>
    <s v="Montreal"/>
    <s v="Consumer"/>
    <x v="0"/>
    <x v="12"/>
    <x v="0"/>
    <s v="LAP-6160"/>
    <n v="481.71"/>
    <n v="912.45"/>
    <n v="0.20300000000000001"/>
    <n v="0.20300000000000001"/>
    <n v="24"/>
    <n v="0.89418945008407569"/>
    <n v="17453.3436"/>
    <n v="11561.039999999999"/>
    <n v="5892.3036000000011"/>
    <n v="0.33760313983619739"/>
    <s v="High"/>
    <n v="17453.3436"/>
    <n v="5892.3036000000011"/>
    <n v="3"/>
    <d v="2023-03-03T00:00:00"/>
    <d v="2023-03-31T00:00:00"/>
    <x v="1"/>
    <n v="22"/>
    <s v="True"/>
    <n v="17453.3436"/>
    <n v="28"/>
    <n v="25548.600000000002"/>
    <n v="28"/>
    <n v="553.96649999999988"/>
    <n v="13295.195999999996"/>
  </r>
  <r>
    <s v="ORD-2023-854471"/>
    <x v="28"/>
    <d v="2023-04-04T00:00:00"/>
    <n v="29"/>
    <s v="Q1-2023"/>
    <x v="3"/>
    <x v="3"/>
    <s v="Beijing"/>
    <s v="Small Business"/>
    <x v="2"/>
    <x v="11"/>
    <x v="5"/>
    <s v="MON-2073"/>
    <n v="1126.29"/>
    <n v="2050.87"/>
    <n v="6.4000000000000001E-2"/>
    <n v="6.4000000000000001E-2"/>
    <n v="7"/>
    <n v="0.82090758152873589"/>
    <n v="13437.300239999999"/>
    <n v="7884.03"/>
    <n v="5553.2702399999989"/>
    <n v="0.41327276616690373"/>
    <s v="High"/>
    <n v="13437.300239999997"/>
    <n v="5553.2702399999971"/>
    <n v="3"/>
    <d v="2023-03-03T00:00:00"/>
    <d v="2023-03-31T00:00:00"/>
    <x v="1"/>
    <n v="23"/>
    <s v="False"/>
    <n v="13437.300239999997"/>
    <n v="8"/>
    <n v="16406.96"/>
    <n v="8"/>
    <n v="1295.2334999999998"/>
    <n v="9066.6344999999983"/>
  </r>
  <r>
    <s v="ORD-2023-949710"/>
    <x v="29"/>
    <d v="2023-04-01T00:00:00"/>
    <n v="25"/>
    <s v="Q1-2023"/>
    <x v="1"/>
    <x v="7"/>
    <s v="Nairobi"/>
    <s v="Consumer"/>
    <x v="4"/>
    <x v="2"/>
    <x v="1"/>
    <s v="PRN-7049"/>
    <n v="1024.0999999999999"/>
    <n v="2068.6819999999998"/>
    <n v="0.189"/>
    <n v="0.189"/>
    <n v="10"/>
    <n v="1.02"/>
    <n v="16777.011019999998"/>
    <n v="10241"/>
    <n v="6536.0110199999981"/>
    <n v="0.38958137490691108"/>
    <s v="High"/>
    <n v="16777.011019999998"/>
    <n v="6536.0110199999981"/>
    <n v="4"/>
    <d v="2023-03-03T00:00:00"/>
    <d v="2023-03-31T00:00:00"/>
    <x v="1"/>
    <n v="24"/>
    <s v="False"/>
    <n v="16777.011019999998"/>
    <n v="12"/>
    <n v="24824.183999999997"/>
    <n v="12"/>
    <n v="1177.7149999999997"/>
    <n v="11777.149999999998"/>
  </r>
  <r>
    <s v="ORD-2023-281890"/>
    <x v="30"/>
    <d v="2023-04-04T00:00:00"/>
    <n v="22"/>
    <s v="Q1-2023"/>
    <x v="1"/>
    <x v="1"/>
    <s v="Durban"/>
    <s v="Small Business"/>
    <x v="3"/>
    <x v="1"/>
    <x v="6"/>
    <s v="CMP-2574"/>
    <n v="1113.7"/>
    <n v="1620.6"/>
    <n v="0.13900000000000001"/>
    <n v="0.13900000000000001"/>
    <n v="11"/>
    <n v="0.45514950166112944"/>
    <n v="15348.702599999999"/>
    <n v="12250.7"/>
    <n v="3098.002599999998"/>
    <n v="0.20184133348182787"/>
    <s v="Medium"/>
    <n v="15348.702599999999"/>
    <n v="3098.002599999998"/>
    <n v="5"/>
    <d v="2023-03-03T00:00:00"/>
    <d v="2023-03-31T00:00:00"/>
    <x v="1"/>
    <n v="25"/>
    <s v="False"/>
    <n v="15348.702599999999"/>
    <n v="13"/>
    <n v="21067.8"/>
    <n v="13"/>
    <n v="1280.7549999999999"/>
    <n v="14088.304999999998"/>
  </r>
  <r>
    <s v="ORD-2023-946143"/>
    <x v="31"/>
    <d v="2023-03-30T00:00:00"/>
    <n v="16"/>
    <s v="Q1-2023"/>
    <x v="1"/>
    <x v="1"/>
    <s v="Cape Town"/>
    <s v="Consumer"/>
    <x v="0"/>
    <x v="10"/>
    <x v="6"/>
    <s v="CMP-8230"/>
    <n v="1309.77"/>
    <n v="1589.07"/>
    <n v="0.10199999999999999"/>
    <n v="0.10199999999999999"/>
    <n v="10"/>
    <n v="0.21324354657687988"/>
    <n v="14269.848599999999"/>
    <n v="13097.7"/>
    <n v="1172.1485999999986"/>
    <n v="8.2141628328137886E-2"/>
    <s v="Low"/>
    <n v="14269.848600000001"/>
    <n v="1172.1486000000004"/>
    <n v="5"/>
    <d v="2023-03-03T00:00:00"/>
    <d v="2023-03-31T00:00:00"/>
    <x v="1"/>
    <n v="25"/>
    <s v="False"/>
    <n v="14269.848600000001"/>
    <n v="12"/>
    <n v="19068.84"/>
    <n v="12"/>
    <n v="1506.2354999999998"/>
    <n v="15062.354999999998"/>
  </r>
  <r>
    <s v="ORD-2023-799597"/>
    <x v="31"/>
    <d v="2023-03-18T00:00:00"/>
    <n v="4"/>
    <s v="Q1-2023"/>
    <x v="2"/>
    <x v="8"/>
    <s v="Frankfurt"/>
    <s v="Enterprise"/>
    <x v="2"/>
    <x v="1"/>
    <x v="6"/>
    <s v="CMP-8675"/>
    <n v="472.33"/>
    <n v="845.47069999999997"/>
    <n v="0.16500000000000001"/>
    <n v="0.16500000000000001"/>
    <n v="14"/>
    <n v="0.79"/>
    <n v="9883.5524829999995"/>
    <n v="6612.62"/>
    <n v="3270.9324829999996"/>
    <n v="0.33094704445856887"/>
    <s v="High"/>
    <n v="9883.5524829999995"/>
    <n v="3270.9324829999996"/>
    <n v="8"/>
    <d v="2023-03-03T00:00:00"/>
    <d v="2023-03-31T00:00:00"/>
    <x v="0"/>
    <n v="13"/>
    <s v="False"/>
    <n v="9883.5524829999995"/>
    <n v="16"/>
    <n v="13527.531199999999"/>
    <n v="16"/>
    <n v="543.17949999999996"/>
    <n v="7604.512999999999"/>
  </r>
  <r>
    <s v="ORD-2023-933238"/>
    <x v="32"/>
    <d v="2023-04-06T00:00:00"/>
    <n v="20"/>
    <s v="Q1-2023"/>
    <x v="2"/>
    <x v="8"/>
    <s v="Munich"/>
    <s v="Consumer"/>
    <x v="3"/>
    <x v="5"/>
    <x v="2"/>
    <s v="PHN-8483"/>
    <n v="692.18"/>
    <n v="1159.3499999999999"/>
    <n v="0.112"/>
    <n v="0.112"/>
    <n v="2"/>
    <n v="0.67492559738796265"/>
    <n v="2059.0056"/>
    <n v="1384.36"/>
    <n v="674.64560000000006"/>
    <n v="0.32765602968734037"/>
    <s v="Medium"/>
    <n v="2059.0056"/>
    <n v="674.64560000000006"/>
    <n v="8"/>
    <d v="2023-03-03T00:00:00"/>
    <d v="2023-03-31T00:00:00"/>
    <x v="1"/>
    <n v="27"/>
    <s v="False"/>
    <n v="2059.0056"/>
    <n v="2"/>
    <n v="2318.6999999999998"/>
    <n v="2"/>
    <n v="796.00699999999983"/>
    <n v="1592.0139999999997"/>
  </r>
  <r>
    <s v="ORD-2023-548874"/>
    <x v="33"/>
    <d v="2023-04-09T00:00:00"/>
    <n v="21"/>
    <s v="Q1-2023"/>
    <x v="2"/>
    <x v="6"/>
    <s v="Manchester"/>
    <s v="Consumer"/>
    <x v="3"/>
    <x v="9"/>
    <x v="3"/>
    <s v="ACC-9150"/>
    <n v="1082.17"/>
    <n v="1234.0999999999999"/>
    <n v="0.189"/>
    <n v="0.189"/>
    <n v="16"/>
    <n v="0.14039383830636576"/>
    <n v="16013.681599999998"/>
    <n v="17314.72"/>
    <n v="-1301.0384000000031"/>
    <n v="-8.124542703534228E-2"/>
    <s v="Low"/>
    <n v="16013.681599999998"/>
    <n v="-1301.0384000000031"/>
    <n v="4"/>
    <d v="2023-03-03T00:00:00"/>
    <d v="2023-03-31T00:00:00"/>
    <x v="1"/>
    <n v="28"/>
    <s v="False"/>
    <n v="16013.681599999998"/>
    <n v="19"/>
    <n v="23447.899999999998"/>
    <n v="19"/>
    <n v="1244.4955"/>
    <n v="19911.928"/>
  </r>
  <r>
    <s v="ORD-2023-835010"/>
    <x v="34"/>
    <d v="2023-04-15T00:00:00"/>
    <n v="23"/>
    <s v="Q1-2023"/>
    <x v="1"/>
    <x v="7"/>
    <s v="Mombasa"/>
    <s v="Small Business"/>
    <x v="3"/>
    <x v="11"/>
    <x v="3"/>
    <s v="ACC-2988"/>
    <n v="875.36"/>
    <n v="1178.6199999999999"/>
    <n v="0.151"/>
    <n v="0.151"/>
    <n v="53"/>
    <n v="0.34644032169621625"/>
    <n v="53034.364139999991"/>
    <n v="46394.080000000002"/>
    <n v="6640.2841399999888"/>
    <n v="0.12520719815685888"/>
    <s v="Medium"/>
    <n v="53034.364139999991"/>
    <n v="6640.2841399999888"/>
    <n v="5"/>
    <d v="2023-03-03T00:00:00"/>
    <d v="2023-03-31T00:00:00"/>
    <x v="1"/>
    <n v="28"/>
    <s v="False"/>
    <n v="53034.364139999991"/>
    <n v="63"/>
    <n v="74253.06"/>
    <n v="63"/>
    <n v="1006.664"/>
    <n v="53353.192000000003"/>
  </r>
  <r>
    <s v="ORD-2023-240507"/>
    <x v="35"/>
    <d v="2023-03-26T00:00:00"/>
    <n v="1"/>
    <s v="Q1-2023"/>
    <x v="3"/>
    <x v="11"/>
    <s v="Osaka"/>
    <s v="Small Business"/>
    <x v="0"/>
    <x v="12"/>
    <x v="5"/>
    <s v="MON-9227"/>
    <n v="135.12"/>
    <n v="301.7"/>
    <n v="0.14000000000000001"/>
    <n v="0.14000000000000001"/>
    <n v="47"/>
    <n v="1.2328300769686202"/>
    <n v="12194.714"/>
    <n v="6350.64"/>
    <n v="5844.0739999999996"/>
    <n v="0.47923009920527859"/>
    <s v="High"/>
    <n v="12194.714"/>
    <n v="5844.0739999999996"/>
    <n v="2"/>
    <d v="2023-03-03T00:00:00"/>
    <d v="2023-03-31T00:00:00"/>
    <x v="0"/>
    <n v="14"/>
    <s v="False"/>
    <n v="12194.714"/>
    <n v="56"/>
    <n v="16895.2"/>
    <n v="56"/>
    <n v="155.38800000000001"/>
    <n v="7303.2359999999999"/>
  </r>
  <r>
    <s v="ORD-2023-864121"/>
    <x v="36"/>
    <d v="2023-04-22T00:00:00"/>
    <n v="26"/>
    <s v="Q1-2023"/>
    <x v="3"/>
    <x v="10"/>
    <s v="Delhi"/>
    <s v="Non-Profit"/>
    <x v="4"/>
    <x v="13"/>
    <x v="1"/>
    <s v="PRN-4506"/>
    <n v="178.53"/>
    <n v="199.37"/>
    <n v="0.10100000000000001"/>
    <n v="0.10100000000000001"/>
    <n v="37"/>
    <n v="0.11673108161093375"/>
    <n v="6631.6443100000006"/>
    <n v="6605.61"/>
    <n v="26.034310000000914"/>
    <n v="3.9257699573457538E-3"/>
    <s v="Low"/>
    <n v="6631.6443100000006"/>
    <n v="26.034310000000914"/>
    <n v="2"/>
    <d v="2023-03-03T00:00:00"/>
    <d v="2023-03-31T00:00:00"/>
    <x v="1"/>
    <n v="29"/>
    <s v="False"/>
    <n v="6631.6443100000006"/>
    <n v="44"/>
    <n v="8772.2800000000007"/>
    <n v="44"/>
    <n v="205.30949999999999"/>
    <n v="7596.4514999999992"/>
  </r>
  <r>
    <s v="ORD-2023-419187"/>
    <x v="37"/>
    <d v="2023-04-05T00:00:00"/>
    <n v="5"/>
    <s v="Q1-2023"/>
    <x v="1"/>
    <x v="7"/>
    <s v="Nakuru"/>
    <s v="Education"/>
    <x v="4"/>
    <x v="0"/>
    <x v="0"/>
    <s v="LAP-7819"/>
    <n v="533.26"/>
    <n v="1055.8548000000001"/>
    <n v="0"/>
    <n v="0"/>
    <n v="15"/>
    <n v="0.9800000000000002"/>
    <n v="15837.822"/>
    <n v="7998.9"/>
    <n v="7838.9220000000005"/>
    <n v="0.49494949494949497"/>
    <s v="High"/>
    <n v="15837.822"/>
    <n v="7838.9220000000005"/>
    <n v="7"/>
    <d v="2023-03-03T00:00:00"/>
    <d v="2023-03-31T00:00:00"/>
    <x v="0"/>
    <n v="15"/>
    <s v="False"/>
    <n v="15837.822"/>
    <n v="18"/>
    <n v="19005.386400000003"/>
    <n v="18"/>
    <n v="613.24899999999991"/>
    <n v="9198.7349999999988"/>
  </r>
  <r>
    <s v="ORD-2023-613287"/>
    <x v="37"/>
    <d v="2023-04-12T00:00:00"/>
    <n v="12"/>
    <s v="Q1-2023"/>
    <x v="1"/>
    <x v="7"/>
    <s v="Mombasa"/>
    <s v="Small Business"/>
    <x v="1"/>
    <x v="11"/>
    <x v="2"/>
    <s v="PHN-8014"/>
    <n v="304.22000000000003"/>
    <n v="393.31"/>
    <n v="0.26500000000000001"/>
    <n v="0.25"/>
    <n v="15"/>
    <n v="0.29284728157254608"/>
    <n v="4336.2427499999994"/>
    <n v="4563.3"/>
    <n v="-227.05725000000075"/>
    <n v="-5.2362670424759034E-2"/>
    <s v="Medium"/>
    <n v="4336.2427500000003"/>
    <n v="-227.05724999999984"/>
    <n v="7"/>
    <d v="2023-03-03T00:00:00"/>
    <d v="2023-03-31T00:00:00"/>
    <x v="1"/>
    <n v="31"/>
    <s v="True"/>
    <n v="4424.7375000000002"/>
    <n v="18"/>
    <n v="7079.58"/>
    <n v="18"/>
    <n v="349.85300000000001"/>
    <n v="5247.7950000000001"/>
  </r>
  <r>
    <s v="ORD-2023-727290"/>
    <x v="38"/>
    <d v="2023-04-16T00:00:00"/>
    <n v="13"/>
    <s v="Q2-2023"/>
    <x v="2"/>
    <x v="2"/>
    <s v="Marseille"/>
    <s v="Non-Profit"/>
    <x v="4"/>
    <x v="3"/>
    <x v="3"/>
    <s v="ACC-4815"/>
    <n v="790.54"/>
    <n v="1375.5395999999998"/>
    <n v="0"/>
    <n v="0"/>
    <n v="15"/>
    <n v="0.73999999999999988"/>
    <n v="20633.093999999997"/>
    <n v="11858.099999999999"/>
    <n v="8774.9939999999988"/>
    <n v="0.42528735632183906"/>
    <s v="Medium"/>
    <n v="20633.093999999997"/>
    <n v="8774.9939999999988"/>
    <n v="3"/>
    <d v="2023-03-03T00:00:00"/>
    <d v="2023-03-31T00:00:00"/>
    <x v="1"/>
    <n v="32"/>
    <s v="False"/>
    <n v="20633.093999999997"/>
    <n v="18"/>
    <n v="24759.712799999998"/>
    <n v="18"/>
    <n v="909.12099999999987"/>
    <n v="13636.814999999999"/>
  </r>
  <r>
    <s v="ORD-2023-987700"/>
    <x v="39"/>
    <d v="2023-04-16T00:00:00"/>
    <n v="11"/>
    <s v="Q2-2023"/>
    <x v="0"/>
    <x v="0"/>
    <s v="Vancouver"/>
    <s v="Non-Profit"/>
    <x v="1"/>
    <x v="5"/>
    <x v="5"/>
    <s v="MON-5259"/>
    <n v="213.1"/>
    <n v="501.31"/>
    <n v="5.6000000000000001E-2"/>
    <n v="5.6000000000000001E-2"/>
    <n v="15"/>
    <n v="1.3524636320976069"/>
    <n v="7098.5495999999994"/>
    <n v="3196.5"/>
    <n v="3902.0495999999994"/>
    <n v="0.54969674368409005"/>
    <s v="High"/>
    <n v="7098.5495999999994"/>
    <n v="3902.0495999999994"/>
    <n v="4"/>
    <d v="2023-03-03T00:00:00"/>
    <d v="2023-03-31T00:00:00"/>
    <x v="1"/>
    <n v="33"/>
    <s v="False"/>
    <n v="7098.5495999999994"/>
    <n v="18"/>
    <n v="9023.58"/>
    <n v="18"/>
    <n v="245.06499999999997"/>
    <n v="3675.9749999999995"/>
  </r>
  <r>
    <s v="ORD-2023-868734"/>
    <x v="40"/>
    <d v="2023-04-27T00:00:00"/>
    <n v="21"/>
    <s v="Q2-2023"/>
    <x v="2"/>
    <x v="6"/>
    <s v="Manchester"/>
    <s v="Enterprise"/>
    <x v="0"/>
    <x v="12"/>
    <x v="1"/>
    <s v="PRN-8970"/>
    <n v="1084.79"/>
    <n v="2484.9899999999998"/>
    <n v="3.4000000000000002E-2"/>
    <n v="3.4000000000000002E-2"/>
    <n v="18"/>
    <n v="1.2907567363268466"/>
    <n v="43209.006119999991"/>
    <n v="19526.22"/>
    <n v="23682.78611999999"/>
    <n v="0.54809837685755114"/>
    <s v="High"/>
    <n v="43209.006119999991"/>
    <n v="23682.78611999999"/>
    <n v="5"/>
    <d v="2023-03-03T00:00:00"/>
    <d v="2023-03-31T00:00:00"/>
    <x v="1"/>
    <n v="33"/>
    <s v="False"/>
    <n v="43209.006119999991"/>
    <n v="21"/>
    <n v="52184.789999999994"/>
    <n v="21"/>
    <n v="1247.5084999999999"/>
    <n v="22455.152999999998"/>
  </r>
  <r>
    <s v="ORD-2023-545150"/>
    <x v="40"/>
    <d v="2023-04-08T00:00:00"/>
    <n v="2"/>
    <s v="Q2-2023"/>
    <x v="1"/>
    <x v="5"/>
    <s v="Abuja"/>
    <s v="Small Business"/>
    <x v="4"/>
    <x v="10"/>
    <x v="5"/>
    <s v="MON-4373"/>
    <n v="720.35"/>
    <n v="1571.66"/>
    <n v="0.107"/>
    <n v="0.107"/>
    <n v="23"/>
    <n v="1.1818005136392031"/>
    <n v="32280.32474"/>
    <n v="16568.05"/>
    <n v="15712.274740000001"/>
    <n v="0.4867446305622265"/>
    <s v="High"/>
    <n v="32280.324740000004"/>
    <n v="15712.274740000004"/>
    <n v="3"/>
    <d v="2023-03-03T00:00:00"/>
    <d v="2023-03-31T00:00:00"/>
    <x v="0"/>
    <n v="16"/>
    <s v="False"/>
    <n v="32280.324740000004"/>
    <n v="27"/>
    <n v="42434.82"/>
    <n v="27"/>
    <n v="828.40249999999992"/>
    <n v="19053.2575"/>
  </r>
  <r>
    <s v="ORD-2023-294716"/>
    <x v="41"/>
    <d v="2023-04-25T00:00:00"/>
    <n v="15"/>
    <s v="Q2-2023"/>
    <x v="2"/>
    <x v="6"/>
    <s v="London"/>
    <s v="Small Business"/>
    <x v="3"/>
    <x v="2"/>
    <x v="1"/>
    <s v="PRN-5067"/>
    <n v="405.66"/>
    <n v="962.51"/>
    <n v="0.19"/>
    <n v="0.19"/>
    <n v="7"/>
    <n v="1.3727012769314202"/>
    <n v="5457.4317000000001"/>
    <n v="2839.6200000000003"/>
    <n v="2617.8116999999997"/>
    <n v="0.47967832561239376"/>
    <s v="High"/>
    <n v="5457.4317000000001"/>
    <n v="2617.8116999999997"/>
    <n v="6"/>
    <d v="2023-03-03T00:00:00"/>
    <d v="2023-03-31T00:00:00"/>
    <x v="1"/>
    <n v="34"/>
    <s v="False"/>
    <n v="5457.4317000000001"/>
    <n v="8"/>
    <n v="7700.08"/>
    <n v="8"/>
    <n v="466.50900000000001"/>
    <n v="3265.5630000000001"/>
  </r>
  <r>
    <s v="ORD-2023-766015"/>
    <x v="42"/>
    <d v="2023-04-13T00:00:00"/>
    <n v="2"/>
    <s v="Q2-2023"/>
    <x v="0"/>
    <x v="4"/>
    <s v="San Francisco"/>
    <s v="Education"/>
    <x v="4"/>
    <x v="6"/>
    <x v="4"/>
    <s v="NET-1816"/>
    <n v="32.1"/>
    <n v="70.599999999999994"/>
    <n v="0.28199999999999997"/>
    <n v="0.25"/>
    <n v="22"/>
    <n v="1.1993769470404982"/>
    <n v="1115.1975999999997"/>
    <n v="706.2"/>
    <n v="408.99759999999969"/>
    <n v="0.36674899587301818"/>
    <s v="High"/>
    <n v="1115.1976"/>
    <n v="408.99759999999992"/>
    <n v="5"/>
    <d v="2023-03-03T00:00:00"/>
    <d v="2023-03-31T00:00:00"/>
    <x v="0"/>
    <n v="18"/>
    <s v="True"/>
    <n v="1164.8999999999999"/>
    <n v="26"/>
    <n v="1835.6"/>
    <n v="26"/>
    <n v="36.914999999999999"/>
    <n v="812.13"/>
  </r>
  <r>
    <s v="ORD-2023-867285"/>
    <x v="43"/>
    <d v="2023-04-17T00:00:00"/>
    <n v="5"/>
    <s v="Q2-2023"/>
    <x v="2"/>
    <x v="2"/>
    <s v="Lyon"/>
    <s v="Enterprise"/>
    <x v="2"/>
    <x v="14"/>
    <x v="5"/>
    <s v="MON-3043"/>
    <n v="1087.81"/>
    <n v="2323.87"/>
    <n v="9.4E-2"/>
    <n v="9.4E-2"/>
    <n v="13"/>
    <n v="1.1362829905957843"/>
    <n v="27370.540859999997"/>
    <n v="14141.529999999999"/>
    <n v="13229.010859999999"/>
    <n v="0.48333026839572651"/>
    <s v="High"/>
    <n v="27370.540859999997"/>
    <n v="13229.010859999999"/>
    <n v="4"/>
    <d v="2023-03-03T00:00:00"/>
    <d v="2023-03-31T00:00:00"/>
    <x v="0"/>
    <n v="18"/>
    <s v="False"/>
    <n v="27370.540859999997"/>
    <n v="15"/>
    <n v="34858.049999999996"/>
    <n v="15"/>
    <n v="1250.9814999999999"/>
    <n v="16262.759499999998"/>
  </r>
  <r>
    <s v="ORD-2023-356427"/>
    <x v="44"/>
    <d v="2023-05-02T00:00:00"/>
    <n v="19"/>
    <s v="Q2-2023"/>
    <x v="0"/>
    <x v="0"/>
    <s v="Montreal"/>
    <s v="Consumer"/>
    <x v="0"/>
    <x v="14"/>
    <x v="5"/>
    <s v="MON-6053"/>
    <n v="671.05"/>
    <n v="1645.48"/>
    <n v="0.13700000000000001"/>
    <n v="0.13700000000000001"/>
    <n v="6"/>
    <n v="1.4520974592057225"/>
    <n v="8520.2954399999999"/>
    <n v="4026.2999999999997"/>
    <n v="4493.9954400000006"/>
    <n v="0.52744596377517172"/>
    <s v="High"/>
    <n v="8520.2954399999999"/>
    <n v="4493.9954400000006"/>
    <n v="5"/>
    <d v="2023-03-03T00:00:00"/>
    <d v="2023-03-31T00:00:00"/>
    <x v="1"/>
    <n v="35"/>
    <s v="False"/>
    <n v="8520.2954399999999"/>
    <n v="7"/>
    <n v="11518.36"/>
    <n v="7"/>
    <n v="771.70749999999987"/>
    <n v="4630.244999999999"/>
  </r>
  <r>
    <s v="ORD-2023-867166"/>
    <x v="44"/>
    <d v="2023-04-20T00:00:00"/>
    <n v="7"/>
    <s v="Q2-2023"/>
    <x v="2"/>
    <x v="2"/>
    <s v="Lyon"/>
    <s v="Small Business"/>
    <x v="1"/>
    <x v="1"/>
    <x v="0"/>
    <s v="LAP-3565"/>
    <n v="227.02"/>
    <n v="434.72"/>
    <n v="9.8000000000000004E-2"/>
    <n v="9.8000000000000004E-2"/>
    <n v="10"/>
    <n v="0.91489736587084847"/>
    <n v="3921.1744000000008"/>
    <n v="2270.2000000000003"/>
    <n v="1650.9744000000005"/>
    <n v="0.42104079838938052"/>
    <s v="High"/>
    <n v="3921.1744000000003"/>
    <n v="1650.9744000000001"/>
    <n v="5"/>
    <d v="2023-03-03T00:00:00"/>
    <d v="2023-03-31T00:00:00"/>
    <x v="0"/>
    <n v="19"/>
    <s v="False"/>
    <n v="3921.1744000000003"/>
    <n v="12"/>
    <n v="5216.6400000000003"/>
    <n v="12"/>
    <n v="261.07299999999998"/>
    <n v="2610.7299999999996"/>
  </r>
  <r>
    <s v="ORD-2023-701153"/>
    <x v="45"/>
    <d v="2023-05-13T00:00:00"/>
    <n v="29"/>
    <s v="Q2-2023"/>
    <x v="2"/>
    <x v="8"/>
    <s v="Frankfurt"/>
    <s v="Consumer"/>
    <x v="2"/>
    <x v="13"/>
    <x v="1"/>
    <s v="PRN-7019"/>
    <n v="1320.33"/>
    <n v="2645.23"/>
    <n v="0.155"/>
    <n v="0.155"/>
    <n v="25"/>
    <n v="1.0034612558981468"/>
    <n v="55880.483749999999"/>
    <n v="33008.25"/>
    <n v="22872.233749999999"/>
    <n v="0.40930629470436536"/>
    <s v="High"/>
    <n v="55880.483749999999"/>
    <n v="22872.233749999999"/>
    <n v="9"/>
    <d v="2023-03-03T00:00:00"/>
    <d v="2023-03-31T00:00:00"/>
    <x v="1"/>
    <n v="37"/>
    <s v="False"/>
    <n v="55880.483749999999"/>
    <n v="30"/>
    <n v="79356.899999999994"/>
    <n v="30"/>
    <n v="1518.3794999999998"/>
    <n v="37959.487499999996"/>
  </r>
  <r>
    <s v="ORD-2023-897079"/>
    <x v="45"/>
    <d v="2023-05-14T00:00:00"/>
    <n v="30"/>
    <s v="Q2-2023"/>
    <x v="1"/>
    <x v="7"/>
    <s v="Nakuru"/>
    <s v="Consumer"/>
    <x v="4"/>
    <x v="3"/>
    <x v="2"/>
    <s v="PHN-1784"/>
    <n v="209.25"/>
    <n v="434.8"/>
    <n v="0"/>
    <n v="0"/>
    <n v="9"/>
    <n v="1.0778972520908006"/>
    <n v="3913.2000000000003"/>
    <n v="1883.25"/>
    <n v="2029.9500000000003"/>
    <n v="0.51874425022999082"/>
    <s v="High"/>
    <n v="3913.2000000000003"/>
    <n v="2029.9500000000003"/>
    <n v="8"/>
    <d v="2023-03-03T00:00:00"/>
    <d v="2023-03-31T00:00:00"/>
    <x v="1"/>
    <n v="37"/>
    <s v="False"/>
    <n v="3913.2000000000003"/>
    <n v="10"/>
    <n v="4348"/>
    <n v="10"/>
    <n v="240.63749999999999"/>
    <n v="2165.7374999999997"/>
  </r>
  <r>
    <s v="ORD-2023-609394"/>
    <x v="46"/>
    <d v="2023-04-19T00:00:00"/>
    <n v="3"/>
    <s v="Q2-2023"/>
    <x v="2"/>
    <x v="8"/>
    <s v="Munich"/>
    <s v="Corporate"/>
    <x v="2"/>
    <x v="0"/>
    <x v="3"/>
    <s v="ACC-1731"/>
    <n v="553.61"/>
    <n v="699.47"/>
    <n v="0.02"/>
    <n v="0.02"/>
    <n v="33"/>
    <n v="0.26347067430140353"/>
    <n v="22620.859800000002"/>
    <n v="18269.13"/>
    <n v="4351.729800000001"/>
    <n v="0.19237685209472014"/>
    <s v="Medium"/>
    <n v="22620.859799999998"/>
    <n v="4351.7297999999973"/>
    <n v="10"/>
    <d v="2023-03-03T00:00:00"/>
    <d v="2023-03-31T00:00:00"/>
    <x v="0"/>
    <n v="21"/>
    <s v="False"/>
    <n v="22620.859799999998"/>
    <n v="39"/>
    <n v="27279.33"/>
    <n v="39"/>
    <n v="636.65149999999994"/>
    <n v="21009.499499999998"/>
  </r>
  <r>
    <s v="ORD-2023-664790"/>
    <x v="46"/>
    <d v="2023-04-23T00:00:00"/>
    <n v="7"/>
    <s v="Q2-2023"/>
    <x v="0"/>
    <x v="4"/>
    <s v="Austin"/>
    <s v="Corporate"/>
    <x v="0"/>
    <x v="5"/>
    <x v="1"/>
    <s v="PRN-9249"/>
    <n v="1099.1500000000001"/>
    <n v="1431.37"/>
    <n v="0.104"/>
    <n v="0.104"/>
    <n v="8"/>
    <n v="0.30225173998089411"/>
    <n v="10260.060159999999"/>
    <n v="8793.2000000000007"/>
    <n v="1466.8601599999984"/>
    <n v="0.14296798821109433"/>
    <s v="Medium"/>
    <n v="10260.060159999999"/>
    <n v="1466.8601599999984"/>
    <n v="6"/>
    <d v="2023-03-03T00:00:00"/>
    <d v="2023-03-31T00:00:00"/>
    <x v="0"/>
    <n v="21"/>
    <s v="False"/>
    <n v="10260.060159999999"/>
    <n v="9"/>
    <n v="12882.329999999998"/>
    <n v="9"/>
    <n v="1264.0225"/>
    <n v="10112.18"/>
  </r>
  <r>
    <s v="ORD-2023-157993"/>
    <x v="47"/>
    <d v="2023-05-18T00:00:00"/>
    <n v="30"/>
    <s v="Q2-2023"/>
    <x v="3"/>
    <x v="3"/>
    <s v="Shenzhen"/>
    <s v="Non-Profit"/>
    <x v="3"/>
    <x v="4"/>
    <x v="0"/>
    <s v="LAP-1482"/>
    <n v="329.03"/>
    <n v="391.15"/>
    <n v="0.19700000000000001"/>
    <n v="0.19700000000000001"/>
    <n v="46"/>
    <n v="0.18879737409962621"/>
    <n v="14448.298699999998"/>
    <n v="15135.38"/>
    <n v="-687.08130000000165"/>
    <n v="-4.7554477815440081E-2"/>
    <s v="Low"/>
    <n v="14448.298699999998"/>
    <n v="-687.08130000000165"/>
    <n v="4"/>
    <d v="2023-03-03T00:00:00"/>
    <d v="2023-03-31T00:00:00"/>
    <x v="1"/>
    <n v="39"/>
    <s v="False"/>
    <n v="14448.298699999998"/>
    <n v="55"/>
    <n v="21513.25"/>
    <n v="55"/>
    <n v="378.38449999999995"/>
    <n v="17405.686999999998"/>
  </r>
  <r>
    <s v="ORD-2023-308124"/>
    <x v="48"/>
    <d v="2023-04-30T00:00:00"/>
    <n v="11"/>
    <s v="Q2-2023"/>
    <x v="3"/>
    <x v="10"/>
    <s v="Delhi"/>
    <s v="Small Business"/>
    <x v="3"/>
    <x v="1"/>
    <x v="4"/>
    <s v="NET-2062"/>
    <n v="826.55"/>
    <n v="1397.05"/>
    <n v="0.16900000000000001"/>
    <n v="0.16900000000000001"/>
    <n v="28"/>
    <n v="0.69021837759361204"/>
    <n v="32506.559399999998"/>
    <n v="23143.399999999998"/>
    <n v="9363.1594000000005"/>
    <n v="0.28803907804527601"/>
    <s v="Medium"/>
    <n v="32506.559399999995"/>
    <n v="9363.1593999999968"/>
    <n v="3"/>
    <d v="2023-03-03T00:00:00"/>
    <d v="2023-03-31T00:00:00"/>
    <x v="1"/>
    <n v="40"/>
    <s v="False"/>
    <n v="32506.559399999995"/>
    <n v="33"/>
    <n v="46102.65"/>
    <n v="33"/>
    <n v="950.53249999999991"/>
    <n v="26614.909999999996"/>
  </r>
  <r>
    <s v="ORD-2023-501220"/>
    <x v="48"/>
    <d v="2023-05-07T00:00:00"/>
    <n v="18"/>
    <s v="Q2-2023"/>
    <x v="2"/>
    <x v="6"/>
    <s v="Birmingham"/>
    <s v="Enterprise"/>
    <x v="3"/>
    <x v="8"/>
    <x v="0"/>
    <s v="LAP-9766"/>
    <n v="1089.1500000000001"/>
    <n v="2080.2765000000004"/>
    <n v="5.0999999999999997E-2"/>
    <n v="5.0999999999999997E-2"/>
    <n v="15"/>
    <n v="0.91000000000000025"/>
    <n v="29612.735977500004"/>
    <n v="16337.250000000002"/>
    <n v="13275.485977500002"/>
    <n v="0.44830325666587589"/>
    <s v="High"/>
    <n v="29612.735977500004"/>
    <n v="13275.485977500002"/>
    <n v="7"/>
    <d v="2023-03-03T00:00:00"/>
    <d v="2023-03-31T00:00:00"/>
    <x v="1"/>
    <n v="41"/>
    <s v="False"/>
    <n v="29612.735977500004"/>
    <n v="18"/>
    <n v="37444.977000000006"/>
    <n v="18"/>
    <n v="1252.5225"/>
    <n v="18787.837500000001"/>
  </r>
  <r>
    <s v="ORD-2023-390998"/>
    <x v="48"/>
    <d v="2023-04-28T00:00:00"/>
    <n v="9"/>
    <s v="Q2-2023"/>
    <x v="2"/>
    <x v="8"/>
    <s v="Berlin"/>
    <s v="Education"/>
    <x v="1"/>
    <x v="14"/>
    <x v="5"/>
    <s v="MON-1663"/>
    <n v="1178.42"/>
    <n v="2446.56"/>
    <n v="2.9000000000000001E-2"/>
    <n v="2.9000000000000001E-2"/>
    <n v="11"/>
    <n v="1.0761358429083008"/>
    <n v="26131.70736"/>
    <n v="12962.62"/>
    <n v="13169.08736"/>
    <n v="0.5039505141618883"/>
    <s v="High"/>
    <n v="26131.707359999997"/>
    <n v="13169.087359999996"/>
    <n v="11"/>
    <d v="2023-03-03T00:00:00"/>
    <d v="2023-03-31T00:00:00"/>
    <x v="1"/>
    <n v="42"/>
    <s v="False"/>
    <n v="26131.707359999997"/>
    <n v="13"/>
    <n v="31805.279999999999"/>
    <n v="13"/>
    <n v="1355.183"/>
    <n v="14907.012999999999"/>
  </r>
  <r>
    <s v="ORD-2023-747341"/>
    <x v="48"/>
    <d v="2023-04-28T00:00:00"/>
    <n v="9"/>
    <s v="Q2-2023"/>
    <x v="0"/>
    <x v="9"/>
    <s v="Rio de Janeiro"/>
    <s v="Corporate"/>
    <x v="0"/>
    <x v="3"/>
    <x v="2"/>
    <s v="PHN-7132"/>
    <n v="1013.54"/>
    <n v="1956.1322"/>
    <n v="0.17499999999999999"/>
    <n v="0.17499999999999999"/>
    <n v="16"/>
    <n v="0.93"/>
    <n v="25820.945039999999"/>
    <n v="16216.64"/>
    <n v="9604.3050399999993"/>
    <n v="0.37195792118071908"/>
    <s v="High"/>
    <n v="25820.945039999999"/>
    <n v="9604.3050399999993"/>
    <n v="4"/>
    <d v="2023-03-03T00:00:00"/>
    <d v="2023-03-31T00:00:00"/>
    <x v="1"/>
    <n v="42"/>
    <s v="False"/>
    <n v="25820.945039999999"/>
    <n v="19"/>
    <n v="37166.5118"/>
    <n v="19"/>
    <n v="1165.5709999999999"/>
    <n v="18649.135999999999"/>
  </r>
  <r>
    <s v="ORD-2023-752962"/>
    <x v="48"/>
    <d v="2023-04-21T00:00:00"/>
    <n v="2"/>
    <s v="Q2-2023"/>
    <x v="3"/>
    <x v="11"/>
    <s v="Nagoya"/>
    <s v="Small Business"/>
    <x v="2"/>
    <x v="3"/>
    <x v="6"/>
    <s v="CMP-8604"/>
    <n v="607.04"/>
    <n v="1229.3399999999999"/>
    <n v="0.14699999999999999"/>
    <n v="0.14699999999999999"/>
    <n v="7"/>
    <n v="1.0251383763837638"/>
    <n v="7340.3891399999993"/>
    <n v="4249.28"/>
    <n v="3091.1091399999996"/>
    <n v="0.42110970972310058"/>
    <s v="High"/>
    <n v="7340.3891399999993"/>
    <n v="3091.1091399999996"/>
    <n v="3"/>
    <d v="2023-03-03T00:00:00"/>
    <d v="2023-03-31T00:00:00"/>
    <x v="0"/>
    <n v="22"/>
    <s v="False"/>
    <n v="7340.3891399999993"/>
    <n v="8"/>
    <n v="9834.7199999999993"/>
    <n v="8"/>
    <n v="698.09599999999989"/>
    <n v="4886.6719999999996"/>
  </r>
  <r>
    <s v="ORD-2023-256951"/>
    <x v="48"/>
    <d v="2023-05-07T00:00:00"/>
    <n v="18"/>
    <s v="Q2-2023"/>
    <x v="2"/>
    <x v="6"/>
    <s v="London"/>
    <s v="Non-Profit"/>
    <x v="2"/>
    <x v="4"/>
    <x v="4"/>
    <s v="NET-2439"/>
    <n v="516.96"/>
    <n v="745.38"/>
    <n v="0.19700000000000001"/>
    <n v="0.19700000000000001"/>
    <n v="4"/>
    <n v="0.44185236768802216"/>
    <n v="2394.1605599999998"/>
    <n v="2067.84"/>
    <n v="326.32055999999966"/>
    <n v="0.13629852794835101"/>
    <s v="Medium"/>
    <n v="2394.1605599999998"/>
    <n v="326.32055999999966"/>
    <n v="8"/>
    <d v="2023-03-03T00:00:00"/>
    <d v="2023-03-31T00:00:00"/>
    <x v="1"/>
    <n v="44"/>
    <s v="False"/>
    <n v="2394.1605599999998"/>
    <n v="4"/>
    <n v="2981.52"/>
    <n v="4"/>
    <n v="594.50400000000002"/>
    <n v="2378.0160000000001"/>
  </r>
  <r>
    <s v="ORD-2023-809913"/>
    <x v="49"/>
    <d v="2023-05-10T00:00:00"/>
    <n v="19"/>
    <s v="Q2-2023"/>
    <x v="3"/>
    <x v="3"/>
    <s v="Shanghai"/>
    <s v="Corporate"/>
    <x v="3"/>
    <x v="1"/>
    <x v="6"/>
    <s v="CMP-7371"/>
    <n v="882.33"/>
    <n v="1880.15"/>
    <n v="0.05"/>
    <n v="0.05"/>
    <n v="5"/>
    <n v="1.130892069860483"/>
    <n v="8930.7124999999996"/>
    <n v="4411.6500000000005"/>
    <n v="4519.0624999999991"/>
    <n v="0.50601365792482955"/>
    <s v="High"/>
    <n v="8930.7124999999996"/>
    <n v="4519.0624999999991"/>
    <n v="5"/>
    <d v="2023-03-03T00:00:00"/>
    <d v="2023-03-31T00:00:00"/>
    <x v="1"/>
    <n v="45"/>
    <s v="False"/>
    <n v="8930.7124999999996"/>
    <n v="6"/>
    <n v="11280.900000000001"/>
    <n v="6"/>
    <n v="1014.6795"/>
    <n v="5073.3975"/>
  </r>
  <r>
    <s v="ORD-2023-107265"/>
    <x v="50"/>
    <d v="2023-05-14T00:00:00"/>
    <n v="22"/>
    <s v="Q2-2023"/>
    <x v="3"/>
    <x v="11"/>
    <s v="Nagoya"/>
    <s v="Enterprise"/>
    <x v="3"/>
    <x v="1"/>
    <x v="3"/>
    <s v="ACC-7713"/>
    <n v="1209.22"/>
    <n v="1404.33"/>
    <n v="0.10299999999999999"/>
    <n v="0.10299999999999999"/>
    <n v="11"/>
    <n v="0.16135194588246959"/>
    <n v="13856.52411"/>
    <n v="13301.42"/>
    <n v="555.10411000000022"/>
    <n v="4.0060848275751328E-2"/>
    <s v="Low"/>
    <n v="13856.524109999998"/>
    <n v="555.1041099999984"/>
    <n v="4"/>
    <d v="2023-03-03T00:00:00"/>
    <d v="2023-03-31T00:00:00"/>
    <x v="1"/>
    <n v="45"/>
    <s v="False"/>
    <n v="13856.524109999998"/>
    <n v="13"/>
    <n v="18256.29"/>
    <n v="13"/>
    <n v="1390.6029999999998"/>
    <n v="15296.632999999998"/>
  </r>
  <r>
    <s v="ORD-2023-937291"/>
    <x v="50"/>
    <d v="2023-04-23T00:00:00"/>
    <n v="1"/>
    <s v="Q2-2023"/>
    <x v="1"/>
    <x v="7"/>
    <s v="Nairobi"/>
    <s v="Small Business"/>
    <x v="2"/>
    <x v="14"/>
    <x v="0"/>
    <s v="LAP-1698"/>
    <n v="756.51"/>
    <n v="850.8"/>
    <n v="7.3999999999999996E-2"/>
    <n v="7.3999999999999996E-2"/>
    <n v="9"/>
    <n v="0.12463814093666967"/>
    <n v="7090.5672000000004"/>
    <n v="6808.59"/>
    <n v="281.97720000000027"/>
    <n v="3.9767932810791252E-2"/>
    <s v="Low"/>
    <n v="7090.5671999999995"/>
    <n v="281.97719999999936"/>
    <n v="9"/>
    <d v="2023-03-03T00:00:00"/>
    <d v="2023-03-31T00:00:00"/>
    <x v="0"/>
    <n v="24"/>
    <s v="False"/>
    <n v="7090.5671999999995"/>
    <n v="10"/>
    <n v="8508"/>
    <n v="10"/>
    <n v="869.98649999999998"/>
    <n v="7829.8784999999998"/>
  </r>
  <r>
    <s v="ORD-2023-340056"/>
    <x v="51"/>
    <d v="2023-04-26T00:00:00"/>
    <n v="0"/>
    <s v="Q2-2023"/>
    <x v="2"/>
    <x v="2"/>
    <s v="Marseille"/>
    <s v="Consumer"/>
    <x v="2"/>
    <x v="3"/>
    <x v="6"/>
    <s v="CMP-4945"/>
    <n v="81.489999999999995"/>
    <n v="113.08"/>
    <n v="0.121"/>
    <n v="0.121"/>
    <n v="5"/>
    <n v="0.38765492698490617"/>
    <n v="496.98660000000001"/>
    <n v="407.45"/>
    <n v="89.536600000000021"/>
    <n v="0.18015898215364362"/>
    <s v="Medium"/>
    <n v="496.98659999999995"/>
    <n v="89.536599999999964"/>
    <n v="6"/>
    <d v="2023-03-03T00:00:00"/>
    <d v="2023-03-31T00:00:00"/>
    <x v="0"/>
    <n v="24"/>
    <s v="False"/>
    <n v="496.98659999999995"/>
    <n v="6"/>
    <n v="678.48"/>
    <n v="6"/>
    <n v="93.713499999999982"/>
    <n v="468.56749999999988"/>
  </r>
  <r>
    <s v="ORD-2023-125739"/>
    <x v="52"/>
    <d v="2023-05-18T00:00:00"/>
    <n v="17"/>
    <s v="Q2-2023"/>
    <x v="1"/>
    <x v="5"/>
    <s v="Port Harcourt"/>
    <s v="Corporate"/>
    <x v="2"/>
    <x v="7"/>
    <x v="6"/>
    <s v="CMP-5633"/>
    <n v="327.97"/>
    <n v="639.54150000000004"/>
    <n v="4.9000000000000002E-2"/>
    <n v="4.9000000000000002E-2"/>
    <n v="3"/>
    <n v="0.95"/>
    <n v="1824.6118994999999"/>
    <n v="983.91000000000008"/>
    <n v="840.70189949999985"/>
    <n v="0.46075655854835657"/>
    <s v="High"/>
    <n v="1824.6118994999999"/>
    <n v="840.70189949999985"/>
    <n v="4"/>
    <d v="2023-03-03T00:00:00"/>
    <d v="2023-03-31T00:00:00"/>
    <x v="1"/>
    <n v="47"/>
    <s v="False"/>
    <n v="1824.6118994999999"/>
    <n v="3"/>
    <n v="1918.6245000000001"/>
    <n v="3"/>
    <n v="377.16550000000001"/>
    <n v="1131.4965"/>
  </r>
  <r>
    <s v="ORD-2023-906481"/>
    <x v="53"/>
    <d v="2023-05-18T00:00:00"/>
    <n v="16"/>
    <s v="Q2-2023"/>
    <x v="3"/>
    <x v="10"/>
    <s v="Delhi"/>
    <s v="Small Business"/>
    <x v="4"/>
    <x v="10"/>
    <x v="5"/>
    <s v="MON-2266"/>
    <n v="1463.92"/>
    <n v="2252.2399999999998"/>
    <n v="0.11799999999999999"/>
    <n v="0.11799999999999999"/>
    <n v="44"/>
    <n v="0.53849937155035776"/>
    <n v="87404.929919999995"/>
    <n v="64412.480000000003"/>
    <n v="22992.449919999992"/>
    <n v="0.26305667130040061"/>
    <s v="Medium"/>
    <n v="87404.929919999995"/>
    <n v="22992.449919999992"/>
    <n v="5"/>
    <d v="2023-03-03T00:00:00"/>
    <d v="2023-03-31T00:00:00"/>
    <x v="1"/>
    <n v="48"/>
    <s v="False"/>
    <n v="87404.929919999995"/>
    <n v="52"/>
    <n v="117116.47999999998"/>
    <n v="52"/>
    <n v="1683.508"/>
    <n v="74074.351999999999"/>
  </r>
  <r>
    <s v="ORD-2023-573656"/>
    <x v="53"/>
    <d v="2023-05-16T00:00:00"/>
    <n v="14"/>
    <s v="Q2-2023"/>
    <x v="3"/>
    <x v="10"/>
    <s v="Bengaluru"/>
    <s v="Non-Profit"/>
    <x v="3"/>
    <x v="9"/>
    <x v="5"/>
    <s v="MON-4830"/>
    <n v="475.37"/>
    <n v="963.73"/>
    <n v="4.1000000000000002E-2"/>
    <n v="4.1000000000000002E-2"/>
    <n v="22"/>
    <n v="1.0273260828407347"/>
    <n v="20332.775539999999"/>
    <n v="10458.14"/>
    <n v="9874.6355399999993"/>
    <n v="0.48565113604750881"/>
    <s v="High"/>
    <n v="20332.775540000002"/>
    <n v="9874.6355400000029"/>
    <n v="5"/>
    <d v="2023-03-03T00:00:00"/>
    <d v="2023-03-31T00:00:00"/>
    <x v="1"/>
    <n v="49"/>
    <s v="False"/>
    <n v="20332.775540000002"/>
    <n v="26"/>
    <n v="25056.98"/>
    <n v="26"/>
    <n v="546.67549999999994"/>
    <n v="12026.860999999999"/>
  </r>
  <r>
    <s v="ORD-2023-880296"/>
    <x v="53"/>
    <d v="2023-05-19T00:00:00"/>
    <n v="17"/>
    <s v="Q2-2023"/>
    <x v="3"/>
    <x v="3"/>
    <s v="Shanghai"/>
    <s v="Non-Profit"/>
    <x v="2"/>
    <x v="13"/>
    <x v="5"/>
    <s v="MON-5086"/>
    <n v="714.28"/>
    <n v="757.59"/>
    <n v="0.13600000000000001"/>
    <n v="0.13600000000000001"/>
    <n v="12"/>
    <n v="6.0634485075880692E-2"/>
    <n v="7854.6931199999999"/>
    <n v="8571.36"/>
    <n v="-716.66688000000067"/>
    <n v="-9.1240595787910383E-2"/>
    <s v="Low"/>
    <n v="7854.6931199999999"/>
    <n v="-716.66688000000067"/>
    <n v="6"/>
    <d v="2023-03-03T00:00:00"/>
    <d v="2023-03-31T00:00:00"/>
    <x v="1"/>
    <n v="50"/>
    <s v="False"/>
    <n v="7854.6931199999999"/>
    <n v="14"/>
    <n v="10606.26"/>
    <n v="14"/>
    <n v="821.42199999999991"/>
    <n v="9857.0639999999985"/>
  </r>
  <r>
    <s v="ORD-2023-378676"/>
    <x v="54"/>
    <d v="2023-05-16T00:00:00"/>
    <n v="13"/>
    <s v="Q2-2023"/>
    <x v="0"/>
    <x v="4"/>
    <s v="New York"/>
    <s v="Corporate"/>
    <x v="4"/>
    <x v="9"/>
    <x v="2"/>
    <s v="PHN-5366"/>
    <n v="64.5"/>
    <n v="123.62"/>
    <n v="0"/>
    <n v="0"/>
    <n v="3"/>
    <n v="0.91658914728682173"/>
    <n v="370.86"/>
    <n v="193.5"/>
    <n v="177.36"/>
    <n v="0.47823976702798904"/>
    <s v="High"/>
    <n v="370.86"/>
    <n v="177.36"/>
    <n v="8"/>
    <d v="2023-03-03T00:00:00"/>
    <d v="2023-03-31T00:00:00"/>
    <x v="1"/>
    <n v="51"/>
    <s v="False"/>
    <n v="370.86"/>
    <n v="3"/>
    <n v="370.86"/>
    <n v="3"/>
    <n v="74.174999999999997"/>
    <n v="222.52499999999998"/>
  </r>
  <r>
    <s v="ORD-2023-177794"/>
    <x v="55"/>
    <d v="2023-05-26T00:00:00"/>
    <n v="22"/>
    <s v="Q2-2023"/>
    <x v="0"/>
    <x v="4"/>
    <s v="San Francisco"/>
    <s v="Enterprise"/>
    <x v="1"/>
    <x v="13"/>
    <x v="4"/>
    <s v="NET-5941"/>
    <n v="249.71"/>
    <n v="361.33"/>
    <n v="9.4E-2"/>
    <n v="9.4E-2"/>
    <n v="12"/>
    <n v="0.44699851828120607"/>
    <n v="3928.3797600000003"/>
    <n v="2996.52"/>
    <n v="931.85976000000028"/>
    <n v="0.23721223937881206"/>
    <s v="Medium"/>
    <n v="3928.3797599999998"/>
    <n v="931.85975999999982"/>
    <n v="8"/>
    <d v="2023-03-03T00:00:00"/>
    <d v="2023-03-31T00:00:00"/>
    <x v="1"/>
    <n v="52"/>
    <s v="False"/>
    <n v="3928.3797599999998"/>
    <n v="14"/>
    <n v="5058.62"/>
    <n v="14"/>
    <n v="287.16649999999998"/>
    <n v="3445.9979999999996"/>
  </r>
  <r>
    <s v="ORD-2023-898009"/>
    <x v="55"/>
    <d v="2023-05-16T00:00:00"/>
    <n v="12"/>
    <s v="Q2-2023"/>
    <x v="1"/>
    <x v="5"/>
    <s v="Abuja"/>
    <s v="Small Business"/>
    <x v="4"/>
    <x v="13"/>
    <x v="2"/>
    <s v="PHN-1670"/>
    <n v="77.739999999999995"/>
    <n v="147.12"/>
    <n v="0"/>
    <n v="0"/>
    <n v="15"/>
    <n v="0.89246205299717019"/>
    <n v="2206.8000000000002"/>
    <n v="1166.0999999999999"/>
    <n v="1040.7000000000003"/>
    <n v="0.47158781946710177"/>
    <s v="High"/>
    <n v="2206.8000000000002"/>
    <n v="1040.7000000000003"/>
    <n v="6"/>
    <d v="2023-03-03T00:00:00"/>
    <d v="2023-03-31T00:00:00"/>
    <x v="1"/>
    <n v="52"/>
    <s v="False"/>
    <n v="2206.8000000000002"/>
    <n v="18"/>
    <n v="2648.16"/>
    <n v="18"/>
    <n v="89.400999999999982"/>
    <n v="1341.0149999999996"/>
  </r>
  <r>
    <s v="ORD-2023-632893"/>
    <x v="56"/>
    <d v="2023-05-07T00:00:00"/>
    <n v="2"/>
    <s v="Q2-2023"/>
    <x v="1"/>
    <x v="5"/>
    <s v="Port Harcourt"/>
    <s v="Non-Profit"/>
    <x v="4"/>
    <x v="1"/>
    <x v="6"/>
    <s v="CMP-9392"/>
    <n v="1269.6500000000001"/>
    <n v="2462.77"/>
    <n v="0.107"/>
    <n v="0.107"/>
    <n v="8"/>
    <n v="0.9397235458590949"/>
    <n v="17594.028880000002"/>
    <n v="10157.200000000001"/>
    <n v="7436.8288800000009"/>
    <n v="0.42269050089225502"/>
    <s v="High"/>
    <n v="17594.028880000002"/>
    <n v="7436.8288800000009"/>
    <n v="6"/>
    <d v="2023-03-03T00:00:00"/>
    <d v="2023-03-31T00:00:00"/>
    <x v="0"/>
    <n v="25"/>
    <s v="False"/>
    <n v="17594.028880000002"/>
    <n v="9"/>
    <n v="22164.93"/>
    <n v="9"/>
    <n v="1460.0975000000001"/>
    <n v="11680.78"/>
  </r>
  <r>
    <s v="ORD-2023-363031"/>
    <x v="57"/>
    <d v="2023-05-14T00:00:00"/>
    <n v="8"/>
    <s v="Q2-2023"/>
    <x v="3"/>
    <x v="11"/>
    <s v="Osaka"/>
    <s v="Enterprise"/>
    <x v="4"/>
    <x v="0"/>
    <x v="2"/>
    <s v="PHN-6131"/>
    <n v="291.18"/>
    <n v="479.54"/>
    <n v="0.14099999999999999"/>
    <n v="0.14099999999999999"/>
    <n v="22"/>
    <n v="0.64688508826155644"/>
    <n v="9062.34692"/>
    <n v="6405.96"/>
    <n v="2656.3869199999999"/>
    <n v="0.29312350801066001"/>
    <s v="Medium"/>
    <n v="9062.34692"/>
    <n v="2656.3869199999999"/>
    <n v="5"/>
    <d v="2023-03-03T00:00:00"/>
    <d v="2023-03-31T00:00:00"/>
    <x v="1"/>
    <n v="54"/>
    <s v="False"/>
    <n v="9062.34692"/>
    <n v="26"/>
    <n v="12468.04"/>
    <n v="26"/>
    <n v="334.85699999999997"/>
    <n v="7366.8539999999994"/>
  </r>
  <r>
    <s v="ORD-2023-957692"/>
    <x v="58"/>
    <d v="2023-05-20T00:00:00"/>
    <n v="13"/>
    <s v="Q2-2023"/>
    <x v="3"/>
    <x v="10"/>
    <s v="Mumbai"/>
    <s v="Enterprise"/>
    <x v="3"/>
    <x v="2"/>
    <x v="3"/>
    <s v="ACC-9283"/>
    <n v="1443.28"/>
    <n v="2580.5700000000002"/>
    <n v="0"/>
    <n v="0"/>
    <n v="18"/>
    <n v="0.78798985643811337"/>
    <n v="46450.26"/>
    <n v="25979.040000000001"/>
    <n v="20471.22"/>
    <n v="0.4407127107577008"/>
    <s v="High"/>
    <n v="46450.26"/>
    <n v="20471.22"/>
    <n v="6"/>
    <d v="2023-03-03T00:00:00"/>
    <d v="2023-03-31T00:00:00"/>
    <x v="1"/>
    <n v="55"/>
    <s v="False"/>
    <n v="46450.26"/>
    <n v="21"/>
    <n v="54191.97"/>
    <n v="21"/>
    <n v="1659.7719999999999"/>
    <n v="29875.896000000001"/>
  </r>
  <r>
    <s v="ORD-2023-144816"/>
    <x v="58"/>
    <d v="2023-05-29T00:00:00"/>
    <n v="22"/>
    <s v="Q2-2023"/>
    <x v="1"/>
    <x v="1"/>
    <s v="Durban"/>
    <s v="Education"/>
    <x v="0"/>
    <x v="10"/>
    <x v="3"/>
    <s v="ACC-2364"/>
    <n v="653.86"/>
    <n v="931.84"/>
    <n v="0.121"/>
    <n v="0.121"/>
    <n v="12"/>
    <n v="0.42513687945431744"/>
    <n v="9829.0483199999999"/>
    <n v="7846.32"/>
    <n v="1982.7283200000002"/>
    <n v="0.20172129136506273"/>
    <s v="Medium"/>
    <n v="9829.0483199999999"/>
    <n v="1982.7283200000002"/>
    <n v="6"/>
    <d v="2023-03-03T00:00:00"/>
    <d v="2023-03-31T00:00:00"/>
    <x v="1"/>
    <n v="56"/>
    <s v="False"/>
    <n v="9829.0483199999999"/>
    <n v="14"/>
    <n v="13045.76"/>
    <n v="14"/>
    <n v="751.93899999999996"/>
    <n v="9023.268"/>
  </r>
  <r>
    <s v="ORD-2023-472050"/>
    <x v="59"/>
    <d v="2023-05-27T00:00:00"/>
    <n v="17"/>
    <s v="Q2-2023"/>
    <x v="3"/>
    <x v="10"/>
    <s v="Mumbai"/>
    <s v="Consumer"/>
    <x v="3"/>
    <x v="3"/>
    <x v="0"/>
    <s v="LAP-6499"/>
    <n v="1286.1600000000001"/>
    <n v="3101.11"/>
    <n v="0.1"/>
    <n v="0.1"/>
    <n v="23"/>
    <n v="1.4111385830689804"/>
    <n v="64192.976999999999"/>
    <n v="29581.68"/>
    <n v="34611.296999999999"/>
    <n v="0.53917575749758417"/>
    <s v="High"/>
    <n v="64192.977000000006"/>
    <n v="34611.297000000006"/>
    <n v="8"/>
    <d v="2023-03-03T00:00:00"/>
    <d v="2023-03-31T00:00:00"/>
    <x v="1"/>
    <n v="56"/>
    <s v="False"/>
    <n v="64192.977000000006"/>
    <n v="27"/>
    <n v="83729.97"/>
    <n v="27"/>
    <n v="1479.0840000000001"/>
    <n v="34018.932000000001"/>
  </r>
  <r>
    <s v="ORD-2023-913592"/>
    <x v="59"/>
    <d v="2023-05-14T00:00:00"/>
    <n v="4"/>
    <s v="Q2-2023"/>
    <x v="3"/>
    <x v="10"/>
    <s v="Delhi"/>
    <s v="Non-Profit"/>
    <x v="0"/>
    <x v="11"/>
    <x v="5"/>
    <s v="MON-2465"/>
    <n v="622.6"/>
    <n v="833.69"/>
    <n v="0.20899999999999999"/>
    <n v="0.20899999999999999"/>
    <n v="14"/>
    <n v="0.33904593639575975"/>
    <n v="9232.2830599999998"/>
    <n v="8716.4"/>
    <n v="515.88306000000011"/>
    <n v="5.5878167582959715E-2"/>
    <s v="Medium"/>
    <n v="9232.2830599999998"/>
    <n v="515.88306000000011"/>
    <n v="8"/>
    <d v="2023-03-03T00:00:00"/>
    <d v="2023-03-31T00:00:00"/>
    <x v="0"/>
    <n v="26"/>
    <s v="True"/>
    <n v="9232.2830599999998"/>
    <n v="16"/>
    <n v="13339.04"/>
    <n v="16"/>
    <n v="715.99"/>
    <n v="10023.86"/>
  </r>
  <r>
    <s v="ORD-2023-867836"/>
    <x v="60"/>
    <d v="2023-05-28T00:00:00"/>
    <n v="17"/>
    <s v="Q2-2023"/>
    <x v="3"/>
    <x v="3"/>
    <s v="Shenzhen"/>
    <s v="Enterprise"/>
    <x v="4"/>
    <x v="14"/>
    <x v="4"/>
    <s v="NET-3255"/>
    <n v="1331.19"/>
    <n v="2903.09"/>
    <n v="0.14299999999999999"/>
    <n v="0.14299999999999999"/>
    <n v="8"/>
    <n v="1.1808231732510011"/>
    <n v="19903.585040000002"/>
    <n v="10649.52"/>
    <n v="9254.0650400000013"/>
    <n v="0.46494463290920784"/>
    <s v="High"/>
    <n v="19903.585040000002"/>
    <n v="9254.0650400000013"/>
    <n v="7"/>
    <d v="2023-03-03T00:00:00"/>
    <d v="2023-03-31T00:00:00"/>
    <x v="1"/>
    <n v="58"/>
    <s v="False"/>
    <n v="19903.585040000002"/>
    <n v="9"/>
    <n v="26127.81"/>
    <n v="9"/>
    <n v="1530.8685"/>
    <n v="12246.948"/>
  </r>
  <r>
    <s v="ORD-2023-251563"/>
    <x v="60"/>
    <d v="2023-06-07T00:00:00"/>
    <n v="27"/>
    <s v="Q2-2023"/>
    <x v="1"/>
    <x v="7"/>
    <s v="Mombasa"/>
    <s v="Corporate"/>
    <x v="1"/>
    <x v="13"/>
    <x v="2"/>
    <s v="PHN-8970"/>
    <n v="12.85"/>
    <n v="15.41"/>
    <n v="0.13700000000000001"/>
    <n v="0.13700000000000001"/>
    <n v="39"/>
    <n v="0.19922178988326852"/>
    <n v="518.65436999999997"/>
    <n v="501.15"/>
    <n v="17.504369999999994"/>
    <n v="3.3749585489851353E-2"/>
    <s v="Low"/>
    <n v="518.65436999999997"/>
    <n v="17.504369999999994"/>
    <n v="11"/>
    <d v="2023-03-03T00:00:00"/>
    <d v="2023-03-31T00:00:00"/>
    <x v="1"/>
    <n v="59"/>
    <s v="False"/>
    <n v="518.65436999999997"/>
    <n v="46"/>
    <n v="708.86"/>
    <n v="46"/>
    <n v="14.777499999999998"/>
    <n v="576.32249999999988"/>
  </r>
  <r>
    <s v="ORD-2023-931633"/>
    <x v="61"/>
    <d v="2023-05-22T00:00:00"/>
    <n v="8"/>
    <s v="Q2-2023"/>
    <x v="1"/>
    <x v="7"/>
    <s v="Mombasa"/>
    <s v="Small Business"/>
    <x v="0"/>
    <x v="7"/>
    <x v="1"/>
    <s v="PRN-9488"/>
    <n v="432.01"/>
    <n v="913.78"/>
    <n v="4.9000000000000002E-2"/>
    <n v="4.9000000000000002E-2"/>
    <n v="12"/>
    <n v="1.115182518923173"/>
    <n v="10428.057360000001"/>
    <n v="5184.12"/>
    <n v="5243.9373600000008"/>
    <n v="0.50286809699711899"/>
    <s v="High"/>
    <n v="10428.057359999999"/>
    <n v="5243.937359999999"/>
    <n v="11"/>
    <d v="2023-03-03T00:00:00"/>
    <d v="2023-03-31T00:00:00"/>
    <x v="1"/>
    <n v="60"/>
    <s v="False"/>
    <n v="10428.057359999999"/>
    <n v="14"/>
    <n v="12792.92"/>
    <n v="14"/>
    <n v="496.81149999999997"/>
    <n v="5961.7379999999994"/>
  </r>
  <r>
    <s v="ORD-2023-184577"/>
    <x v="62"/>
    <d v="2023-06-03T00:00:00"/>
    <n v="17"/>
    <s v="Q2-2023"/>
    <x v="3"/>
    <x v="3"/>
    <s v="Beijing"/>
    <s v="Non-Profit"/>
    <x v="0"/>
    <x v="3"/>
    <x v="1"/>
    <s v="PRN-1923"/>
    <n v="979.59"/>
    <n v="2210.94"/>
    <n v="0.15"/>
    <n v="0.15"/>
    <n v="11"/>
    <n v="1.2570054818852785"/>
    <n v="20672.289000000001"/>
    <n v="10775.49"/>
    <n v="9896.7990000000009"/>
    <n v="0.47874712858358359"/>
    <s v="High"/>
    <n v="20672.289000000001"/>
    <n v="9896.7990000000009"/>
    <n v="8"/>
    <d v="2023-03-03T00:00:00"/>
    <d v="2023-03-31T00:00:00"/>
    <x v="1"/>
    <n v="61"/>
    <s v="False"/>
    <n v="20672.289000000001"/>
    <n v="13"/>
    <n v="28742.22"/>
    <n v="13"/>
    <n v="1126.5284999999999"/>
    <n v="12391.813499999998"/>
  </r>
  <r>
    <s v="ORD-2023-704111"/>
    <x v="62"/>
    <d v="2023-06-15T00:00:00"/>
    <n v="29"/>
    <s v="Q2-2023"/>
    <x v="1"/>
    <x v="1"/>
    <s v="Durban"/>
    <s v="Enterprise"/>
    <x v="3"/>
    <x v="10"/>
    <x v="3"/>
    <s v="ACC-5206"/>
    <n v="40.89"/>
    <n v="62.82"/>
    <n v="0.129"/>
    <n v="0.129"/>
    <n v="17"/>
    <n v="0.53631694790902418"/>
    <n v="930.17574000000002"/>
    <n v="695.13"/>
    <n v="235.04574000000002"/>
    <n v="0.25268960465470752"/>
    <s v="Medium"/>
    <n v="930.17574000000002"/>
    <n v="235.04574000000002"/>
    <n v="8"/>
    <d v="2023-03-03T00:00:00"/>
    <d v="2023-03-31T00:00:00"/>
    <x v="1"/>
    <n v="61"/>
    <s v="False"/>
    <n v="930.17574000000002"/>
    <n v="20"/>
    <n v="1256.4000000000001"/>
    <n v="20"/>
    <n v="47.023499999999999"/>
    <n v="799.39949999999999"/>
  </r>
  <r>
    <s v="ORD-2023-382272"/>
    <x v="63"/>
    <d v="2023-05-20T00:00:00"/>
    <n v="2"/>
    <s v="Q2-2023"/>
    <x v="1"/>
    <x v="1"/>
    <s v="Durban"/>
    <s v="Corporate"/>
    <x v="0"/>
    <x v="1"/>
    <x v="6"/>
    <s v="CMP-5208"/>
    <n v="917.88"/>
    <n v="1347.92"/>
    <n v="0.12"/>
    <n v="0.12"/>
    <n v="5"/>
    <n v="0.46851440275417272"/>
    <n v="5930.848"/>
    <n v="4589.3999999999996"/>
    <n v="1341.4480000000003"/>
    <n v="0.22618148365967233"/>
    <s v="Medium"/>
    <n v="5930.8480000000009"/>
    <n v="1341.4480000000012"/>
    <n v="8"/>
    <d v="2023-03-03T00:00:00"/>
    <d v="2023-03-31T00:00:00"/>
    <x v="0"/>
    <n v="27"/>
    <s v="False"/>
    <n v="5930.8480000000009"/>
    <n v="6"/>
    <n v="8087.52"/>
    <n v="6"/>
    <n v="1055.5619999999999"/>
    <n v="5277.8099999999995"/>
  </r>
  <r>
    <s v="ORD-2023-676553"/>
    <x v="64"/>
    <d v="2023-06-19T00:00:00"/>
    <n v="30"/>
    <s v="Q2-2023"/>
    <x v="3"/>
    <x v="10"/>
    <s v="Delhi"/>
    <s v="Non-Profit"/>
    <x v="4"/>
    <x v="4"/>
    <x v="0"/>
    <s v="LAP-2806"/>
    <n v="1161.2"/>
    <n v="2275.9520000000002"/>
    <n v="0.19"/>
    <n v="0.19"/>
    <n v="31"/>
    <n v="0.96000000000000008"/>
    <n v="57149.154720000006"/>
    <n v="35997.200000000004"/>
    <n v="21151.954720000002"/>
    <n v="0.37011841773746534"/>
    <s v="High"/>
    <n v="57149.154720000013"/>
    <n v="21151.954720000009"/>
    <n v="9"/>
    <d v="2023-03-03T00:00:00"/>
    <d v="2023-03-31T00:00:00"/>
    <x v="1"/>
    <n v="63"/>
    <s v="False"/>
    <n v="57149.154720000013"/>
    <n v="37"/>
    <n v="84210.224000000002"/>
    <n v="37"/>
    <n v="1335.3799999999999"/>
    <n v="41396.78"/>
  </r>
  <r>
    <s v="ORD-2023-638181"/>
    <x v="64"/>
    <d v="2023-06-07T00:00:00"/>
    <n v="18"/>
    <s v="Q2-2023"/>
    <x v="1"/>
    <x v="5"/>
    <s v="Port Harcourt"/>
    <s v="Enterprise"/>
    <x v="0"/>
    <x v="14"/>
    <x v="6"/>
    <s v="CMP-4630"/>
    <n v="1120.06"/>
    <n v="2068.21"/>
    <n v="7.8E-2"/>
    <n v="7.8E-2"/>
    <n v="12"/>
    <n v="0.84651715086691792"/>
    <n v="22882.675440000003"/>
    <n v="13440.72"/>
    <n v="9441.9554400000034"/>
    <n v="0.41262462795303284"/>
    <s v="High"/>
    <n v="22882.675440000003"/>
    <n v="9441.9554400000034"/>
    <n v="7"/>
    <d v="2023-03-03T00:00:00"/>
    <d v="2023-03-31T00:00:00"/>
    <x v="1"/>
    <n v="63"/>
    <s v="False"/>
    <n v="22882.675440000003"/>
    <n v="14"/>
    <n v="28954.940000000002"/>
    <n v="14"/>
    <n v="1288.0689999999997"/>
    <n v="15456.827999999998"/>
  </r>
  <r>
    <s v="ORD-2023-588455"/>
    <x v="65"/>
    <d v="2023-05-25T00:00:00"/>
    <n v="2"/>
    <s v="Q2-2023"/>
    <x v="0"/>
    <x v="9"/>
    <s v="Rio de Janeiro"/>
    <s v="Enterprise"/>
    <x v="3"/>
    <x v="3"/>
    <x v="1"/>
    <s v="PRN-1271"/>
    <n v="690.49"/>
    <n v="1290.29"/>
    <n v="4.2000000000000003E-2"/>
    <n v="4.2000000000000003E-2"/>
    <n v="22"/>
    <n v="0.86865848889918751"/>
    <n v="27194.152039999997"/>
    <n v="15190.78"/>
    <n v="12003.372039999997"/>
    <n v="0.44139534199647718"/>
    <s v="High"/>
    <n v="27194.152040000001"/>
    <n v="12003.37204"/>
    <n v="5"/>
    <d v="2023-03-03T00:00:00"/>
    <d v="2023-03-31T00:00:00"/>
    <x v="0"/>
    <n v="28"/>
    <s v="False"/>
    <n v="27194.152040000001"/>
    <n v="26"/>
    <n v="33547.54"/>
    <n v="26"/>
    <n v="794.06349999999998"/>
    <n v="17469.397000000001"/>
  </r>
  <r>
    <s v="ORD-2023-603650"/>
    <x v="65"/>
    <d v="2023-06-10T00:00:00"/>
    <n v="18"/>
    <s v="Q2-2023"/>
    <x v="3"/>
    <x v="3"/>
    <s v="Shanghai"/>
    <s v="Corporate"/>
    <x v="0"/>
    <x v="14"/>
    <x v="6"/>
    <s v="CMP-6925"/>
    <n v="54.62"/>
    <n v="96.677399999999992"/>
    <n v="0.14799999999999999"/>
    <n v="0.14799999999999999"/>
    <n v="16"/>
    <n v="0.76999999999999991"/>
    <n v="1317.9063167999998"/>
    <n v="873.92"/>
    <n v="443.98631679999983"/>
    <n v="0.33688761571311099"/>
    <s v="High"/>
    <n v="1317.9063167999998"/>
    <n v="443.98631679999983"/>
    <n v="9"/>
    <d v="2023-03-03T00:00:00"/>
    <d v="2023-03-31T00:00:00"/>
    <x v="1"/>
    <n v="65"/>
    <s v="False"/>
    <n v="1317.9063167999998"/>
    <n v="19"/>
    <n v="1836.8705999999997"/>
    <n v="19"/>
    <n v="62.812999999999995"/>
    <n v="1005.0079999999999"/>
  </r>
  <r>
    <s v="ORD-2023-172095"/>
    <x v="66"/>
    <d v="2023-06-21T00:00:00"/>
    <n v="28"/>
    <s v="Q2-2023"/>
    <x v="0"/>
    <x v="4"/>
    <s v="Austin"/>
    <s v="Small Business"/>
    <x v="4"/>
    <x v="6"/>
    <x v="5"/>
    <s v="MON-6882"/>
    <n v="813.97"/>
    <n v="1568.83"/>
    <n v="1.7000000000000001E-2"/>
    <n v="1.7000000000000001E-2"/>
    <n v="15"/>
    <n v="0.9273806159932183"/>
    <n v="23132.398349999996"/>
    <n v="12209.550000000001"/>
    <n v="10922.848349999995"/>
    <n v="0.4721883215364911"/>
    <s v="High"/>
    <n v="23132.398349999999"/>
    <n v="10922.848349999998"/>
    <n v="9"/>
    <d v="2023-03-03T00:00:00"/>
    <d v="2023-03-31T00:00:00"/>
    <x v="1"/>
    <n v="66"/>
    <s v="False"/>
    <n v="23132.398349999999"/>
    <n v="18"/>
    <n v="28238.94"/>
    <n v="18"/>
    <n v="936.06549999999993"/>
    <n v="14040.982499999998"/>
  </r>
  <r>
    <s v="ORD-2023-521280"/>
    <x v="67"/>
    <d v="2023-06-19T00:00:00"/>
    <n v="23"/>
    <s v="Q2-2023"/>
    <x v="2"/>
    <x v="8"/>
    <s v="Berlin"/>
    <s v="Education"/>
    <x v="3"/>
    <x v="5"/>
    <x v="3"/>
    <s v="ACC-1882"/>
    <n v="1471.58"/>
    <n v="2576.65"/>
    <n v="4.0000000000000001E-3"/>
    <n v="4.0000000000000001E-3"/>
    <n v="7"/>
    <n v="0.75094116527813659"/>
    <n v="17964.4038"/>
    <n v="10301.06"/>
    <n v="7663.3438000000006"/>
    <n v="0.4265849223451546"/>
    <s v="High"/>
    <n v="17964.4038"/>
    <n v="7663.3438000000006"/>
    <n v="12"/>
    <d v="2023-03-03T00:00:00"/>
    <d v="2023-03-31T00:00:00"/>
    <x v="1"/>
    <n v="67"/>
    <s v="False"/>
    <n v="17964.4038"/>
    <n v="8"/>
    <n v="20613.2"/>
    <n v="8"/>
    <n v="1692.3169999999998"/>
    <n v="11846.218999999999"/>
  </r>
  <r>
    <s v="ORD-2023-927385"/>
    <x v="68"/>
    <d v="2023-06-20T00:00:00"/>
    <n v="22"/>
    <s v="Q2-2023"/>
    <x v="2"/>
    <x v="6"/>
    <s v="London"/>
    <s v="Small Business"/>
    <x v="2"/>
    <x v="10"/>
    <x v="6"/>
    <s v="CMP-8545"/>
    <n v="1295.3900000000001"/>
    <n v="2905.06"/>
    <n v="0.14799999999999999"/>
    <n v="0.14799999999999999"/>
    <n v="8"/>
    <n v="1.2426141934089345"/>
    <n v="19800.88896"/>
    <n v="10363.120000000001"/>
    <n v="9437.7689599999994"/>
    <n v="0.47663359857556614"/>
    <s v="High"/>
    <n v="19800.88896"/>
    <n v="9437.7689599999994"/>
    <n v="9"/>
    <d v="2023-03-03T00:00:00"/>
    <d v="2023-03-31T00:00:00"/>
    <x v="1"/>
    <n v="67"/>
    <s v="False"/>
    <n v="19800.88896"/>
    <n v="9"/>
    <n v="26145.54"/>
    <n v="9"/>
    <n v="1489.6985"/>
    <n v="11917.588"/>
  </r>
  <r>
    <s v="ORD-2023-349264"/>
    <x v="69"/>
    <d v="2023-06-08T00:00:00"/>
    <n v="7"/>
    <s v="Q2-2023"/>
    <x v="2"/>
    <x v="8"/>
    <s v="Frankfurt"/>
    <s v="Consumer"/>
    <x v="1"/>
    <x v="1"/>
    <x v="2"/>
    <s v="PHN-1924"/>
    <n v="804.17"/>
    <n v="1072.29"/>
    <n v="3.2000000000000001E-2"/>
    <n v="3.2000000000000001E-2"/>
    <n v="5"/>
    <n v="0.33341208948356693"/>
    <n v="5189.8836000000001"/>
    <n v="4020.85"/>
    <n v="1169.0336000000002"/>
    <n v="0.2252523736755869"/>
    <s v="Medium"/>
    <n v="5189.8835999999992"/>
    <n v="1169.0335999999993"/>
    <n v="13"/>
    <d v="2023-03-03T00:00:00"/>
    <d v="2023-03-31T00:00:00"/>
    <x v="0"/>
    <n v="30"/>
    <s v="False"/>
    <n v="5189.8835999999992"/>
    <n v="6"/>
    <n v="6433.74"/>
    <n v="6"/>
    <n v="924.79549999999983"/>
    <n v="4623.9774999999991"/>
  </r>
  <r>
    <s v="ORD-2023-868460"/>
    <x v="69"/>
    <d v="2023-06-01T00:00:00"/>
    <n v="0"/>
    <s v="Q2-2023"/>
    <x v="3"/>
    <x v="10"/>
    <s v="Bengaluru"/>
    <s v="Corporate"/>
    <x v="3"/>
    <x v="14"/>
    <x v="3"/>
    <s v="ACC-4587"/>
    <n v="669.37"/>
    <n v="997.2"/>
    <n v="8.2000000000000003E-2"/>
    <n v="8.2000000000000003E-2"/>
    <n v="5"/>
    <n v="0.48975902714492736"/>
    <n v="4577.1480000000001"/>
    <n v="3346.85"/>
    <n v="1230.2980000000002"/>
    <n v="0.26879139586484863"/>
    <s v="Medium"/>
    <n v="4577.1480000000001"/>
    <n v="1230.2980000000002"/>
    <n v="10"/>
    <d v="2023-03-03T00:00:00"/>
    <d v="2023-03-31T00:00:00"/>
    <x v="0"/>
    <n v="30"/>
    <s v="False"/>
    <n v="4577.1480000000001"/>
    <n v="6"/>
    <n v="5983.2000000000007"/>
    <n v="6"/>
    <n v="769.77549999999997"/>
    <n v="3848.8774999999996"/>
  </r>
  <r>
    <s v="ORD-2023-244375"/>
    <x v="70"/>
    <d v="2023-07-01T00:00:00"/>
    <n v="28"/>
    <s v="Q2-2023"/>
    <x v="0"/>
    <x v="9"/>
    <s v="Brasília"/>
    <s v="Small Business"/>
    <x v="4"/>
    <x v="1"/>
    <x v="6"/>
    <s v="CMP-1223"/>
    <n v="860.4"/>
    <n v="2066.6"/>
    <n v="0.01"/>
    <n v="0.01"/>
    <n v="3"/>
    <n v="1.4019060901906089"/>
    <n v="6137.8019999999988"/>
    <n v="2581.1999999999998"/>
    <n v="3556.601999999999"/>
    <n v="0.57945857491004105"/>
    <s v="High"/>
    <n v="6137.8019999999997"/>
    <n v="3556.6019999999999"/>
    <n v="6"/>
    <d v="2023-03-03T00:00:00"/>
    <d v="2023-03-31T00:00:00"/>
    <x v="1"/>
    <n v="69"/>
    <s v="False"/>
    <n v="6137.8019999999997"/>
    <n v="3"/>
    <n v="6199.7999999999993"/>
    <n v="3"/>
    <n v="989.45999999999992"/>
    <n v="2968.3799999999997"/>
  </r>
  <r>
    <s v="ORD-2023-386663"/>
    <x v="71"/>
    <d v="2023-06-28T00:00:00"/>
    <n v="23"/>
    <s v="Q2-2023"/>
    <x v="2"/>
    <x v="6"/>
    <s v="Birmingham"/>
    <s v="Corporate"/>
    <x v="2"/>
    <x v="10"/>
    <x v="1"/>
    <s v="PRN-3690"/>
    <n v="605.82000000000005"/>
    <n v="771.12"/>
    <n v="0.13200000000000001"/>
    <n v="0.13200000000000001"/>
    <n v="19"/>
    <n v="0.27285332276913926"/>
    <n v="12717.311040000001"/>
    <n v="11510.580000000002"/>
    <n v="1206.7310399999988"/>
    <n v="9.4888851597986767E-2"/>
    <s v="Medium"/>
    <n v="12717.311040000001"/>
    <n v="1206.7310399999988"/>
    <n v="10"/>
    <d v="2023-03-03T00:00:00"/>
    <d v="2023-03-31T00:00:00"/>
    <x v="1"/>
    <n v="70"/>
    <s v="False"/>
    <n v="12717.311040000001"/>
    <n v="22"/>
    <n v="16964.64"/>
    <n v="22"/>
    <n v="696.69299999999998"/>
    <n v="13237.166999999999"/>
  </r>
  <r>
    <s v="ORD-2023-427304"/>
    <x v="72"/>
    <d v="2023-06-19T00:00:00"/>
    <n v="10"/>
    <s v="Q2-2023"/>
    <x v="3"/>
    <x v="3"/>
    <s v="Beijing"/>
    <s v="Enterprise"/>
    <x v="3"/>
    <x v="7"/>
    <x v="5"/>
    <s v="MON-9194"/>
    <n v="339.61"/>
    <n v="621.02"/>
    <n v="7.0999999999999994E-2"/>
    <n v="7.0999999999999994E-2"/>
    <n v="10"/>
    <n v="0.82862695444774881"/>
    <n v="5769.2758000000003"/>
    <n v="3396.1000000000004"/>
    <n v="2373.1758"/>
    <n v="0.41134726129750981"/>
    <s v="High"/>
    <n v="5769.2758000000003"/>
    <n v="2373.1758"/>
    <n v="10"/>
    <d v="2023-03-03T00:00:00"/>
    <d v="2023-03-31T00:00:00"/>
    <x v="1"/>
    <n v="71"/>
    <s v="False"/>
    <n v="5769.2758000000003"/>
    <n v="12"/>
    <n v="7452.24"/>
    <n v="12"/>
    <n v="390.55149999999998"/>
    <n v="3905.5149999999999"/>
  </r>
  <r>
    <s v="ORD-2023-536542"/>
    <x v="73"/>
    <d v="2023-06-18T00:00:00"/>
    <n v="8"/>
    <s v="Q2-2023"/>
    <x v="1"/>
    <x v="7"/>
    <s v="Nakuru"/>
    <s v="Enterprise"/>
    <x v="2"/>
    <x v="4"/>
    <x v="2"/>
    <s v="PHN-2337"/>
    <n v="894.23"/>
    <n v="1421.55"/>
    <n v="0.109"/>
    <n v="0.109"/>
    <n v="3"/>
    <n v="0.58969169005736766"/>
    <n v="3799.8031499999997"/>
    <n v="2682.69"/>
    <n v="1117.1131499999997"/>
    <n v="0.29399237431549574"/>
    <s v="Medium"/>
    <n v="3799.8031499999997"/>
    <n v="1117.1131499999997"/>
    <n v="12"/>
    <d v="2023-03-03T00:00:00"/>
    <d v="2023-03-31T00:00:00"/>
    <x v="1"/>
    <n v="72"/>
    <s v="False"/>
    <n v="3799.8031499999997"/>
    <n v="3"/>
    <n v="4264.6499999999996"/>
    <n v="3"/>
    <n v="1028.3644999999999"/>
    <n v="3085.0934999999999"/>
  </r>
  <r>
    <s v="ORD-2023-769774"/>
    <x v="74"/>
    <d v="2023-06-24T00:00:00"/>
    <n v="11"/>
    <s v="Q2-2023"/>
    <x v="0"/>
    <x v="0"/>
    <s v="Toronto"/>
    <s v="Corporate"/>
    <x v="1"/>
    <x v="11"/>
    <x v="1"/>
    <s v="PRN-8008"/>
    <n v="247.07"/>
    <n v="495.19"/>
    <n v="2.8000000000000001E-2"/>
    <n v="2.8000000000000001E-2"/>
    <n v="4"/>
    <n v="1.0042498077467925"/>
    <n v="1925.29872"/>
    <n v="988.28"/>
    <n v="937.01872000000003"/>
    <n v="0.48668744764968214"/>
    <s v="High"/>
    <n v="1925.29872"/>
    <n v="937.01872000000003"/>
    <n v="6"/>
    <d v="2023-03-03T00:00:00"/>
    <d v="2023-03-31T00:00:00"/>
    <x v="1"/>
    <n v="72"/>
    <s v="False"/>
    <n v="1925.29872"/>
    <n v="4"/>
    <n v="1980.76"/>
    <n v="4"/>
    <n v="284.13049999999998"/>
    <n v="1136.5219999999999"/>
  </r>
  <r>
    <s v="ORD-2023-290279"/>
    <x v="75"/>
    <d v="2023-06-16T00:00:00"/>
    <n v="2"/>
    <s v="Q2-2023"/>
    <x v="2"/>
    <x v="6"/>
    <s v="Manchester"/>
    <s v="Non-Profit"/>
    <x v="2"/>
    <x v="10"/>
    <x v="6"/>
    <s v="CMP-5820"/>
    <n v="357.36"/>
    <n v="703.62"/>
    <n v="0.25700000000000001"/>
    <n v="0.25"/>
    <n v="20"/>
    <n v="0.968938885157824"/>
    <n v="10455.7932"/>
    <n v="7147.2000000000007"/>
    <n v="3308.5931999999993"/>
    <n v="0.31643636563125593"/>
    <s v="High"/>
    <n v="10455.7932"/>
    <n v="3308.5931999999993"/>
    <n v="11"/>
    <d v="2023-03-03T00:00:00"/>
    <d v="2023-03-31T00:00:00"/>
    <x v="0"/>
    <n v="31"/>
    <s v="True"/>
    <n v="10554.300000000001"/>
    <n v="24"/>
    <n v="16886.88"/>
    <n v="24"/>
    <n v="410.964"/>
    <n v="8219.2800000000007"/>
  </r>
  <r>
    <s v="ORD-2023-715175"/>
    <x v="76"/>
    <d v="2023-06-23T00:00:00"/>
    <n v="8"/>
    <s v="Q2-2023"/>
    <x v="0"/>
    <x v="4"/>
    <s v="San Francisco"/>
    <s v="Consumer"/>
    <x v="0"/>
    <x v="5"/>
    <x v="5"/>
    <s v="MON-5424"/>
    <n v="1097.0899999999999"/>
    <n v="2182.31"/>
    <n v="0.112"/>
    <n v="0.112"/>
    <n v="9"/>
    <n v="0.98918046832985451"/>
    <n v="17441.021520000002"/>
    <n v="9873.81"/>
    <n v="7567.2115200000026"/>
    <n v="0.43387432962699546"/>
    <s v="High"/>
    <n v="17441.021520000002"/>
    <n v="7567.2115200000026"/>
    <n v="10"/>
    <d v="2023-03-03T00:00:00"/>
    <d v="2023-03-31T00:00:00"/>
    <x v="1"/>
    <n v="74"/>
    <s v="False"/>
    <n v="17441.021520000002"/>
    <n v="10"/>
    <n v="21823.1"/>
    <n v="10"/>
    <n v="1261.6534999999999"/>
    <n v="11354.8815"/>
  </r>
  <r>
    <s v="ORD-2023-173313"/>
    <x v="76"/>
    <d v="2023-07-12T00:00:00"/>
    <n v="27"/>
    <s v="Q2-2023"/>
    <x v="2"/>
    <x v="6"/>
    <s v="Manchester"/>
    <s v="Consumer"/>
    <x v="2"/>
    <x v="12"/>
    <x v="3"/>
    <s v="ACC-3833"/>
    <n v="751.28"/>
    <n v="1111.8800000000001"/>
    <n v="0.13500000000000001"/>
    <n v="0.13500000000000001"/>
    <n v="7"/>
    <n v="0.4799808327121714"/>
    <n v="6732.4334000000008"/>
    <n v="5258.96"/>
    <n v="1473.4734000000008"/>
    <n v="0.21886193482433863"/>
    <s v="Medium"/>
    <n v="6732.4334000000008"/>
    <n v="1473.4734000000008"/>
    <n v="12"/>
    <d v="2023-03-03T00:00:00"/>
    <d v="2023-03-31T00:00:00"/>
    <x v="1"/>
    <n v="74"/>
    <s v="False"/>
    <n v="6732.4334000000008"/>
    <n v="8"/>
    <n v="8895.0400000000009"/>
    <n v="8"/>
    <n v="863.97199999999987"/>
    <n v="6047.8039999999992"/>
  </r>
  <r>
    <s v="ORD-2023-651638"/>
    <x v="77"/>
    <d v="2023-06-24T00:00:00"/>
    <n v="7"/>
    <s v="Q2-2023"/>
    <x v="0"/>
    <x v="4"/>
    <s v="San Francisco"/>
    <s v="Corporate"/>
    <x v="3"/>
    <x v="12"/>
    <x v="1"/>
    <s v="PRN-6536"/>
    <n v="313.99"/>
    <n v="454.42"/>
    <n v="0.129"/>
    <n v="0.129"/>
    <n v="9"/>
    <n v="0.44724354278798689"/>
    <n v="3562.1983800000003"/>
    <n v="2825.91"/>
    <n v="736.28838000000042"/>
    <n v="0.20669493988147858"/>
    <s v="Medium"/>
    <n v="3562.1983800000003"/>
    <n v="736.28838000000042"/>
    <n v="12"/>
    <d v="2023-03-03T00:00:00"/>
    <d v="2023-03-31T00:00:00"/>
    <x v="0"/>
    <n v="32"/>
    <s v="False"/>
    <n v="3562.1983800000003"/>
    <n v="10"/>
    <n v="4544.2"/>
    <n v="10"/>
    <n v="361.08850000000001"/>
    <n v="3249.7964999999999"/>
  </r>
  <r>
    <s v="ORD-2023-594955"/>
    <x v="78"/>
    <d v="2023-07-08T00:00:00"/>
    <n v="18"/>
    <s v="Q2-2023"/>
    <x v="0"/>
    <x v="4"/>
    <s v="New York"/>
    <s v="Consumer"/>
    <x v="4"/>
    <x v="5"/>
    <x v="4"/>
    <s v="NET-3828"/>
    <n v="1145.53"/>
    <n v="1278.3"/>
    <n v="0.09"/>
    <n v="0.09"/>
    <n v="41"/>
    <n v="0.11590268260106674"/>
    <n v="47693.373"/>
    <n v="46966.729999999996"/>
    <n v="726.64300000000367"/>
    <n v="1.5235722581416158E-2"/>
    <s v="Low"/>
    <n v="47693.373"/>
    <n v="726.64300000000367"/>
    <n v="12"/>
    <d v="2023-03-03T00:00:00"/>
    <d v="2023-03-31T00:00:00"/>
    <x v="1"/>
    <n v="76"/>
    <s v="False"/>
    <n v="47693.373"/>
    <n v="49"/>
    <n v="62636.7"/>
    <n v="49"/>
    <n v="1317.3594999999998"/>
    <n v="54011.739499999989"/>
  </r>
  <r>
    <s v="ORD-2023-434071"/>
    <x v="78"/>
    <d v="2023-07-04T00:00:00"/>
    <n v="14"/>
    <s v="Q2-2023"/>
    <x v="0"/>
    <x v="9"/>
    <s v="Brasília"/>
    <s v="Non-Profit"/>
    <x v="2"/>
    <x v="11"/>
    <x v="4"/>
    <s v="NET-1228"/>
    <n v="1292.8599999999999"/>
    <n v="2981.01"/>
    <n v="0.14199999999999999"/>
    <n v="0.14199999999999999"/>
    <n v="12"/>
    <n v="1.3057484955834355"/>
    <n v="30692.47896"/>
    <n v="15514.32"/>
    <n v="15178.158960000001"/>
    <n v="0.49452372288927687"/>
    <s v="High"/>
    <n v="30692.47896"/>
    <n v="15178.158960000001"/>
    <n v="7"/>
    <d v="2023-03-03T00:00:00"/>
    <d v="2023-03-31T00:00:00"/>
    <x v="1"/>
    <n v="77"/>
    <s v="False"/>
    <n v="30692.47896"/>
    <n v="14"/>
    <n v="41734.14"/>
    <n v="14"/>
    <n v="1486.7889999999998"/>
    <n v="17841.467999999997"/>
  </r>
  <r>
    <s v="ORD-2023-602648"/>
    <x v="78"/>
    <d v="2023-07-08T00:00:00"/>
    <n v="18"/>
    <s v="Q2-2023"/>
    <x v="0"/>
    <x v="4"/>
    <s v="Austin"/>
    <s v="Non-Profit"/>
    <x v="2"/>
    <x v="7"/>
    <x v="5"/>
    <s v="MON-4326"/>
    <n v="337"/>
    <n v="511.03"/>
    <n v="0.108"/>
    <n v="0.108"/>
    <n v="7"/>
    <n v="0.51640949554896132"/>
    <n v="3190.8713200000002"/>
    <n v="2359"/>
    <n v="831.8713200000002"/>
    <n v="0.26070349963219458"/>
    <s v="Medium"/>
    <n v="3190.8713199999997"/>
    <n v="831.87131999999974"/>
    <n v="13"/>
    <d v="2023-03-03T00:00:00"/>
    <d v="2023-03-31T00:00:00"/>
    <x v="1"/>
    <n v="77"/>
    <s v="False"/>
    <n v="3190.8713199999997"/>
    <n v="8"/>
    <n v="4088.24"/>
    <n v="8"/>
    <n v="387.54999999999995"/>
    <n v="2712.8499999999995"/>
  </r>
  <r>
    <s v="ORD-2023-890605"/>
    <x v="79"/>
    <d v="2023-06-24T00:00:00"/>
    <n v="2"/>
    <s v="Q2-2023"/>
    <x v="0"/>
    <x v="0"/>
    <s v="Toronto"/>
    <s v="Non-Profit"/>
    <x v="3"/>
    <x v="3"/>
    <x v="3"/>
    <s v="ACC-2903"/>
    <n v="471.42"/>
    <n v="824.81"/>
    <n v="8.7999999999999995E-2"/>
    <n v="8.7999999999999995E-2"/>
    <n v="15"/>
    <n v="0.74962878112935372"/>
    <n v="11283.400799999999"/>
    <n v="7071.3"/>
    <n v="4212.1007999999993"/>
    <n v="0.37330064531608231"/>
    <s v="Medium"/>
    <n v="11283.400799999999"/>
    <n v="4212.1007999999993"/>
    <n v="7"/>
    <d v="2023-03-03T00:00:00"/>
    <d v="2023-03-31T00:00:00"/>
    <x v="0"/>
    <n v="33"/>
    <s v="False"/>
    <n v="11283.400799999999"/>
    <n v="18"/>
    <n v="14846.579999999998"/>
    <n v="18"/>
    <n v="542.13299999999992"/>
    <n v="8131.994999999999"/>
  </r>
  <r>
    <s v="ORD-2023-399631"/>
    <x v="79"/>
    <d v="2023-07-21T00:00:00"/>
    <n v="29"/>
    <s v="Q2-2023"/>
    <x v="2"/>
    <x v="2"/>
    <s v="Lyon"/>
    <s v="Corporate"/>
    <x v="3"/>
    <x v="13"/>
    <x v="3"/>
    <s v="ACC-3385"/>
    <n v="734.34"/>
    <n v="887.9"/>
    <n v="2.5000000000000001E-2"/>
    <n v="2.5000000000000001E-2"/>
    <n v="12"/>
    <n v="0.20911294495737662"/>
    <n v="10388.429999999998"/>
    <n v="8812.08"/>
    <n v="1576.3499999999985"/>
    <n v="0.15174092716608753"/>
    <s v="Low"/>
    <n v="10388.43"/>
    <n v="1576.3500000000004"/>
    <n v="7"/>
    <d v="2023-03-03T00:00:00"/>
    <d v="2023-03-31T00:00:00"/>
    <x v="1"/>
    <n v="79"/>
    <s v="False"/>
    <n v="10388.43"/>
    <n v="14"/>
    <n v="12430.6"/>
    <n v="14"/>
    <n v="844.49099999999999"/>
    <n v="10133.892"/>
  </r>
  <r>
    <s v="ORD-2023-921939"/>
    <x v="80"/>
    <d v="2023-07-18T00:00:00"/>
    <n v="25"/>
    <s v="Q2-2023"/>
    <x v="0"/>
    <x v="0"/>
    <s v="Vancouver"/>
    <s v="Enterprise"/>
    <x v="1"/>
    <x v="8"/>
    <x v="2"/>
    <s v="PHN-4677"/>
    <n v="807.02"/>
    <n v="1435.54"/>
    <n v="0"/>
    <n v="0"/>
    <n v="23"/>
    <n v="0.77881589056033307"/>
    <n v="33017.42"/>
    <n v="18561.46"/>
    <n v="14455.96"/>
    <n v="0.43782827368098415"/>
    <s v="High"/>
    <n v="33017.42"/>
    <n v="14455.96"/>
    <n v="8"/>
    <d v="2023-03-03T00:00:00"/>
    <d v="2023-03-31T00:00:00"/>
    <x v="1"/>
    <n v="79"/>
    <s v="False"/>
    <n v="33017.42"/>
    <n v="27"/>
    <n v="38759.58"/>
    <n v="27"/>
    <n v="928.07299999999987"/>
    <n v="21345.678999999996"/>
  </r>
  <r>
    <s v="ORD-2023-374486"/>
    <x v="80"/>
    <d v="2023-06-24T00:00:00"/>
    <n v="1"/>
    <s v="Q2-2023"/>
    <x v="0"/>
    <x v="9"/>
    <s v="Rio de Janeiro"/>
    <s v="Non-Profit"/>
    <x v="3"/>
    <x v="14"/>
    <x v="1"/>
    <s v="PRN-6490"/>
    <n v="804.01"/>
    <n v="1405.07"/>
    <n v="9.6000000000000002E-2"/>
    <n v="9.6000000000000002E-2"/>
    <n v="8"/>
    <n v="0.74757776644569096"/>
    <n v="10161.46624"/>
    <n v="6432.08"/>
    <n v="3729.3862399999998"/>
    <n v="0.36701260939287439"/>
    <s v="Medium"/>
    <n v="10161.46624"/>
    <n v="3729.3862399999998"/>
    <n v="8"/>
    <d v="2023-03-03T00:00:00"/>
    <d v="2023-03-31T00:00:00"/>
    <x v="0"/>
    <n v="34"/>
    <s v="False"/>
    <n v="10161.46624"/>
    <n v="9"/>
    <n v="12645.63"/>
    <n v="9"/>
    <n v="924.61149999999986"/>
    <n v="7396.8919999999989"/>
  </r>
  <r>
    <s v="ORD-2023-128295"/>
    <x v="80"/>
    <d v="2023-07-03T00:00:00"/>
    <n v="10"/>
    <s v="Q2-2023"/>
    <x v="1"/>
    <x v="5"/>
    <s v="Abuja"/>
    <s v="Consumer"/>
    <x v="1"/>
    <x v="13"/>
    <x v="1"/>
    <s v="PRN-2542"/>
    <n v="337.75"/>
    <n v="548.89"/>
    <n v="0"/>
    <n v="0"/>
    <n v="13"/>
    <n v="0.62513693560325678"/>
    <n v="7135.57"/>
    <n v="4390.75"/>
    <n v="2744.8199999999997"/>
    <n v="0.38466723751571352"/>
    <s v="Medium"/>
    <n v="7135.57"/>
    <n v="2744.8199999999997"/>
    <n v="8"/>
    <d v="2023-03-03T00:00:00"/>
    <d v="2023-03-31T00:00:00"/>
    <x v="1"/>
    <n v="81"/>
    <s v="False"/>
    <n v="7135.57"/>
    <n v="15"/>
    <n v="8233.35"/>
    <n v="15"/>
    <n v="388.41249999999997"/>
    <n v="5049.3624999999993"/>
  </r>
  <r>
    <s v="ORD-2023-610470"/>
    <x v="81"/>
    <d v="2023-07-21T00:00:00"/>
    <n v="27"/>
    <s v="Q2-2023"/>
    <x v="3"/>
    <x v="11"/>
    <s v="Nagoya"/>
    <s v="Consumer"/>
    <x v="4"/>
    <x v="13"/>
    <x v="2"/>
    <s v="PHN-6818"/>
    <n v="554.76"/>
    <n v="728.69"/>
    <n v="0.22"/>
    <n v="0.22"/>
    <n v="7"/>
    <n v="0.31352296488571646"/>
    <n v="3978.6474000000003"/>
    <n v="3883.3199999999997"/>
    <n v="95.32740000000058"/>
    <n v="2.395975074343119E-2"/>
    <s v="Medium"/>
    <n v="3978.6474000000007"/>
    <n v="95.327400000001035"/>
    <n v="7"/>
    <d v="2023-03-03T00:00:00"/>
    <d v="2023-03-31T00:00:00"/>
    <x v="1"/>
    <n v="81"/>
    <s v="True"/>
    <n v="3978.6474000000007"/>
    <n v="8"/>
    <n v="5829.52"/>
    <n v="8"/>
    <n v="637.97399999999993"/>
    <n v="4465.8179999999993"/>
  </r>
  <r>
    <s v="ORD-2023-258768"/>
    <x v="82"/>
    <d v="2023-07-02T00:00:00"/>
    <n v="3"/>
    <s v="Q2-2023"/>
    <x v="3"/>
    <x v="11"/>
    <s v="Nagoya"/>
    <s v="Education"/>
    <x v="4"/>
    <x v="7"/>
    <x v="5"/>
    <s v="MON-2990"/>
    <n v="55.65"/>
    <n v="83.57"/>
    <n v="6.6000000000000003E-2"/>
    <n v="6.6000000000000003E-2"/>
    <n v="8"/>
    <n v="0.50170709793351298"/>
    <n v="624.43503999999996"/>
    <n v="445.2"/>
    <n v="179.23503999999997"/>
    <n v="0.2870355257449998"/>
    <s v="Medium"/>
    <n v="624.43503999999996"/>
    <n v="179.23503999999997"/>
    <n v="7"/>
    <d v="2023-03-03T00:00:00"/>
    <d v="2023-03-31T00:00:00"/>
    <x v="0"/>
    <n v="36"/>
    <s v="False"/>
    <n v="624.43503999999996"/>
    <n v="9"/>
    <n v="752.12999999999988"/>
    <n v="9"/>
    <n v="63.997499999999995"/>
    <n v="511.97999999999996"/>
  </r>
  <r>
    <s v="ORD-2023-159821"/>
    <x v="83"/>
    <d v="2023-07-08T00:00:00"/>
    <n v="7"/>
    <s v="Q3-2023"/>
    <x v="1"/>
    <x v="5"/>
    <s v="Port Harcourt"/>
    <s v="Corporate"/>
    <x v="3"/>
    <x v="1"/>
    <x v="0"/>
    <s v="LAP-3904"/>
    <n v="834.26"/>
    <n v="1780.56"/>
    <n v="1.4E-2"/>
    <n v="1.4E-2"/>
    <n v="47"/>
    <n v="1.1342986598902021"/>
    <n v="82514.711519999997"/>
    <n v="39210.22"/>
    <n v="43304.491519999996"/>
    <n v="0.5248093427497933"/>
    <s v="High"/>
    <n v="82514.711519999997"/>
    <n v="43304.491519999996"/>
    <n v="9"/>
    <d v="2023-03-03T00:00:00"/>
    <d v="2023-03-31T00:00:00"/>
    <x v="0"/>
    <n v="37"/>
    <s v="False"/>
    <n v="82514.711519999997"/>
    <n v="56"/>
    <n v="99711.360000000001"/>
    <n v="56"/>
    <n v="959.39899999999989"/>
    <n v="45091.752999999997"/>
  </r>
  <r>
    <s v="ORD-2023-453699"/>
    <x v="83"/>
    <d v="2023-07-08T00:00:00"/>
    <n v="7"/>
    <s v="Q3-2023"/>
    <x v="2"/>
    <x v="8"/>
    <s v="Frankfurt"/>
    <s v="Small Business"/>
    <x v="0"/>
    <x v="8"/>
    <x v="0"/>
    <s v="LAP-4666"/>
    <n v="460.21"/>
    <n v="1139.1500000000001"/>
    <n v="0.115"/>
    <n v="0.115"/>
    <n v="14"/>
    <n v="1.4752830229677758"/>
    <n v="14114.068500000001"/>
    <n v="6442.94"/>
    <n v="7671.1285000000016"/>
    <n v="0.54350937151821255"/>
    <s v="High"/>
    <n v="14114.068500000001"/>
    <n v="7671.1285000000016"/>
    <n v="14"/>
    <d v="2023-03-03T00:00:00"/>
    <d v="2023-03-31T00:00:00"/>
    <x v="0"/>
    <n v="37"/>
    <s v="False"/>
    <n v="14114.068500000001"/>
    <n v="16"/>
    <n v="18226.400000000001"/>
    <n v="16"/>
    <n v="529.24149999999997"/>
    <n v="7409.3809999999994"/>
  </r>
  <r>
    <s v="ORD-2023-215819"/>
    <x v="83"/>
    <d v="2023-07-11T00:00:00"/>
    <n v="10"/>
    <s v="Q3-2023"/>
    <x v="2"/>
    <x v="2"/>
    <s v="Paris"/>
    <s v="Corporate"/>
    <x v="2"/>
    <x v="7"/>
    <x v="4"/>
    <s v="NET-6533"/>
    <n v="479.5"/>
    <n v="656.66"/>
    <n v="0.14899999999999999"/>
    <n v="0.14899999999999999"/>
    <n v="14"/>
    <n v="0.36946819603753905"/>
    <n v="7823.4472399999995"/>
    <n v="6713"/>
    <n v="1110.4472399999995"/>
    <n v="0.14193835606412289"/>
    <s v="Medium"/>
    <n v="7823.4472399999995"/>
    <n v="1110.4472399999995"/>
    <n v="8"/>
    <d v="2023-03-03T00:00:00"/>
    <d v="2023-03-31T00:00:00"/>
    <x v="1"/>
    <n v="83"/>
    <s v="False"/>
    <n v="7823.4472399999995"/>
    <n v="16"/>
    <n v="10506.56"/>
    <n v="16"/>
    <n v="551.42499999999995"/>
    <n v="7719.9499999999989"/>
  </r>
  <r>
    <s v="ORD-2023-920483"/>
    <x v="84"/>
    <d v="2023-08-01T00:00:00"/>
    <n v="30"/>
    <s v="Q3-2023"/>
    <x v="2"/>
    <x v="6"/>
    <s v="Birmingham"/>
    <s v="Small Business"/>
    <x v="3"/>
    <x v="0"/>
    <x v="6"/>
    <s v="CMP-7256"/>
    <n v="137.46"/>
    <n v="188.3"/>
    <n v="3.7999999999999999E-2"/>
    <n v="3.7999999999999999E-2"/>
    <n v="37"/>
    <n v="0.36985304815946457"/>
    <n v="6702.3501999999999"/>
    <n v="5086.0200000000004"/>
    <n v="1616.3301999999994"/>
    <n v="0.24115872071262398"/>
    <s v="Medium"/>
    <n v="6702.3501999999999"/>
    <n v="1616.3301999999994"/>
    <n v="13"/>
    <d v="2023-03-03T00:00:00"/>
    <d v="2023-03-31T00:00:00"/>
    <x v="1"/>
    <n v="84"/>
    <s v="False"/>
    <n v="6702.3501999999999"/>
    <n v="44"/>
    <n v="8285.2000000000007"/>
    <n v="44"/>
    <n v="158.07900000000001"/>
    <n v="5848.9230000000007"/>
  </r>
  <r>
    <s v="ORD-2023-497686"/>
    <x v="85"/>
    <d v="2023-07-23T00:00:00"/>
    <n v="20"/>
    <s v="Q3-2023"/>
    <x v="1"/>
    <x v="1"/>
    <s v="Johannesburg"/>
    <s v="Small Business"/>
    <x v="0"/>
    <x v="7"/>
    <x v="0"/>
    <s v="LAP-6342"/>
    <n v="1001.96"/>
    <n v="1254.95"/>
    <n v="4.4999999999999998E-2"/>
    <n v="4.4999999999999998E-2"/>
    <n v="18"/>
    <n v="0.25249510958521298"/>
    <n v="21572.590500000002"/>
    <n v="18035.28"/>
    <n v="3537.3105000000032"/>
    <n v="0.16397244920585699"/>
    <s v="Medium"/>
    <n v="21572.590499999998"/>
    <n v="3537.3104999999996"/>
    <n v="9"/>
    <d v="2023-03-03T00:00:00"/>
    <d v="2023-03-31T00:00:00"/>
    <x v="1"/>
    <n v="85"/>
    <s v="False"/>
    <n v="21572.590499999998"/>
    <n v="21"/>
    <n v="26353.95"/>
    <n v="21"/>
    <n v="1152.2539999999999"/>
    <n v="20740.572"/>
  </r>
  <r>
    <s v="ORD-2023-309373"/>
    <x v="86"/>
    <d v="2023-07-14T00:00:00"/>
    <n v="9"/>
    <s v="Q3-2023"/>
    <x v="0"/>
    <x v="9"/>
    <s v="Brasília"/>
    <s v="Enterprise"/>
    <x v="2"/>
    <x v="0"/>
    <x v="4"/>
    <s v="NET-2394"/>
    <n v="578.85"/>
    <n v="998.76"/>
    <n v="8.2000000000000003E-2"/>
    <n v="8.2000000000000003E-2"/>
    <n v="28"/>
    <n v="0.72542109354755113"/>
    <n v="25672.127039999999"/>
    <n v="16207.800000000001"/>
    <n v="9464.3270399999983"/>
    <n v="0.36866158480960831"/>
    <s v="Medium"/>
    <n v="25672.127039999999"/>
    <n v="9464.3270399999983"/>
    <n v="9"/>
    <d v="2023-03-03T00:00:00"/>
    <d v="2023-03-31T00:00:00"/>
    <x v="1"/>
    <n v="85"/>
    <s v="False"/>
    <n v="25672.127039999999"/>
    <n v="33"/>
    <n v="32959.08"/>
    <n v="33"/>
    <n v="665.67750000000001"/>
    <n v="18638.97"/>
  </r>
  <r>
    <s v="ORD-2023-621393"/>
    <x v="87"/>
    <d v="2023-07-13T00:00:00"/>
    <n v="6"/>
    <s v="Q3-2023"/>
    <x v="1"/>
    <x v="1"/>
    <s v="Cape Town"/>
    <s v="Small Business"/>
    <x v="4"/>
    <x v="0"/>
    <x v="3"/>
    <s v="ACC-9445"/>
    <n v="612.59"/>
    <n v="1424.74"/>
    <n v="4.3999999999999997E-2"/>
    <n v="4.3999999999999997E-2"/>
    <n v="15"/>
    <n v="1.3257643774792274"/>
    <n v="20430.771599999996"/>
    <n v="9188.85"/>
    <n v="11241.921599999996"/>
    <n v="0.55024459281802152"/>
    <s v="High"/>
    <n v="20430.7716"/>
    <n v="11241.9216"/>
    <n v="10"/>
    <d v="2023-03-03T00:00:00"/>
    <d v="2023-03-31T00:00:00"/>
    <x v="0"/>
    <n v="39"/>
    <s v="False"/>
    <n v="20430.7716"/>
    <n v="18"/>
    <n v="25645.32"/>
    <n v="18"/>
    <n v="704.47849999999994"/>
    <n v="10567.1775"/>
  </r>
  <r>
    <s v="ORD-2023-286720"/>
    <x v="88"/>
    <d v="2023-07-09T00:00:00"/>
    <n v="1"/>
    <s v="Q3-2023"/>
    <x v="1"/>
    <x v="7"/>
    <s v="Nairobi"/>
    <s v="Consumer"/>
    <x v="1"/>
    <x v="2"/>
    <x v="0"/>
    <s v="LAP-1989"/>
    <n v="1258.72"/>
    <n v="2797.41"/>
    <n v="0"/>
    <n v="0"/>
    <n v="7"/>
    <n v="1.2224243676115418"/>
    <n v="19581.87"/>
    <n v="8811.0400000000009"/>
    <n v="10770.829999999998"/>
    <n v="0.55004093071805704"/>
    <s v="High"/>
    <n v="19581.87"/>
    <n v="10770.829999999998"/>
    <n v="13"/>
    <d v="2023-03-03T00:00:00"/>
    <d v="2023-03-31T00:00:00"/>
    <x v="0"/>
    <n v="39"/>
    <s v="False"/>
    <n v="19581.87"/>
    <n v="8"/>
    <n v="22379.279999999999"/>
    <n v="8"/>
    <n v="1447.528"/>
    <n v="10132.696"/>
  </r>
  <r>
    <s v="ORD-2023-539967"/>
    <x v="89"/>
    <d v="2023-07-19T00:00:00"/>
    <n v="10"/>
    <s v="Q3-2023"/>
    <x v="3"/>
    <x v="11"/>
    <s v="Tokyo"/>
    <s v="Enterprise"/>
    <x v="0"/>
    <x v="8"/>
    <x v="6"/>
    <s v="CMP-6649"/>
    <n v="141.26"/>
    <n v="206.88"/>
    <n v="0.107"/>
    <n v="0.107"/>
    <n v="9"/>
    <n v="0.46453348435508995"/>
    <n v="1662.6945600000001"/>
    <n v="1271.3399999999999"/>
    <n v="391.35456000000022"/>
    <n v="0.23537369365062469"/>
    <s v="Medium"/>
    <n v="1662.6945600000001"/>
    <n v="391.35456000000022"/>
    <n v="8"/>
    <d v="2023-03-03T00:00:00"/>
    <d v="2023-03-31T00:00:00"/>
    <x v="1"/>
    <n v="87"/>
    <s v="False"/>
    <n v="1662.6945600000001"/>
    <n v="10"/>
    <n v="2068.8000000000002"/>
    <n v="10"/>
    <n v="162.44899999999998"/>
    <n v="1462.0409999999999"/>
  </r>
  <r>
    <s v="ORD-2023-292714"/>
    <x v="90"/>
    <d v="2023-08-01T00:00:00"/>
    <n v="22"/>
    <s v="Q3-2023"/>
    <x v="2"/>
    <x v="2"/>
    <s v="Marseille"/>
    <s v="Consumer"/>
    <x v="4"/>
    <x v="0"/>
    <x v="1"/>
    <s v="PRN-1504"/>
    <n v="1303.56"/>
    <n v="1791.37"/>
    <n v="0.126"/>
    <n v="0.126"/>
    <n v="22"/>
    <n v="0.37421369173647545"/>
    <n v="34444.462359999998"/>
    <n v="28678.32"/>
    <n v="5766.142359999998"/>
    <n v="0.16740404596055358"/>
    <s v="Medium"/>
    <n v="34444.462359999998"/>
    <n v="5766.142359999998"/>
    <n v="9"/>
    <d v="2023-03-03T00:00:00"/>
    <d v="2023-03-31T00:00:00"/>
    <x v="1"/>
    <n v="87"/>
    <s v="False"/>
    <n v="34444.462359999998"/>
    <n v="26"/>
    <n v="46575.619999999995"/>
    <n v="26"/>
    <n v="1499.0939999999998"/>
    <n v="32980.067999999999"/>
  </r>
  <r>
    <s v="ORD-2023-479747"/>
    <x v="91"/>
    <d v="2023-07-14T00:00:00"/>
    <n v="0"/>
    <s v="Q3-2023"/>
    <x v="1"/>
    <x v="5"/>
    <s v="Lagos"/>
    <s v="Education"/>
    <x v="3"/>
    <x v="12"/>
    <x v="3"/>
    <s v="ACC-5334"/>
    <n v="956.38"/>
    <n v="1454.22"/>
    <n v="3.9E-2"/>
    <n v="3.9E-2"/>
    <n v="19"/>
    <n v="0.52054622639536585"/>
    <n v="26552.60298"/>
    <n v="18171.22"/>
    <n v="8381.3829799999985"/>
    <n v="0.31565202802576603"/>
    <s v="Medium"/>
    <n v="26552.60298"/>
    <n v="8381.3829799999985"/>
    <n v="10"/>
    <d v="2023-03-03T00:00:00"/>
    <d v="2023-03-31T00:00:00"/>
    <x v="0"/>
    <n v="41"/>
    <s v="False"/>
    <n v="26552.60298"/>
    <n v="22"/>
    <n v="31992.84"/>
    <n v="22"/>
    <n v="1099.837"/>
    <n v="20896.902999999998"/>
  </r>
  <r>
    <s v="ORD-2023-825084"/>
    <x v="91"/>
    <d v="2023-07-21T00:00:00"/>
    <n v="7"/>
    <s v="Q3-2023"/>
    <x v="1"/>
    <x v="1"/>
    <s v="Durban"/>
    <s v="Enterprise"/>
    <x v="4"/>
    <x v="7"/>
    <x v="5"/>
    <s v="MON-1018"/>
    <n v="620.74"/>
    <n v="1330.07"/>
    <n v="0.29899999999999999"/>
    <n v="0.25"/>
    <n v="28"/>
    <n v="1.1427167574185648"/>
    <n v="26106.613960000002"/>
    <n v="17380.72"/>
    <n v="8725.8939600000012"/>
    <n v="0.33424073965967516"/>
    <s v="High"/>
    <n v="26106.613960000002"/>
    <n v="8725.8939600000012"/>
    <n v="11"/>
    <d v="2023-03-03T00:00:00"/>
    <d v="2023-03-31T00:00:00"/>
    <x v="0"/>
    <n v="41"/>
    <s v="True"/>
    <n v="27931.47"/>
    <n v="33"/>
    <n v="43892.31"/>
    <n v="33"/>
    <n v="713.851"/>
    <n v="19987.828000000001"/>
  </r>
  <r>
    <s v="ORD-2023-569862"/>
    <x v="92"/>
    <d v="2023-08-13T00:00:00"/>
    <n v="28"/>
    <s v="Q3-2023"/>
    <x v="2"/>
    <x v="6"/>
    <s v="Manchester"/>
    <s v="Non-Profit"/>
    <x v="1"/>
    <x v="13"/>
    <x v="0"/>
    <s v="LAP-1178"/>
    <n v="1039.03"/>
    <n v="2545.81"/>
    <n v="0.216"/>
    <n v="0.216"/>
    <n v="21"/>
    <n v="1.4501794943360635"/>
    <n v="41914.215840000004"/>
    <n v="21819.63"/>
    <n v="20094.585840000003"/>
    <n v="0.47942172929364774"/>
    <s v="High"/>
    <n v="41914.215840000004"/>
    <n v="20094.585840000003"/>
    <n v="14"/>
    <d v="2023-03-03T00:00:00"/>
    <d v="2023-03-31T00:00:00"/>
    <x v="1"/>
    <n v="88"/>
    <s v="True"/>
    <n v="41914.215840000004"/>
    <n v="25"/>
    <n v="63645.25"/>
    <n v="25"/>
    <n v="1194.8844999999999"/>
    <n v="25092.574499999999"/>
  </r>
  <r>
    <s v="ORD-2023-594700"/>
    <x v="93"/>
    <d v="2023-07-22T00:00:00"/>
    <n v="4"/>
    <s v="Q3-2023"/>
    <x v="0"/>
    <x v="9"/>
    <s v="São Paulo"/>
    <s v="Consumer"/>
    <x v="2"/>
    <x v="7"/>
    <x v="4"/>
    <s v="NET-1699"/>
    <n v="1269.55"/>
    <n v="2071.1"/>
    <n v="0.129"/>
    <n v="0.129"/>
    <n v="22"/>
    <n v="0.63136544444882048"/>
    <n v="39686.4182"/>
    <n v="27930.1"/>
    <n v="11756.318200000002"/>
    <n v="0.29623026549672354"/>
    <s v="Medium"/>
    <n v="39686.4182"/>
    <n v="11756.318200000002"/>
    <n v="10"/>
    <d v="2023-03-03T00:00:00"/>
    <d v="2023-03-31T00:00:00"/>
    <x v="0"/>
    <n v="42"/>
    <s v="False"/>
    <n v="39686.4182"/>
    <n v="26"/>
    <n v="53848.6"/>
    <n v="26"/>
    <n v="1459.9824999999998"/>
    <n v="32119.614999999998"/>
  </r>
  <r>
    <s v="ORD-2023-369150"/>
    <x v="93"/>
    <d v="2023-08-10T00:00:00"/>
    <n v="23"/>
    <s v="Q3-2023"/>
    <x v="1"/>
    <x v="1"/>
    <s v="Johannesburg"/>
    <s v="Small Business"/>
    <x v="3"/>
    <x v="9"/>
    <x v="6"/>
    <s v="CMP-8659"/>
    <n v="1271.56"/>
    <n v="2047.2115999999999"/>
    <n v="0.192"/>
    <n v="0.192"/>
    <n v="13"/>
    <n v="0.61"/>
    <n v="21503.9106464"/>
    <n v="16530.28"/>
    <n v="4973.6306464000008"/>
    <n v="0.23128958858618787"/>
    <s v="Medium"/>
    <n v="21503.9106464"/>
    <n v="4973.6306464000008"/>
    <n v="12"/>
    <d v="2023-03-03T00:00:00"/>
    <d v="2023-03-31T00:00:00"/>
    <x v="1"/>
    <n v="90"/>
    <s v="False"/>
    <n v="21503.9106464"/>
    <n v="15"/>
    <n v="30708.173999999999"/>
    <n v="15"/>
    <n v="1462.2939999999999"/>
    <n v="19009.822"/>
  </r>
  <r>
    <s v="ORD-2023-825836"/>
    <x v="94"/>
    <d v="2023-07-31T00:00:00"/>
    <n v="12"/>
    <s v="Q3-2023"/>
    <x v="0"/>
    <x v="9"/>
    <s v="Rio de Janeiro"/>
    <s v="Corporate"/>
    <x v="3"/>
    <x v="11"/>
    <x v="5"/>
    <s v="MON-7869"/>
    <n v="1334.64"/>
    <n v="2273.42"/>
    <n v="0.11799999999999999"/>
    <n v="0.11799999999999999"/>
    <n v="14"/>
    <n v="0.70339567224120358"/>
    <n v="28072.190160000002"/>
    <n v="18684.960000000003"/>
    <n v="9387.2301599999992"/>
    <n v="0.33439607335575267"/>
    <s v="Medium"/>
    <n v="28072.190159999998"/>
    <n v="9387.2301599999955"/>
    <n v="11"/>
    <d v="2023-03-03T00:00:00"/>
    <d v="2023-03-31T00:00:00"/>
    <x v="1"/>
    <n v="90"/>
    <s v="False"/>
    <n v="28072.190159999998"/>
    <n v="16"/>
    <n v="36374.720000000001"/>
    <n v="16"/>
    <n v="1534.836"/>
    <n v="21487.704000000002"/>
  </r>
  <r>
    <s v="ORD-2023-109927"/>
    <x v="95"/>
    <d v="2023-07-22T00:00:00"/>
    <n v="1"/>
    <s v="Q3-2023"/>
    <x v="3"/>
    <x v="10"/>
    <s v="Delhi"/>
    <s v="Small Business"/>
    <x v="0"/>
    <x v="14"/>
    <x v="1"/>
    <s v="PRN-2301"/>
    <n v="946.99"/>
    <n v="2132.19"/>
    <n v="0.16500000000000001"/>
    <n v="0.16500000000000001"/>
    <n v="7"/>
    <n v="1.251544366888774"/>
    <n v="12462.65055"/>
    <n v="6628.93"/>
    <n v="5833.72055"/>
    <n v="0.46809629513362228"/>
    <s v="High"/>
    <n v="12462.650549999998"/>
    <n v="5833.7205499999982"/>
    <n v="11"/>
    <d v="2023-03-03T00:00:00"/>
    <d v="2023-03-31T00:00:00"/>
    <x v="0"/>
    <n v="43"/>
    <s v="False"/>
    <n v="12462.650549999998"/>
    <n v="8"/>
    <n v="17057.52"/>
    <n v="8"/>
    <n v="1089.0384999999999"/>
    <n v="7623.2694999999994"/>
  </r>
  <r>
    <s v="ORD-2023-261081"/>
    <x v="96"/>
    <d v="2023-08-19T00:00:00"/>
    <n v="26"/>
    <s v="Q3-2023"/>
    <x v="1"/>
    <x v="7"/>
    <s v="Nairobi"/>
    <s v="Enterprise"/>
    <x v="0"/>
    <x v="3"/>
    <x v="3"/>
    <s v="ACC-1238"/>
    <n v="661.45"/>
    <n v="1634.86"/>
    <n v="0.16"/>
    <n v="0.16"/>
    <n v="24"/>
    <n v="1.4716305087308184"/>
    <n v="32958.777600000001"/>
    <n v="15874.800000000001"/>
    <n v="17083.977599999998"/>
    <n v="0.51834378711909501"/>
    <s v="High"/>
    <n v="32958.777599999994"/>
    <n v="17083.977599999991"/>
    <n v="14"/>
    <d v="2023-03-03T00:00:00"/>
    <d v="2023-03-31T00:00:00"/>
    <x v="1"/>
    <n v="92"/>
    <s v="False"/>
    <n v="32958.777599999994"/>
    <n v="28"/>
    <n v="45776.079999999994"/>
    <n v="28"/>
    <n v="760.66750000000002"/>
    <n v="18256.02"/>
  </r>
  <r>
    <s v="ORD-2023-369160"/>
    <x v="96"/>
    <d v="2023-08-13T00:00:00"/>
    <n v="20"/>
    <s v="Q3-2023"/>
    <x v="0"/>
    <x v="0"/>
    <s v="Montreal"/>
    <s v="Education"/>
    <x v="2"/>
    <x v="11"/>
    <x v="5"/>
    <s v="MON-3307"/>
    <n v="1082.3800000000001"/>
    <n v="1766.55"/>
    <n v="0.16400000000000001"/>
    <n v="0.16400000000000001"/>
    <n v="20"/>
    <n v="0.63209778451190879"/>
    <n v="29536.716"/>
    <n v="21647.600000000002"/>
    <n v="7889.1159999999982"/>
    <n v="0.26709523157550752"/>
    <s v="Medium"/>
    <n v="29536.715999999997"/>
    <n v="7889.1159999999945"/>
    <n v="9"/>
    <d v="2023-03-03T00:00:00"/>
    <d v="2023-03-31T00:00:00"/>
    <x v="1"/>
    <n v="93"/>
    <s v="False"/>
    <n v="29536.715999999997"/>
    <n v="24"/>
    <n v="42397.2"/>
    <n v="24"/>
    <n v="1244.7370000000001"/>
    <n v="24894.74"/>
  </r>
  <r>
    <s v="ORD-2023-660608"/>
    <x v="97"/>
    <d v="2023-08-10T00:00:00"/>
    <n v="16"/>
    <s v="Q3-2023"/>
    <x v="1"/>
    <x v="5"/>
    <s v="Port Harcourt"/>
    <s v="Corporate"/>
    <x v="0"/>
    <x v="12"/>
    <x v="3"/>
    <s v="ACC-8178"/>
    <n v="506.83"/>
    <n v="952.84039999999993"/>
    <n v="0.24"/>
    <n v="0.24"/>
    <n v="9"/>
    <n v="0.87999999999999989"/>
    <n v="6517.4283359999999"/>
    <n v="4561.47"/>
    <n v="1955.9583359999997"/>
    <n v="0.30011198208286671"/>
    <s v="High"/>
    <n v="6517.428335999999"/>
    <n v="1955.9583359999988"/>
    <n v="11"/>
    <d v="2023-03-03T00:00:00"/>
    <d v="2023-03-31T00:00:00"/>
    <x v="1"/>
    <n v="94"/>
    <s v="True"/>
    <n v="6517.428335999999"/>
    <n v="10"/>
    <n v="9528.4039999999986"/>
    <n v="10"/>
    <n v="582.85449999999992"/>
    <n v="5245.6904999999988"/>
  </r>
  <r>
    <s v="ORD-2023-912395"/>
    <x v="98"/>
    <d v="2023-08-25T00:00:00"/>
    <n v="30"/>
    <s v="Q3-2023"/>
    <x v="0"/>
    <x v="4"/>
    <s v="New York"/>
    <s v="Consumer"/>
    <x v="3"/>
    <x v="3"/>
    <x v="3"/>
    <s v="ACC-7078"/>
    <n v="1261.48"/>
    <n v="1643.18"/>
    <n v="0.151"/>
    <n v="0.151"/>
    <n v="23"/>
    <n v="0.30258109522148591"/>
    <n v="32086.37586"/>
    <n v="29014.04"/>
    <n v="3072.3358599999992"/>
    <n v="9.5752037357079045E-2"/>
    <s v="Medium"/>
    <n v="32086.37586"/>
    <n v="3072.3358599999992"/>
    <n v="14"/>
    <d v="2023-03-03T00:00:00"/>
    <d v="2023-03-31T00:00:00"/>
    <x v="1"/>
    <n v="95"/>
    <s v="False"/>
    <n v="32086.37586"/>
    <n v="27"/>
    <n v="44365.86"/>
    <n v="27"/>
    <n v="1450.702"/>
    <n v="33366.146000000001"/>
  </r>
  <r>
    <s v="ORD-2023-290237"/>
    <x v="99"/>
    <d v="2023-08-07T00:00:00"/>
    <n v="8"/>
    <s v="Q3-2023"/>
    <x v="3"/>
    <x v="11"/>
    <s v="Nagoya"/>
    <s v="Education"/>
    <x v="4"/>
    <x v="1"/>
    <x v="4"/>
    <s v="NET-1645"/>
    <n v="1352.44"/>
    <n v="2698.01"/>
    <n v="0.13100000000000001"/>
    <n v="0.13100000000000001"/>
    <n v="13"/>
    <n v="0.99492029221259359"/>
    <n v="30479.418970000002"/>
    <n v="17581.72"/>
    <n v="12897.698970000001"/>
    <n v="0.42316091992090887"/>
    <s v="High"/>
    <n v="30479.418969999999"/>
    <n v="12897.698969999998"/>
    <n v="9"/>
    <d v="2023-03-03T00:00:00"/>
    <d v="2023-03-31T00:00:00"/>
    <x v="1"/>
    <n v="96"/>
    <s v="False"/>
    <n v="30479.418969999999"/>
    <n v="15"/>
    <n v="40470.15"/>
    <n v="15"/>
    <n v="1555.306"/>
    <n v="20218.977999999999"/>
  </r>
  <r>
    <s v="ORD-2023-451931"/>
    <x v="99"/>
    <d v="2023-08-19T00:00:00"/>
    <n v="20"/>
    <s v="Q3-2023"/>
    <x v="2"/>
    <x v="2"/>
    <s v="Paris"/>
    <s v="Enterprise"/>
    <x v="4"/>
    <x v="6"/>
    <x v="4"/>
    <s v="NET-5423"/>
    <n v="1418.51"/>
    <n v="2789.61"/>
    <n v="0.17100000000000001"/>
    <n v="0.17100000000000001"/>
    <n v="8"/>
    <n v="0.96657760607961885"/>
    <n v="18500.693520000001"/>
    <n v="11348.08"/>
    <n v="7152.6135200000008"/>
    <n v="0.38661326464695689"/>
    <s v="High"/>
    <n v="18500.693520000001"/>
    <n v="7152.6135200000008"/>
    <n v="10"/>
    <d v="2023-03-03T00:00:00"/>
    <d v="2023-03-31T00:00:00"/>
    <x v="1"/>
    <n v="96"/>
    <s v="False"/>
    <n v="18500.693520000001"/>
    <n v="9"/>
    <n v="25106.49"/>
    <n v="9"/>
    <n v="1631.2864999999999"/>
    <n v="13050.291999999999"/>
  </r>
  <r>
    <s v="ORD-2023-885216"/>
    <x v="100"/>
    <d v="2023-08-03T00:00:00"/>
    <n v="1"/>
    <s v="Q3-2023"/>
    <x v="3"/>
    <x v="3"/>
    <s v="Shanghai"/>
    <s v="Non-Profit"/>
    <x v="2"/>
    <x v="13"/>
    <x v="4"/>
    <s v="NET-4735"/>
    <n v="1021.97"/>
    <n v="2296.25"/>
    <n v="0.161"/>
    <n v="0.161"/>
    <n v="26"/>
    <n v="1.2468859164163331"/>
    <n v="50090.397499999999"/>
    <n v="26571.22"/>
    <n v="23519.177499999998"/>
    <n v="0.46953465482081669"/>
    <s v="High"/>
    <n v="50090.397499999999"/>
    <n v="23519.177499999998"/>
    <n v="11"/>
    <d v="2023-03-03T00:00:00"/>
    <d v="2023-03-31T00:00:00"/>
    <x v="0"/>
    <n v="44"/>
    <s v="False"/>
    <n v="50090.397499999999"/>
    <n v="31"/>
    <n v="71183.75"/>
    <n v="31"/>
    <n v="1175.2655"/>
    <n v="30556.902999999998"/>
  </r>
  <r>
    <s v="ORD-2023-713614"/>
    <x v="100"/>
    <d v="2023-08-19T00:00:00"/>
    <n v="17"/>
    <s v="Q3-2023"/>
    <x v="0"/>
    <x v="0"/>
    <s v="Vancouver"/>
    <s v="Corporate"/>
    <x v="1"/>
    <x v="7"/>
    <x v="4"/>
    <s v="NET-3689"/>
    <n v="175.38"/>
    <n v="347.9"/>
    <n v="7.1999999999999995E-2"/>
    <n v="7.1999999999999995E-2"/>
    <n v="43"/>
    <n v="0.98369255331280636"/>
    <n v="13882.6016"/>
    <n v="7541.34"/>
    <n v="6341.2615999999998"/>
    <n v="0.45677761148169804"/>
    <s v="High"/>
    <n v="13882.6016"/>
    <n v="6341.2615999999998"/>
    <n v="10"/>
    <d v="2023-03-03T00:00:00"/>
    <d v="2023-03-31T00:00:00"/>
    <x v="1"/>
    <n v="98"/>
    <s v="False"/>
    <n v="13882.6016"/>
    <n v="51"/>
    <n v="17742.899999999998"/>
    <n v="51"/>
    <n v="201.68699999999998"/>
    <n v="8672.5409999999993"/>
  </r>
  <r>
    <s v="ORD-2023-253245"/>
    <x v="101"/>
    <d v="2023-08-14T00:00:00"/>
    <n v="11"/>
    <s v="Q3-2023"/>
    <x v="0"/>
    <x v="9"/>
    <s v="Brasília"/>
    <s v="Corporate"/>
    <x v="2"/>
    <x v="13"/>
    <x v="3"/>
    <s v="ACC-3951"/>
    <n v="232.73"/>
    <n v="334.19"/>
    <n v="0.13400000000000001"/>
    <n v="0.13400000000000001"/>
    <n v="25"/>
    <n v="0.43595582864263316"/>
    <n v="7235.2134999999998"/>
    <n v="5818.25"/>
    <n v="1416.9634999999998"/>
    <n v="0.1958426658729559"/>
    <s v="Medium"/>
    <n v="7235.2135000000007"/>
    <n v="1416.9635000000007"/>
    <n v="12"/>
    <d v="2023-03-03T00:00:00"/>
    <d v="2023-03-31T00:00:00"/>
    <x v="1"/>
    <n v="99"/>
    <s v="False"/>
    <n v="7235.2135000000007"/>
    <n v="30"/>
    <n v="10025.700000000001"/>
    <n v="30"/>
    <n v="267.63949999999994"/>
    <n v="6690.9874999999984"/>
  </r>
  <r>
    <s v="ORD-2023-548934"/>
    <x v="101"/>
    <d v="2023-08-30T00:00:00"/>
    <n v="27"/>
    <s v="Q3-2023"/>
    <x v="3"/>
    <x v="3"/>
    <s v="Shanghai"/>
    <s v="Consumer"/>
    <x v="0"/>
    <x v="8"/>
    <x v="5"/>
    <s v="MON-3773"/>
    <n v="226.04"/>
    <n v="545.72"/>
    <n v="0.151"/>
    <n v="0.151"/>
    <n v="11"/>
    <n v="1.4142629623075564"/>
    <n v="5096.4790800000001"/>
    <n v="2486.44"/>
    <n v="2610.03908"/>
    <n v="0.51212592831834014"/>
    <s v="High"/>
    <n v="5096.4790800000001"/>
    <n v="2610.03908"/>
    <n v="12"/>
    <d v="2023-03-03T00:00:00"/>
    <d v="2023-03-31T00:00:00"/>
    <x v="1"/>
    <n v="100"/>
    <s v="False"/>
    <n v="5096.4790800000001"/>
    <n v="13"/>
    <n v="7094.3600000000006"/>
    <n v="13"/>
    <n v="259.94599999999997"/>
    <n v="2859.4059999999995"/>
  </r>
  <r>
    <s v="ORD-2023-630430"/>
    <x v="102"/>
    <d v="2023-08-24T00:00:00"/>
    <n v="20"/>
    <s v="Q3-2023"/>
    <x v="0"/>
    <x v="9"/>
    <s v="Brasília"/>
    <s v="Non-Profit"/>
    <x v="2"/>
    <x v="11"/>
    <x v="4"/>
    <s v="NET-9125"/>
    <n v="582.88"/>
    <n v="1044.1400000000001"/>
    <n v="0.216"/>
    <n v="0.216"/>
    <n v="10"/>
    <n v="0.79134641778753789"/>
    <n v="8186.057600000001"/>
    <n v="5828.8"/>
    <n v="2357.2576000000008"/>
    <n v="0.28796005539956138"/>
    <s v="High"/>
    <n v="8186.0576000000019"/>
    <n v="2357.2576000000017"/>
    <n v="13"/>
    <d v="2023-03-03T00:00:00"/>
    <d v="2023-03-31T00:00:00"/>
    <x v="1"/>
    <n v="101"/>
    <s v="True"/>
    <n v="8186.0576000000019"/>
    <n v="12"/>
    <n v="12529.68"/>
    <n v="12"/>
    <n v="670.3119999999999"/>
    <n v="6703.119999999999"/>
  </r>
  <r>
    <s v="ORD-2023-197661"/>
    <x v="103"/>
    <d v="2023-08-22T00:00:00"/>
    <n v="14"/>
    <s v="Q3-2023"/>
    <x v="2"/>
    <x v="6"/>
    <s v="Birmingham"/>
    <s v="Non-Profit"/>
    <x v="2"/>
    <x v="8"/>
    <x v="5"/>
    <s v="MON-7511"/>
    <n v="446.69"/>
    <n v="967.25"/>
    <n v="9.4E-2"/>
    <n v="9.4E-2"/>
    <n v="10"/>
    <n v="1.1653719581812889"/>
    <n v="8763.2849999999999"/>
    <n v="4466.8999999999996"/>
    <n v="4296.3850000000002"/>
    <n v="0.49027105702941309"/>
    <s v="High"/>
    <n v="8763.2849999999999"/>
    <n v="4296.3850000000002"/>
    <n v="15"/>
    <d v="2023-03-03T00:00:00"/>
    <d v="2023-03-31T00:00:00"/>
    <x v="1"/>
    <n v="101"/>
    <s v="False"/>
    <n v="8763.2849999999999"/>
    <n v="12"/>
    <n v="11607"/>
    <n v="12"/>
    <n v="513.69349999999997"/>
    <n v="5136.9349999999995"/>
  </r>
  <r>
    <s v="ORD-2023-867175"/>
    <x v="104"/>
    <d v="2023-08-15T00:00:00"/>
    <n v="5"/>
    <s v="Q3-2023"/>
    <x v="0"/>
    <x v="9"/>
    <s v="São Paulo"/>
    <s v="Education"/>
    <x v="2"/>
    <x v="6"/>
    <x v="4"/>
    <s v="NET-2894"/>
    <n v="1307.52"/>
    <n v="1921.65"/>
    <n v="0.123"/>
    <n v="0.123"/>
    <n v="13"/>
    <n v="0.46969071218795899"/>
    <n v="21908.731650000002"/>
    <n v="16997.759999999998"/>
    <n v="4910.9716500000031"/>
    <n v="0.22415590863289445"/>
    <s v="Medium"/>
    <n v="21908.731650000002"/>
    <n v="4910.9716500000031"/>
    <n v="14"/>
    <d v="2023-03-03T00:00:00"/>
    <d v="2023-03-31T00:00:00"/>
    <x v="0"/>
    <n v="45"/>
    <s v="False"/>
    <n v="21908.731650000002"/>
    <n v="15"/>
    <n v="28824.75"/>
    <n v="15"/>
    <n v="1503.6479999999999"/>
    <n v="19547.423999999999"/>
  </r>
  <r>
    <s v="ORD-2023-883066"/>
    <x v="105"/>
    <d v="2023-09-06T00:00:00"/>
    <n v="25"/>
    <s v="Q3-2023"/>
    <x v="3"/>
    <x v="3"/>
    <s v="Shanghai"/>
    <s v="Small Business"/>
    <x v="3"/>
    <x v="0"/>
    <x v="6"/>
    <s v="CMP-6352"/>
    <n v="950.77"/>
    <n v="1682.8629000000001"/>
    <n v="8.4000000000000005E-2"/>
    <n v="8.4000000000000005E-2"/>
    <n v="14"/>
    <n v="0.77000000000000013"/>
    <n v="21581.033829600001"/>
    <n v="13310.779999999999"/>
    <n v="8270.2538296000021"/>
    <n v="0.38321861199516449"/>
    <s v="High"/>
    <n v="21581.033829600001"/>
    <n v="8270.2538296000021"/>
    <n v="13"/>
    <d v="2023-03-03T00:00:00"/>
    <d v="2023-03-31T00:00:00"/>
    <x v="1"/>
    <n v="103"/>
    <s v="False"/>
    <n v="21581.033829600001"/>
    <n v="16"/>
    <n v="26925.806400000001"/>
    <n v="16"/>
    <n v="1093.3854999999999"/>
    <n v="15307.396999999997"/>
  </r>
  <r>
    <s v="ORD-2023-133848"/>
    <x v="106"/>
    <d v="2023-09-07T00:00:00"/>
    <n v="23"/>
    <s v="Q3-2023"/>
    <x v="0"/>
    <x v="4"/>
    <s v="New York"/>
    <s v="Enterprise"/>
    <x v="1"/>
    <x v="10"/>
    <x v="2"/>
    <s v="PHN-2013"/>
    <n v="590.33000000000004"/>
    <n v="973.04"/>
    <n v="0"/>
    <n v="0"/>
    <n v="26"/>
    <n v="0.64829840936425376"/>
    <n v="25299.040000000001"/>
    <n v="15348.580000000002"/>
    <n v="9950.4599999999991"/>
    <n v="0.39331373838691108"/>
    <s v="Medium"/>
    <n v="25299.040000000001"/>
    <n v="9950.4599999999991"/>
    <n v="15"/>
    <d v="2023-03-03T00:00:00"/>
    <d v="2023-03-31T00:00:00"/>
    <x v="1"/>
    <n v="104"/>
    <s v="False"/>
    <n v="25299.040000000001"/>
    <n v="31"/>
    <n v="30164.239999999998"/>
    <n v="31"/>
    <n v="678.87950000000001"/>
    <n v="17650.866999999998"/>
  </r>
  <r>
    <s v="ORD-2023-274037"/>
    <x v="106"/>
    <d v="2023-08-25T00:00:00"/>
    <n v="10"/>
    <s v="Q3-2023"/>
    <x v="1"/>
    <x v="7"/>
    <s v="Nairobi"/>
    <s v="Small Business"/>
    <x v="3"/>
    <x v="8"/>
    <x v="2"/>
    <s v="PHN-1234"/>
    <n v="91.85"/>
    <n v="111.29"/>
    <n v="0"/>
    <n v="0"/>
    <n v="6"/>
    <n v="0.21164942841589562"/>
    <n v="667.74"/>
    <n v="551.09999999999991"/>
    <n v="116.6400000000001"/>
    <n v="0.17467876718483258"/>
    <s v="Low"/>
    <n v="667.74"/>
    <n v="116.6400000000001"/>
    <n v="15"/>
    <d v="2023-03-03T00:00:00"/>
    <d v="2023-03-31T00:00:00"/>
    <x v="1"/>
    <n v="105"/>
    <s v="False"/>
    <n v="667.74"/>
    <n v="7"/>
    <n v="779.03000000000009"/>
    <n v="7"/>
    <n v="105.62749999999998"/>
    <n v="633.76499999999987"/>
  </r>
  <r>
    <s v="ORD-2023-525643"/>
    <x v="107"/>
    <d v="2023-09-03T00:00:00"/>
    <n v="17"/>
    <s v="Q3-2023"/>
    <x v="1"/>
    <x v="1"/>
    <s v="Durban"/>
    <s v="Enterprise"/>
    <x v="3"/>
    <x v="1"/>
    <x v="2"/>
    <s v="PHN-8072"/>
    <n v="676.37"/>
    <n v="1276.67"/>
    <n v="6.6000000000000003E-2"/>
    <n v="6.6000000000000003E-2"/>
    <n v="10"/>
    <n v="0.88753197214542345"/>
    <n v="11924.0978"/>
    <n v="6763.7"/>
    <n v="5160.3977999999997"/>
    <n v="0.4327705027712872"/>
    <s v="High"/>
    <n v="11924.0978"/>
    <n v="5160.3977999999997"/>
    <n v="13"/>
    <d v="2023-03-03T00:00:00"/>
    <d v="2023-03-31T00:00:00"/>
    <x v="1"/>
    <n v="106"/>
    <s v="False"/>
    <n v="11924.0978"/>
    <n v="12"/>
    <n v="15320.04"/>
    <n v="12"/>
    <n v="777.82549999999992"/>
    <n v="7778.2549999999992"/>
  </r>
  <r>
    <s v="ORD-2023-343322"/>
    <x v="108"/>
    <d v="2023-09-12T00:00:00"/>
    <n v="24"/>
    <s v="Q3-2023"/>
    <x v="0"/>
    <x v="0"/>
    <s v="Vancouver"/>
    <s v="Enterprise"/>
    <x v="3"/>
    <x v="12"/>
    <x v="1"/>
    <s v="PRN-9669"/>
    <n v="1183.95"/>
    <n v="1503.53"/>
    <n v="0.24099999999999999"/>
    <n v="0.24099999999999999"/>
    <n v="16"/>
    <n v="0.26992693948224156"/>
    <n v="18258.868320000001"/>
    <n v="18943.2"/>
    <n v="-684.33167999999932"/>
    <n v="-3.7479413729623705E-2"/>
    <s v="Medium"/>
    <n v="18258.868320000001"/>
    <n v="-684.33167999999932"/>
    <n v="11"/>
    <d v="2023-03-03T00:00:00"/>
    <d v="2023-03-31T00:00:00"/>
    <x v="1"/>
    <n v="106"/>
    <s v="True"/>
    <n v="18258.868320000001"/>
    <n v="19"/>
    <n v="28567.07"/>
    <n v="19"/>
    <n v="1361.5425"/>
    <n v="21784.68"/>
  </r>
  <r>
    <s v="ORD-2023-334213"/>
    <x v="108"/>
    <d v="2023-08-23T00:00:00"/>
    <n v="4"/>
    <s v="Q3-2023"/>
    <x v="1"/>
    <x v="5"/>
    <s v="Abuja"/>
    <s v="Small Business"/>
    <x v="1"/>
    <x v="13"/>
    <x v="5"/>
    <s v="MON-5517"/>
    <n v="790.63"/>
    <n v="1382.31"/>
    <n v="0.10100000000000001"/>
    <n v="0.10100000000000001"/>
    <n v="7"/>
    <n v="0.74836522772978509"/>
    <n v="8698.8768300000011"/>
    <n v="5534.41"/>
    <n v="3164.4668300000012"/>
    <n v="0.36377878338116448"/>
    <s v="Medium"/>
    <n v="8698.8768299999992"/>
    <n v="3164.4668299999994"/>
    <n v="12"/>
    <d v="2023-03-03T00:00:00"/>
    <d v="2023-03-31T00:00:00"/>
    <x v="0"/>
    <n v="46"/>
    <s v="False"/>
    <n v="8698.8768299999992"/>
    <n v="8"/>
    <n v="11058.48"/>
    <n v="8"/>
    <n v="909.22449999999992"/>
    <n v="6364.5714999999991"/>
  </r>
  <r>
    <s v="ORD-2023-749324"/>
    <x v="108"/>
    <d v="2023-09-07T00:00:00"/>
    <n v="19"/>
    <s v="Q3-2023"/>
    <x v="1"/>
    <x v="1"/>
    <s v="Johannesburg"/>
    <s v="Enterprise"/>
    <x v="3"/>
    <x v="2"/>
    <x v="5"/>
    <s v="MON-2296"/>
    <n v="494.61"/>
    <n v="605.23"/>
    <n v="0.20399999999999999"/>
    <n v="0.20399999999999999"/>
    <n v="18"/>
    <n v="0.22365095731990861"/>
    <n v="8671.7354400000004"/>
    <n v="8902.98"/>
    <n v="-231.24455999999918"/>
    <n v="-2.6666468505639647E-2"/>
    <s v="Low"/>
    <n v="8671.7354400000004"/>
    <n v="-231.24455999999918"/>
    <n v="14"/>
    <d v="2023-03-03T00:00:00"/>
    <d v="2023-03-31T00:00:00"/>
    <x v="1"/>
    <n v="108"/>
    <s v="True"/>
    <n v="8671.7354400000004"/>
    <n v="21"/>
    <n v="12709.83"/>
    <n v="21"/>
    <n v="568.80149999999992"/>
    <n v="10238.426999999998"/>
  </r>
  <r>
    <s v="ORD-2023-603238"/>
    <x v="109"/>
    <d v="2023-09-04T00:00:00"/>
    <n v="14"/>
    <s v="Q3-2023"/>
    <x v="0"/>
    <x v="0"/>
    <s v="Montreal"/>
    <s v="Education"/>
    <x v="0"/>
    <x v="7"/>
    <x v="6"/>
    <s v="CMP-2136"/>
    <n v="178.19"/>
    <n v="284.43"/>
    <n v="8.8999999999999996E-2"/>
    <n v="8.8999999999999996E-2"/>
    <n v="8"/>
    <n v="0.59621752062405309"/>
    <n v="2072.9258400000003"/>
    <n v="1425.52"/>
    <n v="647.40584000000035"/>
    <n v="0.31231500302972742"/>
    <s v="Medium"/>
    <n v="2072.9258400000003"/>
    <n v="647.40584000000035"/>
    <n v="12"/>
    <d v="2023-03-03T00:00:00"/>
    <d v="2023-03-31T00:00:00"/>
    <x v="1"/>
    <n v="109"/>
    <s v="False"/>
    <n v="2072.9258400000003"/>
    <n v="9"/>
    <n v="2559.87"/>
    <n v="9"/>
    <n v="204.91849999999999"/>
    <n v="1639.348"/>
  </r>
  <r>
    <s v="ORD-2023-375011"/>
    <x v="110"/>
    <d v="2023-09-22T00:00:00"/>
    <n v="30"/>
    <s v="Q3-2023"/>
    <x v="2"/>
    <x v="6"/>
    <s v="London"/>
    <s v="Consumer"/>
    <x v="0"/>
    <x v="5"/>
    <x v="3"/>
    <s v="ACC-1492"/>
    <n v="209.81"/>
    <n v="523"/>
    <n v="5.8999999999999997E-2"/>
    <n v="5.8999999999999997E-2"/>
    <n v="15"/>
    <n v="1.492731518993375"/>
    <n v="7382.1450000000004"/>
    <n v="3147.15"/>
    <n v="4234.9950000000008"/>
    <n v="0.57368082041195356"/>
    <s v="High"/>
    <n v="7382.1450000000004"/>
    <n v="4234.9950000000008"/>
    <n v="16"/>
    <d v="2023-03-03T00:00:00"/>
    <d v="2023-03-31T00:00:00"/>
    <x v="1"/>
    <n v="110"/>
    <s v="False"/>
    <n v="7382.1450000000004"/>
    <n v="18"/>
    <n v="9414"/>
    <n v="18"/>
    <n v="241.28149999999999"/>
    <n v="3619.2224999999999"/>
  </r>
  <r>
    <s v="ORD-2023-640022"/>
    <x v="111"/>
    <d v="2023-09-20T00:00:00"/>
    <n v="27"/>
    <s v="Q3-2023"/>
    <x v="1"/>
    <x v="1"/>
    <s v="Durban"/>
    <s v="Small Business"/>
    <x v="4"/>
    <x v="3"/>
    <x v="1"/>
    <s v="PRN-4732"/>
    <n v="1399.64"/>
    <n v="3342.11"/>
    <n v="0"/>
    <n v="0"/>
    <n v="10"/>
    <n v="1.3878354433997313"/>
    <n v="33421.1"/>
    <n v="13996.400000000001"/>
    <n v="19424.699999999997"/>
    <n v="0.58121067229983447"/>
    <s v="High"/>
    <n v="33421.1"/>
    <n v="19424.699999999997"/>
    <n v="15"/>
    <d v="2023-03-03T00:00:00"/>
    <d v="2023-03-31T00:00:00"/>
    <x v="1"/>
    <n v="111"/>
    <s v="False"/>
    <n v="33421.1"/>
    <n v="12"/>
    <n v="40105.32"/>
    <n v="12"/>
    <n v="1609.586"/>
    <n v="16095.86"/>
  </r>
  <r>
    <s v="ORD-2023-732585"/>
    <x v="112"/>
    <d v="2023-09-16T00:00:00"/>
    <n v="22"/>
    <s v="Q3-2023"/>
    <x v="1"/>
    <x v="5"/>
    <s v="Abuja"/>
    <s v="Corporate"/>
    <x v="4"/>
    <x v="9"/>
    <x v="2"/>
    <s v="PHN-3971"/>
    <n v="1196.83"/>
    <n v="2513.5100000000002"/>
    <n v="8.3000000000000004E-2"/>
    <n v="8.3000000000000004E-2"/>
    <n v="7"/>
    <n v="1.1001395352723446"/>
    <n v="16134.22069"/>
    <n v="8377.81"/>
    <n v="7756.4106900000006"/>
    <n v="0.48074281609445374"/>
    <s v="High"/>
    <n v="16134.220690000002"/>
    <n v="7756.4106900000024"/>
    <n v="13"/>
    <d v="2023-03-03T00:00:00"/>
    <d v="2023-03-31T00:00:00"/>
    <x v="1"/>
    <n v="112"/>
    <s v="False"/>
    <n v="16134.220690000002"/>
    <n v="8"/>
    <n v="20108.080000000002"/>
    <n v="8"/>
    <n v="1376.3544999999999"/>
    <n v="9634.4814999999999"/>
  </r>
  <r>
    <s v="ORD-2023-713375"/>
    <x v="113"/>
    <d v="2023-09-10T00:00:00"/>
    <n v="15"/>
    <s v="Q3-2023"/>
    <x v="1"/>
    <x v="1"/>
    <s v="Cape Town"/>
    <s v="Non-Profit"/>
    <x v="2"/>
    <x v="8"/>
    <x v="6"/>
    <s v="CMP-7063"/>
    <n v="241.14"/>
    <n v="496.52"/>
    <n v="9.2999999999999999E-2"/>
    <n v="9.2999999999999999E-2"/>
    <n v="10"/>
    <n v="1.0590528323795305"/>
    <n v="4503.4363999999996"/>
    <n v="2411.3999999999996"/>
    <n v="2092.0364"/>
    <n v="0.46454223268257994"/>
    <s v="High"/>
    <n v="4503.4363999999996"/>
    <n v="2092.0364"/>
    <n v="16"/>
    <d v="2023-03-03T00:00:00"/>
    <d v="2023-03-31T00:00:00"/>
    <x v="1"/>
    <n v="113"/>
    <s v="False"/>
    <n v="4503.4363999999996"/>
    <n v="12"/>
    <n v="5958.24"/>
    <n v="12"/>
    <n v="277.31099999999998"/>
    <n v="2773.1099999999997"/>
  </r>
  <r>
    <s v="ORD-2023-664749"/>
    <x v="114"/>
    <d v="2023-09-11T00:00:00"/>
    <n v="15"/>
    <s v="Q3-2023"/>
    <x v="2"/>
    <x v="6"/>
    <s v="London"/>
    <s v="Consumer"/>
    <x v="4"/>
    <x v="8"/>
    <x v="1"/>
    <s v="PRN-5107"/>
    <n v="943.79"/>
    <n v="1913.76"/>
    <n v="9.0999999999999998E-2"/>
    <n v="9.0999999999999998E-2"/>
    <n v="9"/>
    <n v="1.0277392216488839"/>
    <n v="15656.47056"/>
    <n v="8494.11"/>
    <n v="7162.3605599999992"/>
    <n v="0.45746967891338081"/>
    <s v="High"/>
    <n v="15656.470560000002"/>
    <n v="7162.360560000001"/>
    <n v="17"/>
    <d v="2023-03-03T00:00:00"/>
    <d v="2023-03-31T00:00:00"/>
    <x v="1"/>
    <n v="114"/>
    <s v="False"/>
    <n v="15656.470560000002"/>
    <n v="10"/>
    <n v="19137.599999999999"/>
    <n v="10"/>
    <n v="1085.3584999999998"/>
    <n v="9768.2264999999989"/>
  </r>
  <r>
    <s v="ORD-2023-243704"/>
    <x v="115"/>
    <d v="2023-09-19T00:00:00"/>
    <n v="21"/>
    <s v="Q3-2023"/>
    <x v="2"/>
    <x v="2"/>
    <s v="Lyon"/>
    <s v="Small Business"/>
    <x v="2"/>
    <x v="0"/>
    <x v="1"/>
    <s v="PRN-7079"/>
    <n v="784.46"/>
    <n v="1843.51"/>
    <n v="0.13800000000000001"/>
    <n v="0.13800000000000001"/>
    <n v="23"/>
    <n v="1.3500369681054483"/>
    <n v="36549.429260000004"/>
    <n v="18042.580000000002"/>
    <n v="18506.849260000003"/>
    <n v="0.50635125184441798"/>
    <s v="High"/>
    <n v="36549.429260000004"/>
    <n v="18506.849260000003"/>
    <n v="11"/>
    <d v="2023-03-03T00:00:00"/>
    <d v="2023-03-31T00:00:00"/>
    <x v="1"/>
    <n v="115"/>
    <s v="False"/>
    <n v="36549.429260000004"/>
    <n v="27"/>
    <n v="49774.77"/>
    <n v="27"/>
    <n v="902.12900000000002"/>
    <n v="20748.967000000001"/>
  </r>
  <r>
    <s v="ORD-2023-987081"/>
    <x v="115"/>
    <d v="2023-09-13T00:00:00"/>
    <n v="15"/>
    <s v="Q3-2023"/>
    <x v="0"/>
    <x v="0"/>
    <s v="Vancouver"/>
    <s v="Small Business"/>
    <x v="4"/>
    <x v="5"/>
    <x v="1"/>
    <s v="PRN-9975"/>
    <n v="1287.6400000000001"/>
    <n v="2717.15"/>
    <n v="3.2000000000000001E-2"/>
    <n v="3.2000000000000001E-2"/>
    <n v="7"/>
    <n v="1.1101783107079617"/>
    <n v="18411.4084"/>
    <n v="9013.4800000000014"/>
    <n v="9397.9283999999989"/>
    <n v="0.51044049405802105"/>
    <s v="High"/>
    <n v="18411.4084"/>
    <n v="9397.9283999999989"/>
    <n v="13"/>
    <d v="2023-03-03T00:00:00"/>
    <d v="2023-03-31T00:00:00"/>
    <x v="1"/>
    <n v="115"/>
    <s v="False"/>
    <n v="18411.4084"/>
    <n v="8"/>
    <n v="21737.200000000001"/>
    <n v="8"/>
    <n v="1480.7860000000001"/>
    <n v="10365.502"/>
  </r>
  <r>
    <s v="ORD-2023-944052"/>
    <x v="116"/>
    <d v="2023-09-03T00:00:00"/>
    <n v="4"/>
    <s v="Q3-2023"/>
    <x v="3"/>
    <x v="10"/>
    <s v="Delhi"/>
    <s v="Small Business"/>
    <x v="4"/>
    <x v="9"/>
    <x v="3"/>
    <s v="ACC-3068"/>
    <n v="1082.25"/>
    <n v="2433.34"/>
    <n v="0.27"/>
    <n v="0.25"/>
    <n v="4"/>
    <n v="1.2484084084084086"/>
    <n v="7105.3528000000006"/>
    <n v="4329"/>
    <n v="2776.3528000000006"/>
    <n v="0.3907410199251472"/>
    <s v="High"/>
    <n v="7105.3528000000006"/>
    <n v="2776.3528000000006"/>
    <n v="12"/>
    <d v="2023-03-03T00:00:00"/>
    <d v="2023-03-31T00:00:00"/>
    <x v="0"/>
    <n v="48"/>
    <s v="True"/>
    <n v="7300.02"/>
    <n v="4"/>
    <n v="9733.36"/>
    <n v="4"/>
    <n v="1244.5874999999999"/>
    <n v="4978.3499999999995"/>
  </r>
  <r>
    <s v="ORD-2023-235230"/>
    <x v="116"/>
    <d v="2023-09-01T00:00:00"/>
    <n v="2"/>
    <s v="Q3-2023"/>
    <x v="2"/>
    <x v="8"/>
    <s v="Munich"/>
    <s v="Corporate"/>
    <x v="2"/>
    <x v="8"/>
    <x v="4"/>
    <s v="NET-9989"/>
    <n v="44.42"/>
    <n v="67.074200000000005"/>
    <n v="0.14399999999999999"/>
    <n v="0.14399999999999999"/>
    <n v="6"/>
    <n v="0.51"/>
    <n v="344.49309119999998"/>
    <n v="266.52"/>
    <n v="77.973091199999999"/>
    <n v="0.22634152379773473"/>
    <s v="Medium"/>
    <n v="344.49309119999998"/>
    <n v="77.973091199999999"/>
    <n v="15"/>
    <d v="2023-03-03T00:00:00"/>
    <d v="2023-03-31T00:00:00"/>
    <x v="0"/>
    <n v="48"/>
    <s v="False"/>
    <n v="344.49309119999998"/>
    <n v="7"/>
    <n v="469.51940000000002"/>
    <n v="7"/>
    <n v="51.082999999999998"/>
    <n v="306.49799999999999"/>
  </r>
  <r>
    <s v="ORD-2023-488227"/>
    <x v="117"/>
    <d v="2023-10-02T00:00:00"/>
    <n v="24"/>
    <s v="Q3-2023"/>
    <x v="0"/>
    <x v="0"/>
    <s v="Toronto"/>
    <s v="Education"/>
    <x v="2"/>
    <x v="1"/>
    <x v="3"/>
    <s v="ACC-3415"/>
    <n v="1299.03"/>
    <n v="2451.2199999999998"/>
    <n v="0.20799999999999999"/>
    <n v="0.20799999999999999"/>
    <n v="8"/>
    <n v="0.88696180996589746"/>
    <n v="15530.929919999999"/>
    <n v="10392.24"/>
    <n v="5138.6899199999989"/>
    <n v="0.3308681416032041"/>
    <s v="High"/>
    <n v="15530.929919999999"/>
    <n v="5138.6899199999989"/>
    <n v="14"/>
    <d v="2023-03-03T00:00:00"/>
    <d v="2023-03-31T00:00:00"/>
    <x v="1"/>
    <n v="116"/>
    <s v="True"/>
    <n v="15530.929919999999"/>
    <n v="9"/>
    <n v="22060.98"/>
    <n v="9"/>
    <n v="1493.8844999999999"/>
    <n v="11951.075999999999"/>
  </r>
  <r>
    <s v="ORD-2023-755337"/>
    <x v="117"/>
    <d v="2023-09-14T00:00:00"/>
    <n v="6"/>
    <s v="Q3-2023"/>
    <x v="1"/>
    <x v="7"/>
    <s v="Nakuru"/>
    <s v="Education"/>
    <x v="2"/>
    <x v="12"/>
    <x v="3"/>
    <s v="ACC-4766"/>
    <n v="251.03"/>
    <n v="411.48"/>
    <n v="0.16500000000000001"/>
    <n v="0.16500000000000001"/>
    <n v="3"/>
    <n v="0.63916663347010327"/>
    <n v="1030.7574"/>
    <n v="753.09"/>
    <n v="277.66739999999993"/>
    <n v="0.26938191275658069"/>
    <s v="Medium"/>
    <n v="1030.7574"/>
    <n v="277.66739999999993"/>
    <n v="16"/>
    <d v="2023-03-03T00:00:00"/>
    <d v="2023-03-31T00:00:00"/>
    <x v="0"/>
    <n v="50"/>
    <s v="False"/>
    <n v="1030.7574"/>
    <n v="3"/>
    <n v="1234.44"/>
    <n v="3"/>
    <n v="288.68449999999996"/>
    <n v="866.05349999999987"/>
  </r>
  <r>
    <s v="ORD-2023-192324"/>
    <x v="118"/>
    <d v="2023-09-16T00:00:00"/>
    <n v="2"/>
    <s v="Q3-2023"/>
    <x v="2"/>
    <x v="2"/>
    <s v="Lyon"/>
    <s v="Non-Profit"/>
    <x v="2"/>
    <x v="0"/>
    <x v="1"/>
    <s v="PRN-4432"/>
    <n v="376.83"/>
    <n v="732.88"/>
    <n v="0.188"/>
    <n v="0.188"/>
    <n v="25"/>
    <n v="0.94485577050659453"/>
    <n v="14877.464000000002"/>
    <n v="9420.75"/>
    <n v="5456.7140000000018"/>
    <n v="0.36677716040852132"/>
    <s v="High"/>
    <n v="14877.464"/>
    <n v="5456.7139999999999"/>
    <n v="12"/>
    <d v="2023-03-03T00:00:00"/>
    <d v="2023-03-31T00:00:00"/>
    <x v="0"/>
    <n v="50"/>
    <s v="False"/>
    <n v="14877.464"/>
    <n v="30"/>
    <n v="21986.400000000001"/>
    <n v="30"/>
    <n v="433.35449999999997"/>
    <n v="10833.862499999999"/>
  </r>
  <r>
    <s v="ORD-2023-552115"/>
    <x v="119"/>
    <d v="2023-10-02T00:00:00"/>
    <n v="15"/>
    <s v="Q3-2023"/>
    <x v="0"/>
    <x v="9"/>
    <s v="Rio de Janeiro"/>
    <s v="Small Business"/>
    <x v="3"/>
    <x v="0"/>
    <x v="0"/>
    <s v="LAP-4932"/>
    <n v="689.33"/>
    <n v="1392.4466"/>
    <n v="0.186"/>
    <n v="0.186"/>
    <n v="13"/>
    <n v="1.0199999999999998"/>
    <n v="14734.869921199999"/>
    <n v="8961.2900000000009"/>
    <n v="5773.5799211999984"/>
    <n v="0.39183107499939174"/>
    <s v="High"/>
    <n v="14734.869921200001"/>
    <n v="5773.5799212000002"/>
    <n v="15"/>
    <d v="2023-03-03T00:00:00"/>
    <d v="2023-03-31T00:00:00"/>
    <x v="1"/>
    <n v="118"/>
    <s v="False"/>
    <n v="14734.869921200001"/>
    <n v="15"/>
    <n v="20886.699000000001"/>
    <n v="15"/>
    <n v="792.72950000000003"/>
    <n v="10305.4835"/>
  </r>
  <r>
    <s v="ORD-2023-722117"/>
    <x v="120"/>
    <d v="2023-10-08T00:00:00"/>
    <n v="20"/>
    <s v="Q3-2023"/>
    <x v="3"/>
    <x v="10"/>
    <s v="Delhi"/>
    <s v="Small Business"/>
    <x v="2"/>
    <x v="0"/>
    <x v="6"/>
    <s v="CMP-1009"/>
    <n v="825.64"/>
    <n v="1108.43"/>
    <n v="0.114"/>
    <n v="0.114"/>
    <n v="7"/>
    <n v="0.34251005280751912"/>
    <n v="6874.4828600000001"/>
    <n v="5779.48"/>
    <n v="1095.0028600000005"/>
    <n v="0.15928512475773349"/>
    <s v="Medium"/>
    <n v="6874.4828600000001"/>
    <n v="1095.0028600000005"/>
    <n v="14"/>
    <d v="2023-03-03T00:00:00"/>
    <d v="2023-03-31T00:00:00"/>
    <x v="1"/>
    <n v="119"/>
    <s v="False"/>
    <n v="6874.4828600000001"/>
    <n v="8"/>
    <n v="8867.44"/>
    <n v="8"/>
    <n v="949.48599999999988"/>
    <n v="6646.4019999999991"/>
  </r>
  <r>
    <s v="ORD-2023-517216"/>
    <x v="121"/>
    <d v="2023-10-08T00:00:00"/>
    <n v="19"/>
    <s v="Q3-2023"/>
    <x v="3"/>
    <x v="10"/>
    <s v="Bengaluru"/>
    <s v="Education"/>
    <x v="2"/>
    <x v="13"/>
    <x v="1"/>
    <s v="PRN-5005"/>
    <n v="385.32"/>
    <n v="606.76"/>
    <n v="8.5999999999999993E-2"/>
    <n v="8.5999999999999993E-2"/>
    <n v="8"/>
    <n v="0.57469116578428314"/>
    <n v="4436.6291200000005"/>
    <n v="3082.56"/>
    <n v="1354.0691200000006"/>
    <n v="0.30520223425842735"/>
    <s v="Medium"/>
    <n v="4436.6291200000005"/>
    <n v="1354.0691200000006"/>
    <n v="15"/>
    <d v="2023-03-03T00:00:00"/>
    <d v="2023-03-31T00:00:00"/>
    <x v="1"/>
    <n v="120"/>
    <s v="False"/>
    <n v="4436.6291200000005"/>
    <n v="9"/>
    <n v="5460.84"/>
    <n v="9"/>
    <n v="443.11799999999994"/>
    <n v="3544.9439999999995"/>
  </r>
  <r>
    <s v="ORD-2023-842820"/>
    <x v="122"/>
    <d v="2023-09-28T00:00:00"/>
    <n v="8"/>
    <s v="Q3-2023"/>
    <x v="3"/>
    <x v="10"/>
    <s v="Bengaluru"/>
    <s v="Corporate"/>
    <x v="3"/>
    <x v="0"/>
    <x v="3"/>
    <s v="ACC-1375"/>
    <n v="1362.06"/>
    <n v="3398.37"/>
    <n v="0.157"/>
    <n v="0.157"/>
    <n v="11"/>
    <n v="1.4950222457160478"/>
    <n v="31513.085009999999"/>
    <n v="14982.66"/>
    <n v="16530.425009999999"/>
    <n v="0.52455749745714919"/>
    <s v="High"/>
    <n v="31513.085009999999"/>
    <n v="16530.425009999999"/>
    <n v="15"/>
    <d v="2023-03-03T00:00:00"/>
    <d v="2023-03-31T00:00:00"/>
    <x v="1"/>
    <n v="121"/>
    <s v="False"/>
    <n v="31513.085009999999"/>
    <n v="13"/>
    <n v="44178.81"/>
    <n v="13"/>
    <n v="1566.3689999999999"/>
    <n v="17230.058999999997"/>
  </r>
  <r>
    <s v="ORD-2023-450877"/>
    <x v="123"/>
    <d v="2023-10-10T00:00:00"/>
    <n v="19"/>
    <s v="Q3-2023"/>
    <x v="3"/>
    <x v="11"/>
    <s v="Tokyo"/>
    <s v="Education"/>
    <x v="1"/>
    <x v="2"/>
    <x v="6"/>
    <s v="CMP-5211"/>
    <n v="845.63"/>
    <n v="2062.12"/>
    <n v="0.13400000000000001"/>
    <n v="0.13400000000000001"/>
    <n v="5"/>
    <n v="1.4385605997895059"/>
    <n v="8928.9795999999988"/>
    <n v="4228.1499999999996"/>
    <n v="4700.8295999999991"/>
    <n v="0.52646884757133949"/>
    <s v="High"/>
    <n v="8928.9795999999988"/>
    <n v="4700.8295999999991"/>
    <n v="10"/>
    <d v="2023-03-03T00:00:00"/>
    <d v="2023-03-31T00:00:00"/>
    <x v="1"/>
    <n v="122"/>
    <s v="False"/>
    <n v="8928.9795999999988"/>
    <n v="6"/>
    <n v="12372.72"/>
    <n v="6"/>
    <n v="972.47449999999992"/>
    <n v="4862.3724999999995"/>
  </r>
  <r>
    <s v="ORD-2023-132101"/>
    <x v="124"/>
    <d v="2023-10-09T00:00:00"/>
    <n v="14"/>
    <s v="Q3-2023"/>
    <x v="0"/>
    <x v="4"/>
    <s v="New York"/>
    <s v="Small Business"/>
    <x v="4"/>
    <x v="13"/>
    <x v="0"/>
    <s v="LAP-6750"/>
    <n v="1279.56"/>
    <n v="3083.8"/>
    <n v="0.106"/>
    <n v="0.106"/>
    <n v="5"/>
    <n v="1.4100472037262812"/>
    <n v="13784.586000000001"/>
    <n v="6397.7999999999993"/>
    <n v="7386.7860000000019"/>
    <n v="0.53587289455047848"/>
    <s v="High"/>
    <n v="13784.586000000001"/>
    <n v="7386.7860000000019"/>
    <n v="17"/>
    <d v="2023-03-03T00:00:00"/>
    <d v="2023-03-31T00:00:00"/>
    <x v="1"/>
    <n v="122"/>
    <s v="False"/>
    <n v="13784.586000000001"/>
    <n v="6"/>
    <n v="18502.800000000003"/>
    <n v="6"/>
    <n v="1471.4939999999999"/>
    <n v="7357.4699999999993"/>
  </r>
  <r>
    <s v="ORD-2023-271918"/>
    <x v="124"/>
    <d v="2023-10-02T00:00:00"/>
    <n v="7"/>
    <s v="Q3-2023"/>
    <x v="0"/>
    <x v="4"/>
    <s v="New York"/>
    <s v="Education"/>
    <x v="4"/>
    <x v="12"/>
    <x v="3"/>
    <s v="ACC-3551"/>
    <n v="145.58000000000001"/>
    <n v="228.15"/>
    <n v="0.20399999999999999"/>
    <n v="0.20399999999999999"/>
    <n v="5"/>
    <n v="0.56717955763154271"/>
    <n v="908.03700000000003"/>
    <n v="727.90000000000009"/>
    <n v="180.13699999999994"/>
    <n v="0.19838068272548359"/>
    <s v="Medium"/>
    <n v="908.03700000000003"/>
    <n v="180.13699999999994"/>
    <n v="17"/>
    <d v="2023-03-03T00:00:00"/>
    <d v="2023-03-31T00:00:00"/>
    <x v="0"/>
    <n v="52"/>
    <s v="True"/>
    <n v="908.03700000000003"/>
    <n v="6"/>
    <n v="1368.9"/>
    <n v="6"/>
    <n v="167.417"/>
    <n v="837.08500000000004"/>
  </r>
  <r>
    <s v="ORD-2023-619385"/>
    <x v="125"/>
    <d v="2023-10-03T00:00:00"/>
    <n v="3"/>
    <s v="Q3-2023"/>
    <x v="3"/>
    <x v="3"/>
    <s v="Beijing"/>
    <s v="Non-Profit"/>
    <x v="3"/>
    <x v="13"/>
    <x v="0"/>
    <s v="LAP-5763"/>
    <n v="1019.36"/>
    <n v="1763.4928"/>
    <n v="0.14699999999999999"/>
    <n v="0.14699999999999999"/>
    <n v="17"/>
    <n v="0.73"/>
    <n v="25572.409092800001"/>
    <n v="17329.12"/>
    <n v="8243.2890928000015"/>
    <n v="0.32235090025682905"/>
    <s v="Medium"/>
    <n v="25572.409092799997"/>
    <n v="8243.2890927999979"/>
    <n v="14"/>
    <d v="2023-03-03T00:00:00"/>
    <d v="2023-03-31T00:00:00"/>
    <x v="0"/>
    <n v="52"/>
    <s v="False"/>
    <n v="25572.409092799997"/>
    <n v="20"/>
    <n v="35269.856"/>
    <n v="20"/>
    <n v="1172.2639999999999"/>
    <n v="19928.487999999998"/>
  </r>
  <r>
    <s v="ORD-2023-568013"/>
    <x v="125"/>
    <d v="2023-10-30T00:00:00"/>
    <n v="30"/>
    <s v="Q3-2023"/>
    <x v="3"/>
    <x v="11"/>
    <s v="Tokyo"/>
    <s v="Enterprise"/>
    <x v="1"/>
    <x v="2"/>
    <x v="1"/>
    <s v="PRN-1786"/>
    <n v="649.13"/>
    <n v="975.43"/>
    <n v="0.157"/>
    <n v="0.157"/>
    <n v="27"/>
    <n v="0.50267280822023319"/>
    <n v="22201.762229999997"/>
    <n v="17526.509999999998"/>
    <n v="4675.2522299999982"/>
    <n v="0.21058023149543473"/>
    <s v="Medium"/>
    <n v="22201.762229999997"/>
    <n v="4675.2522299999982"/>
    <n v="11"/>
    <d v="2023-03-03T00:00:00"/>
    <d v="2023-03-31T00:00:00"/>
    <x v="1"/>
    <n v="124"/>
    <s v="False"/>
    <n v="22201.762229999997"/>
    <n v="32"/>
    <n v="31213.759999999998"/>
    <n v="32"/>
    <n v="746.4994999999999"/>
    <n v="20155.486499999999"/>
  </r>
  <r>
    <s v="ORD-2023-302041"/>
    <x v="126"/>
    <d v="2023-10-29T00:00:00"/>
    <n v="25"/>
    <s v="Q4-2023"/>
    <x v="0"/>
    <x v="4"/>
    <s v="San Francisco"/>
    <s v="Small Business"/>
    <x v="0"/>
    <x v="5"/>
    <x v="3"/>
    <s v="ACC-5079"/>
    <n v="1239.8399999999999"/>
    <n v="1482.75"/>
    <n v="6.7000000000000004E-2"/>
    <n v="6.7000000000000004E-2"/>
    <n v="4"/>
    <n v="0.19592044134727069"/>
    <n v="5533.6230000000005"/>
    <n v="4959.3599999999997"/>
    <n v="574.26300000000083"/>
    <n v="0.10377703721413634"/>
    <s v="Low"/>
    <n v="5533.6230000000005"/>
    <n v="574.26300000000083"/>
    <n v="18"/>
    <d v="2023-03-03T00:00:00"/>
    <d v="2023-03-31T00:00:00"/>
    <x v="1"/>
    <n v="124"/>
    <s v="False"/>
    <n v="5533.6230000000005"/>
    <n v="4"/>
    <n v="5931"/>
    <n v="4"/>
    <n v="1425.8159999999998"/>
    <n v="5703.2639999999992"/>
  </r>
  <r>
    <s v="ORD-2023-474313"/>
    <x v="127"/>
    <d v="2023-10-06T00:00:00"/>
    <n v="1"/>
    <s v="Q4-2023"/>
    <x v="3"/>
    <x v="10"/>
    <s v="Bengaluru"/>
    <s v="Non-Profit"/>
    <x v="1"/>
    <x v="12"/>
    <x v="6"/>
    <s v="CMP-4807"/>
    <n v="1470.26"/>
    <n v="2562.5500000000002"/>
    <n v="0.17299999999999999"/>
    <n v="0.17299999999999999"/>
    <n v="9"/>
    <n v="0.7429230204181575"/>
    <n v="19073.059649999999"/>
    <n v="13232.34"/>
    <n v="5840.7196499999991"/>
    <n v="0.30622877279157462"/>
    <s v="Medium"/>
    <n v="19073.059649999999"/>
    <n v="5840.7196499999991"/>
    <n v="16"/>
    <d v="2023-03-03T00:00:00"/>
    <d v="2023-03-31T00:00:00"/>
    <x v="0"/>
    <n v="53"/>
    <s v="False"/>
    <n v="19073.059649999999"/>
    <n v="10"/>
    <n v="25625.5"/>
    <n v="10"/>
    <n v="1690.7989999999998"/>
    <n v="15217.190999999997"/>
  </r>
  <r>
    <s v="ORD-2023-166668"/>
    <x v="127"/>
    <d v="2023-10-31T00:00:00"/>
    <n v="26"/>
    <s v="Q4-2023"/>
    <x v="3"/>
    <x v="3"/>
    <s v="Shanghai"/>
    <s v="Consumer"/>
    <x v="4"/>
    <x v="13"/>
    <x v="1"/>
    <s v="PRN-6520"/>
    <n v="649.91"/>
    <n v="1360.12"/>
    <n v="0.19400000000000001"/>
    <n v="0.19400000000000001"/>
    <n v="9"/>
    <n v="1.0927820775184256"/>
    <n v="9866.3104799999983"/>
    <n v="5849.19"/>
    <n v="4017.1204799999987"/>
    <n v="0.40715528749506769"/>
    <s v="High"/>
    <n v="9866.3104800000001"/>
    <n v="4017.1204800000005"/>
    <n v="15"/>
    <d v="2023-03-03T00:00:00"/>
    <d v="2023-03-31T00:00:00"/>
    <x v="1"/>
    <n v="126"/>
    <s v="False"/>
    <n v="9866.3104800000001"/>
    <n v="10"/>
    <n v="13601.199999999999"/>
    <n v="10"/>
    <n v="747.39649999999995"/>
    <n v="6726.5684999999994"/>
  </r>
  <r>
    <s v="ORD-2023-304451"/>
    <x v="128"/>
    <d v="2023-10-23T00:00:00"/>
    <n v="16"/>
    <s v="Q4-2023"/>
    <x v="3"/>
    <x v="10"/>
    <s v="Hyderabad"/>
    <s v="Consumer"/>
    <x v="3"/>
    <x v="6"/>
    <x v="5"/>
    <s v="MON-7602"/>
    <n v="906.81"/>
    <n v="1395.56"/>
    <n v="0.185"/>
    <n v="0.185"/>
    <n v="6"/>
    <n v="0.53897729403072314"/>
    <n v="6824.2884000000004"/>
    <n v="5440.86"/>
    <n v="1383.4284000000007"/>
    <n v="0.20272126834498974"/>
    <s v="Medium"/>
    <n v="6824.2883999999995"/>
    <n v="1383.4283999999998"/>
    <n v="17"/>
    <d v="2023-03-03T00:00:00"/>
    <d v="2023-03-31T00:00:00"/>
    <x v="1"/>
    <n v="127"/>
    <s v="False"/>
    <n v="6824.2883999999995"/>
    <n v="7"/>
    <n v="9768.92"/>
    <n v="7"/>
    <n v="1042.8314999999998"/>
    <n v="6256.9889999999987"/>
  </r>
  <r>
    <s v="ORD-2023-368449"/>
    <x v="129"/>
    <d v="2023-10-26T00:00:00"/>
    <n v="17"/>
    <s v="Q4-2023"/>
    <x v="3"/>
    <x v="3"/>
    <s v="Shanghai"/>
    <s v="Consumer"/>
    <x v="4"/>
    <x v="11"/>
    <x v="6"/>
    <s v="CMP-2096"/>
    <n v="1132.03"/>
    <n v="2137.21"/>
    <n v="0.08"/>
    <n v="0.08"/>
    <n v="35"/>
    <n v="0.88794466577740883"/>
    <n v="68818.162000000011"/>
    <n v="39621.049999999996"/>
    <n v="29197.112000000016"/>
    <n v="0.42426462944476795"/>
    <s v="High"/>
    <n v="68818.162000000011"/>
    <n v="29197.112000000016"/>
    <n v="16"/>
    <d v="2023-03-03T00:00:00"/>
    <d v="2023-03-31T00:00:00"/>
    <x v="1"/>
    <n v="127"/>
    <s v="False"/>
    <n v="68818.162000000011"/>
    <n v="42"/>
    <n v="89762.82"/>
    <n v="42"/>
    <n v="1301.8344999999999"/>
    <n v="45564.207499999997"/>
  </r>
  <r>
    <s v="ORD-2023-502205"/>
    <x v="129"/>
    <d v="2023-10-11T00:00:00"/>
    <n v="2"/>
    <s v="Q4-2023"/>
    <x v="1"/>
    <x v="5"/>
    <s v="Port Harcourt"/>
    <s v="Education"/>
    <x v="4"/>
    <x v="10"/>
    <x v="4"/>
    <s v="NET-8856"/>
    <n v="391.16"/>
    <n v="902.47"/>
    <n v="4.0000000000000001E-3"/>
    <n v="4.0000000000000001E-3"/>
    <n v="12"/>
    <n v="1.3071633091318129"/>
    <n v="10786.32144"/>
    <n v="4693.92"/>
    <n v="6092.4014399999996"/>
    <n v="0.56482661618139207"/>
    <s v="High"/>
    <n v="10786.32144"/>
    <n v="6092.4014399999996"/>
    <n v="14"/>
    <d v="2023-03-03T00:00:00"/>
    <d v="2023-03-31T00:00:00"/>
    <x v="0"/>
    <n v="55"/>
    <s v="False"/>
    <n v="10786.32144"/>
    <n v="14"/>
    <n v="12634.58"/>
    <n v="14"/>
    <n v="449.834"/>
    <n v="5398.0079999999998"/>
  </r>
  <r>
    <s v="ORD-2023-888140"/>
    <x v="130"/>
    <d v="2023-10-13T00:00:00"/>
    <n v="2"/>
    <s v="Q4-2023"/>
    <x v="0"/>
    <x v="9"/>
    <s v="Brasília"/>
    <s v="Consumer"/>
    <x v="0"/>
    <x v="1"/>
    <x v="3"/>
    <s v="ACC-3567"/>
    <n v="715.94"/>
    <n v="1331.6484"/>
    <n v="0.14000000000000001"/>
    <n v="0.14000000000000001"/>
    <n v="16"/>
    <n v="0.85999999999999988"/>
    <n v="18323.481984000002"/>
    <n v="11455.04"/>
    <n v="6868.441984000001"/>
    <n v="0.37484371092773194"/>
    <s v="High"/>
    <n v="18323.481984000002"/>
    <n v="6868.441984000001"/>
    <n v="16"/>
    <d v="2023-03-03T00:00:00"/>
    <d v="2023-03-31T00:00:00"/>
    <x v="0"/>
    <n v="55"/>
    <s v="False"/>
    <n v="18323.481984000002"/>
    <n v="19"/>
    <n v="25301.319600000003"/>
    <n v="19"/>
    <n v="823.33100000000002"/>
    <n v="13173.296"/>
  </r>
  <r>
    <s v="ORD-2023-623293"/>
    <x v="131"/>
    <d v="2023-10-29T00:00:00"/>
    <n v="17"/>
    <s v="Q4-2023"/>
    <x v="3"/>
    <x v="11"/>
    <s v="Nagoya"/>
    <s v="Non-Profit"/>
    <x v="2"/>
    <x v="4"/>
    <x v="2"/>
    <s v="PHN-8478"/>
    <n v="1102.19"/>
    <n v="1711.16"/>
    <n v="0.151"/>
    <n v="0.151"/>
    <n v="10"/>
    <n v="0.55250909552799421"/>
    <n v="14527.748400000002"/>
    <n v="11021.900000000001"/>
    <n v="3505.8484000000008"/>
    <n v="0.24132083675127525"/>
    <s v="Medium"/>
    <n v="14527.7484"/>
    <n v="3505.8483999999989"/>
    <n v="12"/>
    <d v="2023-03-03T00:00:00"/>
    <d v="2023-03-31T00:00:00"/>
    <x v="1"/>
    <n v="129"/>
    <s v="False"/>
    <n v="14527.7484"/>
    <n v="12"/>
    <n v="20533.920000000002"/>
    <n v="12"/>
    <n v="1267.5184999999999"/>
    <n v="12675.184999999999"/>
  </r>
  <r>
    <s v="ORD-2023-925146"/>
    <x v="132"/>
    <d v="2023-11-13T00:00:00"/>
    <n v="29"/>
    <s v="Q4-2023"/>
    <x v="3"/>
    <x v="3"/>
    <s v="Shenzhen"/>
    <s v="Non-Profit"/>
    <x v="0"/>
    <x v="13"/>
    <x v="1"/>
    <s v="PRN-4983"/>
    <n v="986.44"/>
    <n v="1696.6768"/>
    <n v="7.1999999999999995E-2"/>
    <n v="7.1999999999999995E-2"/>
    <n v="6"/>
    <n v="0.71999999999999986"/>
    <n v="9447.0964223999999"/>
    <n v="5918.64"/>
    <n v="3528.4564223999996"/>
    <n v="0.37349639133921408"/>
    <s v="Medium"/>
    <n v="9447.0964223999999"/>
    <n v="3528.4564223999996"/>
    <n v="17"/>
    <d v="2023-03-03T00:00:00"/>
    <d v="2023-03-31T00:00:00"/>
    <x v="1"/>
    <n v="129"/>
    <s v="False"/>
    <n v="9447.0964223999999"/>
    <n v="7"/>
    <n v="11876.7376"/>
    <n v="7"/>
    <n v="1134.4059999999999"/>
    <n v="6806.4359999999997"/>
  </r>
  <r>
    <s v="ORD-2023-378104"/>
    <x v="133"/>
    <d v="2023-10-20T00:00:00"/>
    <n v="2"/>
    <s v="Q4-2023"/>
    <x v="1"/>
    <x v="7"/>
    <s v="Kisumu"/>
    <s v="Consumer"/>
    <x v="3"/>
    <x v="13"/>
    <x v="2"/>
    <s v="PHN-8891"/>
    <n v="774.12"/>
    <n v="908.3"/>
    <n v="0"/>
    <n v="0"/>
    <n v="30"/>
    <n v="0.17333229990182394"/>
    <n v="27249"/>
    <n v="23223.599999999999"/>
    <n v="4025.4000000000015"/>
    <n v="0.14772652207420461"/>
    <s v="Low"/>
    <n v="27249"/>
    <n v="4025.4000000000015"/>
    <n v="17"/>
    <d v="2023-03-03T00:00:00"/>
    <d v="2023-03-31T00:00:00"/>
    <x v="0"/>
    <n v="56"/>
    <s v="False"/>
    <n v="27249"/>
    <n v="36"/>
    <n v="32698.799999999999"/>
    <n v="36"/>
    <n v="890.23799999999994"/>
    <n v="26707.14"/>
  </r>
  <r>
    <s v="ORD-2023-667815"/>
    <x v="134"/>
    <d v="2023-11-09T00:00:00"/>
    <n v="19"/>
    <s v="Q4-2023"/>
    <x v="2"/>
    <x v="6"/>
    <s v="London"/>
    <s v="Non-Profit"/>
    <x v="2"/>
    <x v="1"/>
    <x v="3"/>
    <s v="ACC-8557"/>
    <n v="1142.48"/>
    <n v="2105.5300000000002"/>
    <n v="0.20699999999999999"/>
    <n v="0.20699999999999999"/>
    <n v="14"/>
    <n v="0.84294692248442005"/>
    <n v="23375.594060000003"/>
    <n v="15994.720000000001"/>
    <n v="7380.8740600000019"/>
    <n v="0.31575129346680658"/>
    <s v="High"/>
    <n v="23375.594060000003"/>
    <n v="7380.8740600000019"/>
    <n v="19"/>
    <d v="2023-03-03T00:00:00"/>
    <d v="2023-03-31T00:00:00"/>
    <x v="1"/>
    <n v="130"/>
    <s v="True"/>
    <n v="23375.594060000003"/>
    <n v="16"/>
    <n v="33688.480000000003"/>
    <n v="16"/>
    <n v="1313.8519999999999"/>
    <n v="18393.928"/>
  </r>
  <r>
    <s v="ORD-2023-659070"/>
    <x v="134"/>
    <d v="2023-10-21T00:00:00"/>
    <n v="0"/>
    <s v="Q4-2023"/>
    <x v="2"/>
    <x v="6"/>
    <s v="Manchester"/>
    <s v="Enterprise"/>
    <x v="0"/>
    <x v="13"/>
    <x v="5"/>
    <s v="MON-8697"/>
    <n v="384.19"/>
    <n v="860.58560000000011"/>
    <n v="5.6000000000000001E-2"/>
    <n v="5.6000000000000001E-2"/>
    <n v="10"/>
    <n v="1.2400000000000002"/>
    <n v="8123.9280640000006"/>
    <n v="3841.9"/>
    <n v="4282.0280640000001"/>
    <n v="0.52708837772397088"/>
    <s v="High"/>
    <n v="8123.9280640000006"/>
    <n v="4282.0280640000001"/>
    <n v="19"/>
    <d v="2023-03-03T00:00:00"/>
    <d v="2023-03-31T00:00:00"/>
    <x v="0"/>
    <n v="57"/>
    <s v="False"/>
    <n v="8123.9280640000006"/>
    <n v="12"/>
    <n v="10327.0272"/>
    <n v="12"/>
    <n v="441.81849999999997"/>
    <n v="4418.1849999999995"/>
  </r>
  <r>
    <s v="ORD-2023-163610"/>
    <x v="135"/>
    <d v="2023-11-16T00:00:00"/>
    <n v="25"/>
    <s v="Q4-2023"/>
    <x v="0"/>
    <x v="0"/>
    <s v="Toronto"/>
    <s v="Small Business"/>
    <x v="4"/>
    <x v="12"/>
    <x v="0"/>
    <s v="LAP-9024"/>
    <n v="1373.31"/>
    <n v="3154.14"/>
    <n v="0.2"/>
    <n v="0.2"/>
    <n v="11"/>
    <n v="1.2967429058260698"/>
    <n v="27756.432000000001"/>
    <n v="15106.41"/>
    <n v="12650.022000000001"/>
    <n v="0.45575101295440279"/>
    <s v="High"/>
    <n v="27756.432000000001"/>
    <n v="12650.022000000001"/>
    <n v="15"/>
    <d v="2023-03-03T00:00:00"/>
    <d v="2023-03-31T00:00:00"/>
    <x v="1"/>
    <n v="131"/>
    <s v="False"/>
    <n v="27756.432000000001"/>
    <n v="13"/>
    <n v="41003.82"/>
    <n v="13"/>
    <n v="1579.3064999999999"/>
    <n v="17372.371499999997"/>
  </r>
  <r>
    <s v="ORD-2023-406606"/>
    <x v="136"/>
    <d v="2023-10-28T00:00:00"/>
    <n v="3"/>
    <s v="Q4-2023"/>
    <x v="0"/>
    <x v="9"/>
    <s v="Brasília"/>
    <s v="Corporate"/>
    <x v="0"/>
    <x v="9"/>
    <x v="3"/>
    <s v="ACC-2867"/>
    <n v="509.31"/>
    <n v="1145.9000000000001"/>
    <n v="5.7000000000000002E-2"/>
    <n v="5.7000000000000002E-2"/>
    <n v="8"/>
    <n v="1.2499067365651571"/>
    <n v="8644.6696000000011"/>
    <n v="4074.48"/>
    <n v="4570.1896000000015"/>
    <n v="0.52867140231709964"/>
    <s v="High"/>
    <n v="8644.6696000000011"/>
    <n v="4570.1896000000015"/>
    <n v="17"/>
    <d v="2023-03-03T00:00:00"/>
    <d v="2023-03-31T00:00:00"/>
    <x v="0"/>
    <n v="58"/>
    <s v="False"/>
    <n v="8644.6696000000011"/>
    <n v="9"/>
    <n v="10313.1"/>
    <n v="9"/>
    <n v="585.70650000000001"/>
    <n v="4685.652"/>
  </r>
  <r>
    <s v="ORD-2023-597666"/>
    <x v="136"/>
    <d v="2023-11-24T00:00:00"/>
    <n v="30"/>
    <s v="Q4-2023"/>
    <x v="2"/>
    <x v="2"/>
    <s v="Paris"/>
    <s v="Enterprise"/>
    <x v="0"/>
    <x v="11"/>
    <x v="2"/>
    <s v="PHN-5938"/>
    <n v="287.85000000000002"/>
    <n v="602.91999999999996"/>
    <n v="0.222"/>
    <n v="0.222"/>
    <n v="11"/>
    <n v="1.0945631405245784"/>
    <n v="5159.7893599999998"/>
    <n v="3166.3500000000004"/>
    <n v="1993.4393599999994"/>
    <n v="0.38634122847216373"/>
    <s v="High"/>
    <n v="5159.7893599999998"/>
    <n v="1993.4393599999994"/>
    <n v="13"/>
    <d v="2023-03-03T00:00:00"/>
    <d v="2023-03-31T00:00:00"/>
    <x v="1"/>
    <n v="133"/>
    <s v="True"/>
    <n v="5159.7893599999998"/>
    <n v="13"/>
    <n v="7837.9599999999991"/>
    <n v="13"/>
    <n v="331.02749999999997"/>
    <n v="3641.3024999999998"/>
  </r>
  <r>
    <s v="ORD-2023-835226"/>
    <x v="137"/>
    <d v="2023-11-05T00:00:00"/>
    <n v="10"/>
    <s v="Q4-2023"/>
    <x v="1"/>
    <x v="1"/>
    <s v="Cape Town"/>
    <s v="Non-Profit"/>
    <x v="1"/>
    <x v="12"/>
    <x v="0"/>
    <s v="LAP-7320"/>
    <n v="20.38"/>
    <n v="42.56"/>
    <n v="7.1999999999999995E-2"/>
    <n v="7.1999999999999995E-2"/>
    <n v="11"/>
    <n v="1.0883218842001965"/>
    <n v="434.45248000000004"/>
    <n v="224.17999999999998"/>
    <n v="210.27248000000006"/>
    <n v="0.48399419885921713"/>
    <s v="High"/>
    <n v="434.45248000000009"/>
    <n v="210.27248000000012"/>
    <n v="17"/>
    <d v="2023-03-03T00:00:00"/>
    <d v="2023-03-31T00:00:00"/>
    <x v="1"/>
    <n v="134"/>
    <s v="False"/>
    <n v="434.45248000000009"/>
    <n v="13"/>
    <n v="553.28"/>
    <n v="13"/>
    <n v="23.436999999999998"/>
    <n v="257.80699999999996"/>
  </r>
  <r>
    <s v="ORD-2023-211715"/>
    <x v="138"/>
    <d v="2023-11-14T00:00:00"/>
    <n v="15"/>
    <s v="Q4-2023"/>
    <x v="3"/>
    <x v="10"/>
    <s v="Bengaluru"/>
    <s v="Corporate"/>
    <x v="1"/>
    <x v="7"/>
    <x v="0"/>
    <s v="LAP-2378"/>
    <n v="953.46"/>
    <n v="2066.75"/>
    <n v="0.13800000000000001"/>
    <n v="0.13800000000000001"/>
    <n v="5"/>
    <n v="1.1676315734273068"/>
    <n v="8907.6924999999992"/>
    <n v="4767.3"/>
    <n v="4140.392499999999"/>
    <n v="0.46481089238318446"/>
    <s v="High"/>
    <n v="8907.6924999999992"/>
    <n v="4140.392499999999"/>
    <n v="18"/>
    <d v="2023-03-03T00:00:00"/>
    <d v="2023-03-31T00:00:00"/>
    <x v="1"/>
    <n v="134"/>
    <s v="False"/>
    <n v="8907.6924999999992"/>
    <n v="6"/>
    <n v="12400.5"/>
    <n v="6"/>
    <n v="1096.479"/>
    <n v="5482.3950000000004"/>
  </r>
  <r>
    <s v="ORD-2023-842488"/>
    <x v="139"/>
    <d v="2023-11-02T00:00:00"/>
    <n v="2"/>
    <s v="Q4-2023"/>
    <x v="1"/>
    <x v="7"/>
    <s v="Kisumu"/>
    <s v="Education"/>
    <x v="3"/>
    <x v="5"/>
    <x v="3"/>
    <s v="ACC-4124"/>
    <n v="867.89"/>
    <n v="1349.94"/>
    <n v="0.184"/>
    <n v="0.184"/>
    <n v="10"/>
    <n v="0.55542753113873888"/>
    <n v="11015.510400000003"/>
    <n v="8678.9"/>
    <n v="2336.6104000000032"/>
    <n v="0.21212003031652557"/>
    <s v="Medium"/>
    <n v="11015.510400000001"/>
    <n v="2336.6104000000014"/>
    <n v="18"/>
    <d v="2023-03-03T00:00:00"/>
    <d v="2023-03-31T00:00:00"/>
    <x v="0"/>
    <n v="59"/>
    <s v="False"/>
    <n v="11015.510400000001"/>
    <n v="12"/>
    <n v="16199.28"/>
    <n v="12"/>
    <n v="998.07349999999985"/>
    <n v="9980.7349999999988"/>
  </r>
  <r>
    <s v="ORD-2023-653343"/>
    <x v="140"/>
    <d v="2023-11-28T00:00:00"/>
    <n v="18"/>
    <s v="Q4-2023"/>
    <x v="0"/>
    <x v="9"/>
    <s v="Brasília"/>
    <s v="Education"/>
    <x v="4"/>
    <x v="9"/>
    <x v="3"/>
    <s v="ACC-5260"/>
    <n v="388.51"/>
    <n v="776.46"/>
    <n v="0.157"/>
    <n v="0.157"/>
    <n v="12"/>
    <n v="0.99855859566034355"/>
    <n v="7854.6693599999999"/>
    <n v="4662.12"/>
    <n v="3192.54936"/>
    <n v="0.40645241876864946"/>
    <s v="High"/>
    <n v="7854.6693599999999"/>
    <n v="3192.54936"/>
    <n v="19"/>
    <d v="2023-03-03T00:00:00"/>
    <d v="2023-03-31T00:00:00"/>
    <x v="1"/>
    <n v="136"/>
    <s v="False"/>
    <n v="7854.6693599999999"/>
    <n v="14"/>
    <n v="10870.44"/>
    <n v="14"/>
    <n v="446.78649999999993"/>
    <n v="5361.4379999999992"/>
  </r>
  <r>
    <s v="ORD-2023-619570"/>
    <x v="141"/>
    <d v="2023-11-30T00:00:00"/>
    <n v="16"/>
    <s v="Q4-2023"/>
    <x v="0"/>
    <x v="9"/>
    <s v="São Paulo"/>
    <s v="Enterprise"/>
    <x v="2"/>
    <x v="10"/>
    <x v="4"/>
    <s v="NET-4104"/>
    <n v="1017.92"/>
    <n v="1175.25"/>
    <n v="7.4999999999999997E-2"/>
    <n v="7.4999999999999997E-2"/>
    <n v="15"/>
    <n v="0.1545602797862308"/>
    <n v="16306.59375"/>
    <n v="15268.8"/>
    <n v="1037.7937500000007"/>
    <n v="6.3642583234159542E-2"/>
    <s v="Low"/>
    <n v="16306.59375"/>
    <n v="1037.7937500000007"/>
    <n v="19"/>
    <d v="2023-03-03T00:00:00"/>
    <d v="2023-03-31T00:00:00"/>
    <x v="1"/>
    <n v="137"/>
    <s v="False"/>
    <n v="16306.59375"/>
    <n v="18"/>
    <n v="21154.5"/>
    <n v="18"/>
    <n v="1170.6079999999999"/>
    <n v="17559.12"/>
  </r>
  <r>
    <s v="ORD-2023-181257"/>
    <x v="142"/>
    <d v="2023-12-06T00:00:00"/>
    <n v="21"/>
    <s v="Q4-2023"/>
    <x v="2"/>
    <x v="6"/>
    <s v="Manchester"/>
    <s v="Education"/>
    <x v="2"/>
    <x v="4"/>
    <x v="3"/>
    <s v="ACC-1060"/>
    <n v="1184.99"/>
    <n v="2215.9313000000002"/>
    <n v="2.8000000000000001E-2"/>
    <n v="2.8000000000000001E-2"/>
    <n v="5"/>
    <n v="0.87000000000000011"/>
    <n v="10769.426118000001"/>
    <n v="5924.95"/>
    <n v="4844.4761180000014"/>
    <n v="0.44983605114324077"/>
    <s v="High"/>
    <n v="10769.426118000001"/>
    <n v="4844.4761180000014"/>
    <n v="20"/>
    <d v="2023-03-03T00:00:00"/>
    <d v="2023-03-31T00:00:00"/>
    <x v="1"/>
    <n v="138"/>
    <s v="False"/>
    <n v="10769.426118000001"/>
    <n v="6"/>
    <n v="13295.587800000001"/>
    <n v="6"/>
    <n v="1362.7384999999999"/>
    <n v="6813.6924999999992"/>
  </r>
  <r>
    <s v="ORD-2023-561823"/>
    <x v="143"/>
    <d v="2023-12-12T00:00:00"/>
    <n v="23"/>
    <s v="Q4-2023"/>
    <x v="3"/>
    <x v="10"/>
    <s v="Delhi"/>
    <s v="Small Business"/>
    <x v="2"/>
    <x v="11"/>
    <x v="4"/>
    <s v="NET-2460"/>
    <n v="1349.04"/>
    <n v="2636.6"/>
    <n v="0.114"/>
    <n v="0.114"/>
    <n v="14"/>
    <n v="0.9544268516871256"/>
    <n v="32704.386400000003"/>
    <n v="18886.559999999998"/>
    <n v="13817.826400000005"/>
    <n v="0.42250682312143928"/>
    <s v="High"/>
    <n v="32704.386399999999"/>
    <n v="13817.826400000002"/>
    <n v="19"/>
    <d v="2023-03-03T00:00:00"/>
    <d v="2023-03-31T00:00:00"/>
    <x v="1"/>
    <n v="139"/>
    <s v="False"/>
    <n v="32704.386399999999"/>
    <n v="16"/>
    <n v="42185.599999999999"/>
    <n v="16"/>
    <n v="1551.3959999999997"/>
    <n v="21719.543999999994"/>
  </r>
  <r>
    <s v="ORD-2023-576840"/>
    <x v="143"/>
    <d v="2023-12-13T00:00:00"/>
    <n v="24"/>
    <s v="Q4-2023"/>
    <x v="2"/>
    <x v="2"/>
    <s v="Lyon"/>
    <s v="Non-Profit"/>
    <x v="2"/>
    <x v="4"/>
    <x v="5"/>
    <s v="MON-3745"/>
    <n v="1297.42"/>
    <n v="2742.97"/>
    <n v="6.9000000000000006E-2"/>
    <n v="6.9000000000000006E-2"/>
    <n v="9"/>
    <n v="1.1141727428280739"/>
    <n v="22983.34563"/>
    <n v="11676.78"/>
    <n v="11306.565629999999"/>
    <n v="0.49194602961727291"/>
    <s v="High"/>
    <n v="22983.34563"/>
    <n v="11306.565629999999"/>
    <n v="14"/>
    <d v="2023-03-03T00:00:00"/>
    <d v="2023-03-31T00:00:00"/>
    <x v="1"/>
    <n v="140"/>
    <s v="False"/>
    <n v="22983.34563"/>
    <n v="10"/>
    <n v="27429.699999999997"/>
    <n v="10"/>
    <n v="1492.0329999999999"/>
    <n v="13428.296999999999"/>
  </r>
  <r>
    <s v="ORD-2023-455933"/>
    <x v="143"/>
    <d v="2023-12-19T00:00:00"/>
    <n v="30"/>
    <s v="Q4-2023"/>
    <x v="3"/>
    <x v="11"/>
    <s v="Nagoya"/>
    <s v="Consumer"/>
    <x v="3"/>
    <x v="9"/>
    <x v="2"/>
    <s v="PHN-9184"/>
    <n v="807.11"/>
    <n v="1853.86"/>
    <n v="0.13900000000000001"/>
    <n v="0.13900000000000001"/>
    <n v="8"/>
    <n v="1.2969112016949362"/>
    <n v="12769.38768"/>
    <n v="6456.88"/>
    <n v="6312.5076799999997"/>
    <n v="0.49434693645388639"/>
    <s v="High"/>
    <n v="12769.38768"/>
    <n v="6312.5076799999997"/>
    <n v="14"/>
    <d v="2023-03-03T00:00:00"/>
    <d v="2023-03-31T00:00:00"/>
    <x v="1"/>
    <n v="141"/>
    <s v="False"/>
    <n v="12769.38768"/>
    <n v="9"/>
    <n v="16684.739999999998"/>
    <n v="9"/>
    <n v="928.17649999999992"/>
    <n v="7425.4119999999994"/>
  </r>
  <r>
    <s v="ORD-2023-975863"/>
    <x v="144"/>
    <d v="2023-12-05T00:00:00"/>
    <n v="15"/>
    <s v="Q4-2023"/>
    <x v="3"/>
    <x v="11"/>
    <s v="Tokyo"/>
    <s v="Enterprise"/>
    <x v="3"/>
    <x v="9"/>
    <x v="4"/>
    <s v="NET-3033"/>
    <n v="354.24"/>
    <n v="648.25920000000008"/>
    <n v="0"/>
    <n v="0"/>
    <n v="6"/>
    <n v="0.83000000000000018"/>
    <n v="3889.5552000000007"/>
    <n v="2125.44"/>
    <n v="1764.1152000000006"/>
    <n v="0.45355191256830607"/>
    <s v="High"/>
    <n v="3889.5552000000007"/>
    <n v="1764.1152000000006"/>
    <n v="14"/>
    <d v="2023-03-03T00:00:00"/>
    <d v="2023-03-31T00:00:00"/>
    <x v="1"/>
    <n v="142"/>
    <s v="False"/>
    <n v="3889.5552000000007"/>
    <n v="7"/>
    <n v="4537.8144000000002"/>
    <n v="7"/>
    <n v="407.37599999999998"/>
    <n v="2444.2559999999999"/>
  </r>
  <r>
    <s v="ORD-2023-964434"/>
    <x v="145"/>
    <d v="2023-12-07T00:00:00"/>
    <n v="9"/>
    <s v="Q4-2023"/>
    <x v="3"/>
    <x v="10"/>
    <s v="Delhi"/>
    <s v="Enterprise"/>
    <x v="4"/>
    <x v="9"/>
    <x v="2"/>
    <s v="PHN-2447"/>
    <n v="699.33"/>
    <n v="873.75"/>
    <n v="0.23499999999999999"/>
    <n v="0.23499999999999999"/>
    <n v="10"/>
    <n v="0.24941014971472689"/>
    <n v="6684.1875"/>
    <n v="6993.3"/>
    <n v="-309.11250000000018"/>
    <n v="-4.6245336475076469E-2"/>
    <s v="Low"/>
    <n v="6684.1875"/>
    <n v="-309.11250000000018"/>
    <n v="20"/>
    <d v="2023-03-03T00:00:00"/>
    <d v="2023-03-31T00:00:00"/>
    <x v="1"/>
    <n v="142"/>
    <s v="True"/>
    <n v="6684.1875"/>
    <n v="12"/>
    <n v="10485"/>
    <n v="12"/>
    <n v="804.22950000000003"/>
    <n v="8042.2950000000001"/>
  </r>
  <r>
    <s v="ORD-2023-825495"/>
    <x v="146"/>
    <d v="2023-11-30T00:00:00"/>
    <n v="1"/>
    <s v="Q4-2023"/>
    <x v="1"/>
    <x v="1"/>
    <s v="Durban"/>
    <s v="Small Business"/>
    <x v="4"/>
    <x v="14"/>
    <x v="0"/>
    <s v="LAP-1525"/>
    <n v="275.56"/>
    <n v="630.72"/>
    <n v="0.107"/>
    <n v="0.107"/>
    <n v="23"/>
    <n v="1.2888663086079257"/>
    <n v="12954.358080000002"/>
    <n v="6337.88"/>
    <n v="6616.4780800000017"/>
    <n v="0.5107530638831933"/>
    <s v="High"/>
    <n v="12954.358080000002"/>
    <n v="6616.4780800000017"/>
    <n v="18"/>
    <d v="2023-03-03T00:00:00"/>
    <d v="2023-03-31T00:00:00"/>
    <x v="0"/>
    <n v="60"/>
    <s v="False"/>
    <n v="12954.358080000002"/>
    <n v="27"/>
    <n v="17029.440000000002"/>
    <n v="27"/>
    <n v="316.89400000000001"/>
    <n v="7288.5619999999999"/>
  </r>
  <r>
    <s v="ORD-2023-191563"/>
    <x v="147"/>
    <d v="2023-12-10T00:00:00"/>
    <n v="10"/>
    <s v="Q4-2023"/>
    <x v="2"/>
    <x v="8"/>
    <s v="Munich"/>
    <s v="Small Business"/>
    <x v="2"/>
    <x v="7"/>
    <x v="0"/>
    <s v="LAP-4899"/>
    <n v="174.74"/>
    <n v="415.96"/>
    <n v="0.125"/>
    <n v="0.125"/>
    <n v="21"/>
    <n v="1.3804509557056195"/>
    <n v="7643.2649999999994"/>
    <n v="3669.54"/>
    <n v="3973.7249999999995"/>
    <n v="0.51989889137691803"/>
    <s v="High"/>
    <n v="7643.2649999999994"/>
    <n v="3973.7249999999995"/>
    <n v="16"/>
    <d v="2023-03-03T00:00:00"/>
    <d v="2023-03-31T00:00:00"/>
    <x v="1"/>
    <n v="144"/>
    <s v="False"/>
    <n v="7643.2649999999994"/>
    <n v="25"/>
    <n v="10399"/>
    <n v="25"/>
    <n v="200.95099999999999"/>
    <n v="4219.9709999999995"/>
  </r>
  <r>
    <s v="ORD-2023-573146"/>
    <x v="148"/>
    <d v="2023-12-18T00:00:00"/>
    <n v="17"/>
    <s v="Q4-2023"/>
    <x v="3"/>
    <x v="11"/>
    <s v="Nagoya"/>
    <s v="Small Business"/>
    <x v="2"/>
    <x v="8"/>
    <x v="0"/>
    <s v="LAP-3604"/>
    <n v="1495.79"/>
    <n v="2783.12"/>
    <n v="0.02"/>
    <n v="0.02"/>
    <n v="5"/>
    <n v="0.8606355170177632"/>
    <n v="13637.287999999999"/>
    <n v="7478.95"/>
    <n v="6158.3379999999988"/>
    <n v="0.45158084217331185"/>
    <s v="High"/>
    <n v="13637.287999999999"/>
    <n v="6158.3379999999988"/>
    <n v="15"/>
    <d v="2023-03-03T00:00:00"/>
    <d v="2023-03-31T00:00:00"/>
    <x v="1"/>
    <n v="145"/>
    <s v="False"/>
    <n v="13637.287999999999"/>
    <n v="6"/>
    <n v="16698.72"/>
    <n v="6"/>
    <n v="1720.1584999999998"/>
    <n v="8600.7924999999996"/>
  </r>
  <r>
    <s v="ORD-2023-212701"/>
    <x v="149"/>
    <d v="2023-12-16T00:00:00"/>
    <n v="14"/>
    <s v="Q4-2023"/>
    <x v="2"/>
    <x v="8"/>
    <s v="Frankfurt"/>
    <s v="Education"/>
    <x v="2"/>
    <x v="8"/>
    <x v="5"/>
    <s v="MON-4278"/>
    <n v="879.08"/>
    <n v="1093.3900000000001"/>
    <n v="0.113"/>
    <n v="0.113"/>
    <n v="17"/>
    <n v="0.24378896118669524"/>
    <n v="16487.22781"/>
    <n v="14944.36"/>
    <n v="1542.8678099999997"/>
    <n v="9.3579577341935186E-2"/>
    <s v="Low"/>
    <n v="16487.22781"/>
    <n v="1542.8678099999997"/>
    <n v="17"/>
    <d v="2023-03-03T00:00:00"/>
    <d v="2023-03-31T00:00:00"/>
    <x v="1"/>
    <n v="146"/>
    <s v="False"/>
    <n v="16487.22781"/>
    <n v="20"/>
    <n v="21867.800000000003"/>
    <n v="20"/>
    <n v="1010.942"/>
    <n v="17186.013999999999"/>
  </r>
  <r>
    <s v="ORD-2023-239789"/>
    <x v="150"/>
    <d v="2023-12-26T00:00:00"/>
    <n v="23"/>
    <s v="Q4-2023"/>
    <x v="0"/>
    <x v="9"/>
    <s v="Rio de Janeiro"/>
    <s v="Education"/>
    <x v="3"/>
    <x v="5"/>
    <x v="2"/>
    <s v="PHN-4644"/>
    <n v="1303.1099999999999"/>
    <n v="2515.0023000000001"/>
    <n v="0.184"/>
    <n v="0.184"/>
    <n v="13"/>
    <n v="0.93000000000000027"/>
    <n v="26679.144398400003"/>
    <n v="16940.43"/>
    <n v="9738.7143984000031"/>
    <n v="0.36503098648785948"/>
    <s v="High"/>
    <n v="26679.144398400003"/>
    <n v="9738.7143984000031"/>
    <n v="21"/>
    <d v="2023-03-03T00:00:00"/>
    <d v="2023-03-31T00:00:00"/>
    <x v="1"/>
    <n v="146"/>
    <s v="False"/>
    <n v="26679.144398400003"/>
    <n v="15"/>
    <n v="37725.034500000002"/>
    <n v="15"/>
    <n v="1498.5764999999997"/>
    <n v="19481.494499999997"/>
  </r>
  <r>
    <s v="ORD-2023-581799"/>
    <x v="151"/>
    <d v="2023-12-12T00:00:00"/>
    <n v="7"/>
    <s v="Q4-2023"/>
    <x v="0"/>
    <x v="9"/>
    <s v="Brasília"/>
    <s v="Corporate"/>
    <x v="2"/>
    <x v="7"/>
    <x v="2"/>
    <s v="PHN-6506"/>
    <n v="307.43"/>
    <n v="495.19"/>
    <n v="0"/>
    <n v="0"/>
    <n v="42"/>
    <n v="0.61074065640958908"/>
    <n v="20797.98"/>
    <n v="12912.06"/>
    <n v="7885.92"/>
    <n v="0.37916759223732305"/>
    <s v="Medium"/>
    <n v="20797.98"/>
    <n v="7885.92"/>
    <n v="21"/>
    <d v="2023-03-03T00:00:00"/>
    <d v="2023-03-31T00:00:00"/>
    <x v="0"/>
    <n v="62"/>
    <s v="False"/>
    <n v="20797.98"/>
    <n v="50"/>
    <n v="24759.5"/>
    <n v="50"/>
    <n v="353.54449999999997"/>
    <n v="14848.868999999999"/>
  </r>
  <r>
    <s v="ORD-2023-596758"/>
    <x v="151"/>
    <d v="2023-12-07T00:00:00"/>
    <n v="2"/>
    <s v="Q4-2023"/>
    <x v="3"/>
    <x v="11"/>
    <s v="Tokyo"/>
    <s v="Non-Profit"/>
    <x v="4"/>
    <x v="4"/>
    <x v="1"/>
    <s v="PRN-8175"/>
    <n v="1097.5899999999999"/>
    <n v="1854.9270999999999"/>
    <n v="0.184"/>
    <n v="0.184"/>
    <n v="6"/>
    <n v="0.69000000000000006"/>
    <n v="9081.7230815999992"/>
    <n v="6585.5399999999991"/>
    <n v="2496.1830816000002"/>
    <n v="0.27485787214294005"/>
    <s v="Medium"/>
    <n v="9081.723081600001"/>
    <n v="2496.183081600002"/>
    <n v="17"/>
    <d v="2023-03-03T00:00:00"/>
    <d v="2023-03-31T00:00:00"/>
    <x v="0"/>
    <n v="62"/>
    <s v="False"/>
    <n v="9081.723081600001"/>
    <n v="7"/>
    <n v="12984.489699999998"/>
    <n v="7"/>
    <n v="1262.2284999999997"/>
    <n v="7573.3709999999983"/>
  </r>
  <r>
    <s v="ORD-2023-824839"/>
    <x v="152"/>
    <d v="2023-12-31T00:00:00"/>
    <n v="25"/>
    <s v="Q4-2023"/>
    <x v="3"/>
    <x v="11"/>
    <s v="Osaka"/>
    <s v="Consumer"/>
    <x v="3"/>
    <x v="9"/>
    <x v="1"/>
    <s v="PRN-8041"/>
    <n v="663.03"/>
    <n v="813.51"/>
    <n v="0.10199999999999999"/>
    <n v="0.10199999999999999"/>
    <n v="15"/>
    <n v="0.22695805619655224"/>
    <n v="10957.9797"/>
    <n v="9945.4499999999989"/>
    <n v="1012.529700000001"/>
    <n v="9.2401129379715952E-2"/>
    <s v="Low"/>
    <n v="10957.9797"/>
    <n v="1012.529700000001"/>
    <n v="17"/>
    <d v="2023-03-03T00:00:00"/>
    <d v="2023-03-31T00:00:00"/>
    <x v="1"/>
    <n v="148"/>
    <s v="False"/>
    <n v="10957.9797"/>
    <n v="18"/>
    <n v="14643.18"/>
    <n v="18"/>
    <n v="762.48449999999991"/>
    <n v="11437.267499999998"/>
  </r>
  <r>
    <s v="ORD-2023-961864"/>
    <x v="153"/>
    <d v="2024-01-02T00:00:00"/>
    <n v="26"/>
    <s v="Q4-2023"/>
    <x v="2"/>
    <x v="8"/>
    <s v="Frankfurt"/>
    <s v="Enterprise"/>
    <x v="0"/>
    <x v="14"/>
    <x v="6"/>
    <s v="CMP-1940"/>
    <n v="1071.99"/>
    <n v="2397.3000000000002"/>
    <n v="6.2E-2"/>
    <n v="6.2E-2"/>
    <n v="18"/>
    <n v="1.2363081745165534"/>
    <n v="40476.013200000001"/>
    <n v="19295.82"/>
    <n v="21180.193200000002"/>
    <n v="0.52327765324476183"/>
    <s v="High"/>
    <n v="40476.013199999994"/>
    <n v="21180.193199999994"/>
    <n v="18"/>
    <d v="2023-03-03T00:00:00"/>
    <d v="2023-03-31T00:00:00"/>
    <x v="1"/>
    <n v="148"/>
    <s v="False"/>
    <n v="40476.013199999994"/>
    <n v="21"/>
    <n v="50343.3"/>
    <n v="21"/>
    <n v="1232.7884999999999"/>
    <n v="22190.192999999999"/>
  </r>
  <r>
    <s v="ORD-2023-674887"/>
    <x v="154"/>
    <d v="2023-12-19T00:00:00"/>
    <n v="3"/>
    <s v="Q4-2023"/>
    <x v="3"/>
    <x v="3"/>
    <s v="Beijing"/>
    <s v="Education"/>
    <x v="3"/>
    <x v="1"/>
    <x v="3"/>
    <s v="ACC-9644"/>
    <n v="1415.05"/>
    <n v="1972.38"/>
    <n v="0"/>
    <n v="0"/>
    <n v="12"/>
    <n v="0.39385887424472643"/>
    <n v="23668.560000000001"/>
    <n v="16980.599999999999"/>
    <n v="6687.9600000000028"/>
    <n v="0.28256725377462771"/>
    <s v="Medium"/>
    <n v="23668.560000000001"/>
    <n v="6687.9600000000028"/>
    <n v="18"/>
    <d v="2023-03-03T00:00:00"/>
    <d v="2023-03-31T00:00:00"/>
    <x v="0"/>
    <n v="63"/>
    <s v="False"/>
    <n v="23668.560000000001"/>
    <n v="14"/>
    <n v="27613.32"/>
    <n v="14"/>
    <n v="1627.3074999999999"/>
    <n v="19527.689999999999"/>
  </r>
  <r>
    <s v="ORD-2023-728177"/>
    <x v="155"/>
    <d v="2024-01-14T00:00:00"/>
    <n v="27"/>
    <s v="Q4-2023"/>
    <x v="3"/>
    <x v="10"/>
    <s v="Mumbai"/>
    <s v="Consumer"/>
    <x v="0"/>
    <x v="2"/>
    <x v="4"/>
    <s v="NET-6014"/>
    <n v="1408.3"/>
    <n v="2193.13"/>
    <n v="7.0999999999999994E-2"/>
    <n v="7.0999999999999994E-2"/>
    <n v="7"/>
    <n v="0.55728892991550105"/>
    <n v="14261.92439"/>
    <n v="9858.1"/>
    <n v="4403.8243899999998"/>
    <n v="0.30878191957656281"/>
    <s v="Medium"/>
    <n v="14261.924390000002"/>
    <n v="4403.8243900000016"/>
    <n v="21"/>
    <d v="2023-03-03T00:00:00"/>
    <d v="2023-03-31T00:00:00"/>
    <x v="1"/>
    <n v="149"/>
    <s v="False"/>
    <n v="14261.924390000002"/>
    <n v="8"/>
    <n v="17545.04"/>
    <n v="8"/>
    <n v="1619.5449999999998"/>
    <n v="11336.814999999999"/>
  </r>
  <r>
    <s v="ORD-2023-195665"/>
    <x v="156"/>
    <d v="2023-12-20T00:00:00"/>
    <n v="1"/>
    <s v="Q4-2023"/>
    <x v="0"/>
    <x v="9"/>
    <s v="Rio de Janeiro"/>
    <s v="Consumer"/>
    <x v="0"/>
    <x v="13"/>
    <x v="2"/>
    <s v="PHN-7274"/>
    <n v="1080.43"/>
    <n v="2529.15"/>
    <n v="0.14699999999999999"/>
    <n v="0.14699999999999999"/>
    <n v="10"/>
    <n v="1.3408735410901216"/>
    <n v="21573.6495"/>
    <n v="10804.300000000001"/>
    <n v="10769.349499999998"/>
    <n v="0.49918997247081437"/>
    <s v="High"/>
    <n v="21573.6495"/>
    <n v="10769.349499999998"/>
    <n v="22"/>
    <d v="2023-03-03T00:00:00"/>
    <d v="2023-03-31T00:00:00"/>
    <x v="0"/>
    <n v="64"/>
    <s v="False"/>
    <n v="21573.6495"/>
    <n v="12"/>
    <n v="30349.800000000003"/>
    <n v="12"/>
    <n v="1242.4945"/>
    <n v="12424.945"/>
  </r>
  <r>
    <s v="ORD-2023-126505"/>
    <x v="156"/>
    <d v="2024-01-01T00:00:00"/>
    <n v="13"/>
    <s v="Q4-2023"/>
    <x v="0"/>
    <x v="0"/>
    <s v="Toronto"/>
    <s v="Enterprise"/>
    <x v="3"/>
    <x v="10"/>
    <x v="5"/>
    <s v="MON-6065"/>
    <n v="856.1"/>
    <n v="901.48"/>
    <n v="5.6000000000000001E-2"/>
    <n v="5.6000000000000001E-2"/>
    <n v="17"/>
    <n v="5.3007826188529374E-2"/>
    <n v="14466.95104"/>
    <n v="14553.7"/>
    <n v="-86.748960000000807"/>
    <n v="-5.9963540182134192E-3"/>
    <s v="Low"/>
    <n v="14466.95104"/>
    <n v="-86.748960000000807"/>
    <n v="16"/>
    <d v="2023-03-03T00:00:00"/>
    <d v="2023-03-31T00:00:00"/>
    <x v="1"/>
    <n v="151"/>
    <s v="False"/>
    <n v="14466.95104"/>
    <n v="20"/>
    <n v="18029.599999999999"/>
    <n v="20"/>
    <n v="984.51499999999999"/>
    <n v="16736.755000000001"/>
  </r>
  <r>
    <s v="ORD-2023-431328"/>
    <x v="157"/>
    <d v="2024-01-14T00:00:00"/>
    <n v="25"/>
    <s v="Q4-2023"/>
    <x v="3"/>
    <x v="10"/>
    <s v="Mumbai"/>
    <s v="Non-Profit"/>
    <x v="4"/>
    <x v="9"/>
    <x v="5"/>
    <s v="MON-1572"/>
    <n v="1085.6099999999999"/>
    <n v="1246.4100000000001"/>
    <n v="0.113"/>
    <n v="0.113"/>
    <n v="7"/>
    <n v="0.14811949042473835"/>
    <n v="7738.9596900000006"/>
    <n v="7599.2699999999995"/>
    <n v="139.68969000000106"/>
    <n v="1.8050189637310417E-2"/>
    <s v="Low"/>
    <n v="7738.9596900000015"/>
    <n v="139.68969000000197"/>
    <n v="22"/>
    <d v="2023-03-03T00:00:00"/>
    <d v="2023-03-31T00:00:00"/>
    <x v="1"/>
    <n v="152"/>
    <s v="False"/>
    <n v="7738.9596900000015"/>
    <n v="8"/>
    <n v="9971.2800000000007"/>
    <n v="8"/>
    <n v="1248.4514999999999"/>
    <n v="8739.1605"/>
  </r>
  <r>
    <s v="ORD-2023-208944"/>
    <x v="158"/>
    <d v="2024-01-06T00:00:00"/>
    <n v="16"/>
    <s v="Q4-2023"/>
    <x v="1"/>
    <x v="5"/>
    <s v="Abuja"/>
    <s v="Corporate"/>
    <x v="4"/>
    <x v="10"/>
    <x v="6"/>
    <s v="CMP-4792"/>
    <n v="932.61"/>
    <n v="1982.98"/>
    <n v="0.14399999999999999"/>
    <n v="0.14399999999999999"/>
    <n v="16"/>
    <n v="1.1262692872690621"/>
    <n v="27158.894079999998"/>
    <n v="14921.76"/>
    <n v="12237.134079999998"/>
    <n v="0.45057556629345635"/>
    <s v="High"/>
    <n v="27158.894079999998"/>
    <n v="12237.134079999998"/>
    <n v="15"/>
    <d v="2023-03-03T00:00:00"/>
    <d v="2023-03-31T00:00:00"/>
    <x v="1"/>
    <n v="153"/>
    <s v="False"/>
    <n v="27158.894079999998"/>
    <n v="19"/>
    <n v="37676.620000000003"/>
    <n v="19"/>
    <n v="1072.5014999999999"/>
    <n v="17160.023999999998"/>
  </r>
  <r>
    <s v="ORD-2023-249805"/>
    <x v="159"/>
    <d v="2024-01-16T00:00:00"/>
    <n v="25"/>
    <s v="Q4-2023"/>
    <x v="3"/>
    <x v="10"/>
    <s v="Hyderabad"/>
    <s v="Small Business"/>
    <x v="3"/>
    <x v="1"/>
    <x v="6"/>
    <s v="CMP-1555"/>
    <n v="1346.81"/>
    <n v="2424.2579999999998"/>
    <n v="0.159"/>
    <n v="0.159"/>
    <n v="17"/>
    <n v="0.79999999999999993"/>
    <n v="34659.616625999995"/>
    <n v="22895.77"/>
    <n v="11763.846625999995"/>
    <n v="0.3394107543929184"/>
    <s v="High"/>
    <n v="34659.616625999995"/>
    <n v="11763.846625999995"/>
    <n v="23"/>
    <d v="2023-03-03T00:00:00"/>
    <d v="2023-03-31T00:00:00"/>
    <x v="1"/>
    <n v="153"/>
    <s v="False"/>
    <n v="34659.616625999995"/>
    <n v="20"/>
    <n v="48485.159999999996"/>
    <n v="20"/>
    <n v="1548.8314999999998"/>
    <n v="26330.135499999997"/>
  </r>
  <r>
    <s v="ORD-2023-841426"/>
    <x v="159"/>
    <d v="2023-12-23T00:00:00"/>
    <n v="1"/>
    <s v="Q4-2023"/>
    <x v="1"/>
    <x v="1"/>
    <s v="Cape Town"/>
    <s v="Non-Profit"/>
    <x v="4"/>
    <x v="2"/>
    <x v="6"/>
    <s v="CMP-4531"/>
    <n v="1186.18"/>
    <n v="1285.0899999999999"/>
    <n v="7.0000000000000007E-2"/>
    <n v="7.0000000000000007E-2"/>
    <n v="11"/>
    <n v="8.3385320946230634E-2"/>
    <n v="13146.470699999998"/>
    <n v="13047.980000000001"/>
    <n v="98.49069999999665"/>
    <n v="7.4917977796121861E-3"/>
    <s v="Low"/>
    <n v="13146.470699999998"/>
    <n v="98.49069999999665"/>
    <n v="19"/>
    <d v="2023-03-03T00:00:00"/>
    <d v="2023-03-31T00:00:00"/>
    <x v="0"/>
    <n v="65"/>
    <s v="False"/>
    <n v="13146.470699999998"/>
    <n v="13"/>
    <n v="16706.169999999998"/>
    <n v="13"/>
    <n v="1364.107"/>
    <n v="15005.177"/>
  </r>
  <r>
    <s v="ORD-2023-967239"/>
    <x v="160"/>
    <d v="2024-01-01T00:00:00"/>
    <n v="8"/>
    <s v="Q4-2023"/>
    <x v="0"/>
    <x v="9"/>
    <s v="São Paulo"/>
    <s v="Education"/>
    <x v="2"/>
    <x v="11"/>
    <x v="2"/>
    <s v="PHN-3014"/>
    <n v="526.49"/>
    <n v="1016.1257000000001"/>
    <n v="0"/>
    <n v="0"/>
    <n v="14"/>
    <n v="0.93"/>
    <n v="14225.7598"/>
    <n v="7370.8600000000006"/>
    <n v="6854.8997999999992"/>
    <n v="0.4818652849740932"/>
    <s v="High"/>
    <n v="14225.7598"/>
    <n v="6854.8997999999992"/>
    <n v="23"/>
    <d v="2023-03-03T00:00:00"/>
    <d v="2023-03-31T00:00:00"/>
    <x v="1"/>
    <n v="155"/>
    <s v="False"/>
    <n v="14225.7598"/>
    <n v="16"/>
    <n v="16258.011200000001"/>
    <n v="16"/>
    <n v="605.46349999999995"/>
    <n v="8476.4889999999996"/>
  </r>
  <r>
    <s v="ORD-2023-580751"/>
    <x v="160"/>
    <d v="2024-01-13T00:00:00"/>
    <n v="20"/>
    <s v="Q4-2023"/>
    <x v="3"/>
    <x v="11"/>
    <s v="Nagoya"/>
    <s v="Education"/>
    <x v="2"/>
    <x v="0"/>
    <x v="0"/>
    <s v="LAP-1946"/>
    <n v="625.37"/>
    <n v="1319.04"/>
    <n v="7.3999999999999996E-2"/>
    <n v="7.3999999999999996E-2"/>
    <n v="8"/>
    <n v="1.1092153445160464"/>
    <n v="9771.4483199999995"/>
    <n v="5002.96"/>
    <n v="4768.4883199999995"/>
    <n v="0.48800220436513547"/>
    <s v="High"/>
    <n v="9771.4483199999995"/>
    <n v="4768.4883199999995"/>
    <n v="18"/>
    <d v="2023-03-03T00:00:00"/>
    <d v="2023-03-31T00:00:00"/>
    <x v="1"/>
    <n v="156"/>
    <s v="False"/>
    <n v="9771.4483199999995"/>
    <n v="9"/>
    <n v="11871.36"/>
    <n v="9"/>
    <n v="719.17549999999994"/>
    <n v="5753.4039999999995"/>
  </r>
  <r>
    <s v="ORD-2023-813340"/>
    <x v="161"/>
    <d v="2024-01-03T00:00:00"/>
    <n v="8"/>
    <s v="Q4-2023"/>
    <x v="2"/>
    <x v="2"/>
    <s v="Lyon"/>
    <s v="Small Business"/>
    <x v="3"/>
    <x v="3"/>
    <x v="0"/>
    <s v="LAP-2942"/>
    <n v="492.75"/>
    <n v="731.29"/>
    <n v="5.8000000000000003E-2"/>
    <n v="5.8000000000000003E-2"/>
    <n v="6"/>
    <n v="0.48409944190766102"/>
    <n v="4133.25108"/>
    <n v="2956.5"/>
    <n v="1176.75108"/>
    <n v="0.28470350753528384"/>
    <s v="Medium"/>
    <n v="4133.2510799999991"/>
    <n v="1176.7510799999991"/>
    <n v="15"/>
    <d v="2023-03-03T00:00:00"/>
    <d v="2023-03-31T00:00:00"/>
    <x v="1"/>
    <n v="156"/>
    <s v="False"/>
    <n v="4133.2510799999991"/>
    <n v="7"/>
    <n v="5119.03"/>
    <n v="7"/>
    <n v="566.66249999999991"/>
    <n v="3399.9749999999995"/>
  </r>
  <r>
    <s v="ORD-2023-974506"/>
    <x v="162"/>
    <d v="2024-01-01T00:00:00"/>
    <n v="4"/>
    <s v="Q4-2023"/>
    <x v="1"/>
    <x v="1"/>
    <s v="Cape Town"/>
    <s v="Education"/>
    <x v="0"/>
    <x v="1"/>
    <x v="1"/>
    <s v="PRN-1654"/>
    <n v="1141.8"/>
    <n v="2318.7399999999998"/>
    <n v="0.107"/>
    <n v="0.107"/>
    <n v="32"/>
    <n v="1.0307759677701873"/>
    <n v="66260.314239999992"/>
    <n v="36537.599999999999"/>
    <n v="29722.714239999994"/>
    <n v="0.44857490612468304"/>
    <s v="High"/>
    <n v="66260.314239999992"/>
    <n v="29722.714239999994"/>
    <n v="20"/>
    <d v="2023-03-03T00:00:00"/>
    <d v="2023-03-31T00:00:00"/>
    <x v="0"/>
    <n v="66"/>
    <s v="False"/>
    <n v="66260.314239999992"/>
    <n v="38"/>
    <n v="88112.12"/>
    <n v="38"/>
    <n v="1313.07"/>
    <n v="42018.239999999998"/>
  </r>
  <r>
    <s v="ORD-2023-178249"/>
    <x v="163"/>
    <d v="2024-01-20T00:00:00"/>
    <n v="22"/>
    <s v="Q4-2023"/>
    <x v="1"/>
    <x v="7"/>
    <s v="Kisumu"/>
    <s v="Corporate"/>
    <x v="2"/>
    <x v="9"/>
    <x v="2"/>
    <s v="PHN-7924"/>
    <n v="1395.49"/>
    <n v="1679.42"/>
    <n v="0.20300000000000001"/>
    <n v="0.20300000000000001"/>
    <n v="12"/>
    <n v="0.20346258303534964"/>
    <n v="16061.972879999999"/>
    <n v="16745.88"/>
    <n v="-683.90712000000167"/>
    <n v="-4.2579272490964493E-2"/>
    <s v="Low"/>
    <n v="16061.972880000001"/>
    <n v="-683.90711999999985"/>
    <n v="19"/>
    <d v="2023-03-03T00:00:00"/>
    <d v="2023-03-31T00:00:00"/>
    <x v="1"/>
    <n v="158"/>
    <s v="True"/>
    <n v="16061.972880000001"/>
    <n v="14"/>
    <n v="23511.88"/>
    <n v="14"/>
    <n v="1604.8135"/>
    <n v="19257.761999999999"/>
  </r>
  <r>
    <s v="ORD-2023-808024"/>
    <x v="164"/>
    <d v="2024-01-08T00:00:00"/>
    <n v="9"/>
    <s v="Q4-2023"/>
    <x v="2"/>
    <x v="2"/>
    <s v="Marseille"/>
    <s v="Consumer"/>
    <x v="4"/>
    <x v="9"/>
    <x v="3"/>
    <s v="ACC-6594"/>
    <n v="861.1"/>
    <n v="1224.72"/>
    <n v="0.17399999999999999"/>
    <n v="0.17399999999999999"/>
    <n v="24"/>
    <n v="0.42227383579142957"/>
    <n v="24278.849280000002"/>
    <n v="20666.400000000001"/>
    <n v="3612.4492800000007"/>
    <n v="0.14878997098827909"/>
    <s v="Medium"/>
    <n v="24278.849280000002"/>
    <n v="3612.4492800000007"/>
    <n v="16"/>
    <d v="2023-03-03T00:00:00"/>
    <d v="2023-03-31T00:00:00"/>
    <x v="1"/>
    <n v="159"/>
    <s v="False"/>
    <n v="24278.849280000002"/>
    <n v="28"/>
    <n v="34292.160000000003"/>
    <n v="28"/>
    <n v="990.26499999999999"/>
    <n v="23766.36"/>
  </r>
  <r>
    <s v="ORD-2024-921935"/>
    <x v="165"/>
    <d v="2024-01-27T00:00:00"/>
    <n v="26"/>
    <s v="Q1-2024"/>
    <x v="2"/>
    <x v="6"/>
    <s v="Manchester"/>
    <s v="Education"/>
    <x v="0"/>
    <x v="2"/>
    <x v="3"/>
    <s v="ACC-3103"/>
    <n v="657.45"/>
    <n v="1325.96"/>
    <n v="0.16700000000000001"/>
    <n v="0.16700000000000001"/>
    <n v="21"/>
    <n v="1.0168225720587116"/>
    <n v="23195.01828"/>
    <n v="13806.45"/>
    <n v="9388.5682799999995"/>
    <n v="0.40476658249048808"/>
    <s v="High"/>
    <n v="23195.01828"/>
    <n v="9388.5682799999995"/>
    <n v="21"/>
    <d v="2023-03-03T00:00:00"/>
    <d v="2023-03-31T00:00:00"/>
    <x v="1"/>
    <n v="159"/>
    <s v="False"/>
    <n v="23195.01828"/>
    <n v="25"/>
    <n v="33149"/>
    <n v="25"/>
    <n v="756.0675"/>
    <n v="15877.4175"/>
  </r>
  <r>
    <s v="ORD-2024-719055"/>
    <x v="165"/>
    <d v="2024-01-02T00:00:00"/>
    <n v="1"/>
    <s v="Q1-2024"/>
    <x v="0"/>
    <x v="4"/>
    <s v="Chicago"/>
    <s v="Education"/>
    <x v="4"/>
    <x v="0"/>
    <x v="4"/>
    <s v="NET-4554"/>
    <n v="404.77"/>
    <n v="433.88"/>
    <n v="0.215"/>
    <n v="0.215"/>
    <n v="22"/>
    <n v="7.1917385181708163E-2"/>
    <n v="7493.1076000000012"/>
    <n v="8904.9399999999987"/>
    <n v="-1411.8323999999975"/>
    <n v="-0.18841747314558746"/>
    <s v="Low"/>
    <n v="7493.1076000000003"/>
    <n v="-1411.8323999999984"/>
    <n v="19"/>
    <d v="2023-03-03T00:00:00"/>
    <d v="2023-03-31T00:00:00"/>
    <x v="0"/>
    <n v="67"/>
    <s v="True"/>
    <n v="7493.1076000000003"/>
    <n v="26"/>
    <n v="11280.88"/>
    <n v="26"/>
    <n v="465.48549999999994"/>
    <n v="10240.680999999999"/>
  </r>
  <r>
    <s v="ORD-2024-105586"/>
    <x v="166"/>
    <d v="2024-01-15T00:00:00"/>
    <n v="13"/>
    <s v="Q1-2024"/>
    <x v="3"/>
    <x v="11"/>
    <s v="Nagoya"/>
    <s v="Small Business"/>
    <x v="4"/>
    <x v="6"/>
    <x v="4"/>
    <s v="NET-1893"/>
    <n v="1219.06"/>
    <n v="2738.69"/>
    <n v="7.5999999999999998E-2"/>
    <n v="7.5999999999999998E-2"/>
    <n v="16"/>
    <n v="1.2465588240119438"/>
    <n v="40488.792960000006"/>
    <n v="19504.96"/>
    <n v="20983.832960000007"/>
    <n v="0.51826274447673737"/>
    <s v="High"/>
    <n v="40488.792960000006"/>
    <n v="20983.832960000007"/>
    <n v="19"/>
    <d v="2023-03-03T00:00:00"/>
    <d v="2023-03-31T00:00:00"/>
    <x v="1"/>
    <n v="160"/>
    <s v="False"/>
    <n v="40488.792960000006"/>
    <n v="19"/>
    <n v="52035.11"/>
    <n v="19"/>
    <n v="1401.9189999999999"/>
    <n v="22430.703999999998"/>
  </r>
  <r>
    <s v="ORD-2024-355095"/>
    <x v="166"/>
    <d v="2024-01-02T00:00:00"/>
    <n v="0"/>
    <s v="Q1-2024"/>
    <x v="0"/>
    <x v="0"/>
    <s v="Vancouver"/>
    <s v="Education"/>
    <x v="2"/>
    <x v="1"/>
    <x v="0"/>
    <s v="LAP-3581"/>
    <n v="444.41"/>
    <n v="754.24"/>
    <n v="0.20699999999999999"/>
    <n v="0.20699999999999999"/>
    <n v="32"/>
    <n v="0.69717153079363647"/>
    <n v="19139.594240000002"/>
    <n v="14221.12"/>
    <n v="4918.4742400000014"/>
    <n v="0.25697902360546598"/>
    <s v="Medium"/>
    <n v="19139.594240000002"/>
    <n v="4918.4742400000014"/>
    <n v="17"/>
    <d v="2023-03-03T00:00:00"/>
    <d v="2023-03-31T00:00:00"/>
    <x v="0"/>
    <n v="69"/>
    <s v="True"/>
    <n v="19139.594240000002"/>
    <n v="38"/>
    <n v="28661.119999999999"/>
    <n v="38"/>
    <n v="511.07150000000001"/>
    <n v="16354.288"/>
  </r>
  <r>
    <s v="ORD-2024-872291"/>
    <x v="167"/>
    <d v="2024-01-12T00:00:00"/>
    <n v="4"/>
    <s v="Q1-2024"/>
    <x v="3"/>
    <x v="10"/>
    <s v="Bengaluru"/>
    <s v="Corporate"/>
    <x v="2"/>
    <x v="14"/>
    <x v="1"/>
    <s v="PRN-6585"/>
    <n v="802.32"/>
    <n v="1299.7584000000002"/>
    <n v="0.12"/>
    <n v="0.12"/>
    <n v="25"/>
    <n v="0.62000000000000011"/>
    <n v="28594.684800000003"/>
    <n v="20058"/>
    <n v="8536.6848000000027"/>
    <n v="0.29854096520763196"/>
    <s v="Medium"/>
    <n v="28594.684800000003"/>
    <n v="8536.6848000000027"/>
    <n v="24"/>
    <d v="2023-03-03T00:00:00"/>
    <d v="2023-03-31T00:00:00"/>
    <x v="0"/>
    <n v="69"/>
    <s v="False"/>
    <n v="28594.684800000003"/>
    <n v="30"/>
    <n v="38992.752000000008"/>
    <n v="30"/>
    <n v="922.66800000000001"/>
    <n v="23066.7"/>
  </r>
  <r>
    <s v="ORD-2024-885858"/>
    <x v="168"/>
    <d v="2024-01-23T00:00:00"/>
    <n v="13"/>
    <s v="Q1-2024"/>
    <x v="2"/>
    <x v="2"/>
    <s v="Marseille"/>
    <s v="Corporate"/>
    <x v="2"/>
    <x v="1"/>
    <x v="1"/>
    <s v="PRN-6776"/>
    <n v="720"/>
    <n v="907.59"/>
    <n v="0.154"/>
    <n v="0.154"/>
    <n v="10"/>
    <n v="0.26054166666666673"/>
    <n v="7678.2113999999992"/>
    <n v="7200"/>
    <n v="478.21139999999923"/>
    <n v="6.2281614179052078E-2"/>
    <s v="Medium"/>
    <n v="7678.2114000000001"/>
    <n v="478.21140000000014"/>
    <n v="17"/>
    <d v="2023-03-03T00:00:00"/>
    <d v="2023-03-31T00:00:00"/>
    <x v="1"/>
    <n v="162"/>
    <s v="False"/>
    <n v="7678.2114000000001"/>
    <n v="12"/>
    <n v="10891.08"/>
    <n v="12"/>
    <n v="827.99999999999989"/>
    <n v="8279.9999999999982"/>
  </r>
  <r>
    <s v="ORD-2024-281211"/>
    <x v="169"/>
    <d v="2024-02-02T00:00:00"/>
    <n v="22"/>
    <s v="Q1-2024"/>
    <x v="3"/>
    <x v="11"/>
    <s v="Nagoya"/>
    <s v="Small Business"/>
    <x v="1"/>
    <x v="2"/>
    <x v="1"/>
    <s v="PRN-7816"/>
    <n v="1237.68"/>
    <n v="1432.8"/>
    <n v="6.8000000000000005E-2"/>
    <n v="6.8000000000000005E-2"/>
    <n v="13"/>
    <n v="0.1576497963932518"/>
    <n v="17359.804799999998"/>
    <n v="16089.84"/>
    <n v="1269.9647999999979"/>
    <n v="7.315547695559331E-2"/>
    <s v="Low"/>
    <n v="17359.804799999998"/>
    <n v="1269.9647999999979"/>
    <n v="20"/>
    <d v="2023-03-03T00:00:00"/>
    <d v="2023-03-31T00:00:00"/>
    <x v="1"/>
    <n v="163"/>
    <s v="False"/>
    <n v="17359.804799999998"/>
    <n v="15"/>
    <n v="21492"/>
    <n v="15"/>
    <n v="1423.3319999999999"/>
    <n v="18503.315999999999"/>
  </r>
  <r>
    <s v="ORD-2024-296582"/>
    <x v="169"/>
    <d v="2024-02-02T00:00:00"/>
    <n v="22"/>
    <s v="Q1-2024"/>
    <x v="1"/>
    <x v="1"/>
    <s v="Durban"/>
    <s v="Consumer"/>
    <x v="1"/>
    <x v="10"/>
    <x v="4"/>
    <s v="NET-1412"/>
    <n v="1206.2"/>
    <n v="1759.79"/>
    <n v="0"/>
    <n v="0"/>
    <n v="6"/>
    <n v="0.45895373901508862"/>
    <n v="10558.74"/>
    <n v="7237.2000000000007"/>
    <n v="3321.5399999999991"/>
    <n v="0.31457730751964713"/>
    <s v="Medium"/>
    <n v="10558.74"/>
    <n v="3321.5399999999991"/>
    <n v="21"/>
    <d v="2023-03-03T00:00:00"/>
    <d v="2023-03-31T00:00:00"/>
    <x v="1"/>
    <n v="164"/>
    <s v="False"/>
    <n v="10558.74"/>
    <n v="7"/>
    <n v="12318.529999999999"/>
    <n v="7"/>
    <n v="1387.1299999999999"/>
    <n v="8322.7799999999988"/>
  </r>
  <r>
    <s v="ORD-2024-999607"/>
    <x v="170"/>
    <d v="2024-01-29T00:00:00"/>
    <n v="17"/>
    <s v="Q1-2024"/>
    <x v="0"/>
    <x v="4"/>
    <s v="Chicago"/>
    <s v="Education"/>
    <x v="0"/>
    <x v="1"/>
    <x v="1"/>
    <s v="PRN-8604"/>
    <n v="493.76"/>
    <n v="625.04"/>
    <n v="0.25800000000000001"/>
    <n v="0.25"/>
    <n v="10"/>
    <n v="0.2658781594296824"/>
    <n v="4637.7968000000001"/>
    <n v="4937.6000000000004"/>
    <n v="-299.80320000000029"/>
    <n v="-6.464345311549663E-2"/>
    <s v="Medium"/>
    <n v="4637.7968000000001"/>
    <n v="-299.80320000000029"/>
    <n v="20"/>
    <d v="2023-03-03T00:00:00"/>
    <d v="2023-03-31T00:00:00"/>
    <x v="1"/>
    <n v="165"/>
    <s v="True"/>
    <n v="4687.7999999999993"/>
    <n v="12"/>
    <n v="7500.48"/>
    <n v="12"/>
    <n v="567.82399999999996"/>
    <n v="5678.24"/>
  </r>
  <r>
    <s v="ORD-2024-153053"/>
    <x v="170"/>
    <d v="2024-01-29T00:00:00"/>
    <n v="17"/>
    <s v="Q1-2024"/>
    <x v="3"/>
    <x v="10"/>
    <s v="Hyderabad"/>
    <s v="Small Business"/>
    <x v="2"/>
    <x v="0"/>
    <x v="6"/>
    <s v="CMP-5138"/>
    <n v="310.02"/>
    <n v="619.51"/>
    <n v="4.2000000000000003E-2"/>
    <n v="4.2000000000000003E-2"/>
    <n v="4"/>
    <n v="0.99829043287529851"/>
    <n v="2373.9623200000001"/>
    <n v="1240.08"/>
    <n v="1133.8823200000002"/>
    <n v="0.47763282106347843"/>
    <s v="High"/>
    <n v="2373.9623200000001"/>
    <n v="1133.8823200000002"/>
    <n v="25"/>
    <d v="2023-03-03T00:00:00"/>
    <d v="2023-03-31T00:00:00"/>
    <x v="1"/>
    <n v="166"/>
    <s v="False"/>
    <n v="2373.9623200000001"/>
    <n v="4"/>
    <n v="2478.04"/>
    <n v="4"/>
    <n v="356.52299999999997"/>
    <n v="1426.0919999999999"/>
  </r>
  <r>
    <s v="ORD-2024-366010"/>
    <x v="171"/>
    <d v="2024-02-05T00:00:00"/>
    <n v="23"/>
    <s v="Q1-2024"/>
    <x v="2"/>
    <x v="8"/>
    <s v="Frankfurt"/>
    <s v="Education"/>
    <x v="2"/>
    <x v="0"/>
    <x v="0"/>
    <s v="LAP-9931"/>
    <n v="1017.93"/>
    <n v="1529.14"/>
    <n v="0.155"/>
    <n v="0.155"/>
    <n v="12"/>
    <n v="0.50220545617085677"/>
    <n v="15505.479600000001"/>
    <n v="12215.16"/>
    <n v="3290.3196000000007"/>
    <n v="0.21220366508366503"/>
    <s v="Medium"/>
    <n v="15505.479599999999"/>
    <n v="3290.3195999999989"/>
    <n v="19"/>
    <d v="2023-03-03T00:00:00"/>
    <d v="2023-03-31T00:00:00"/>
    <x v="1"/>
    <n v="166"/>
    <s v="False"/>
    <n v="15505.479599999999"/>
    <n v="14"/>
    <n v="21407.960000000003"/>
    <n v="14"/>
    <n v="1170.6194999999998"/>
    <n v="14047.433999999997"/>
  </r>
  <r>
    <s v="ORD-2024-206311"/>
    <x v="171"/>
    <d v="2024-01-15T00:00:00"/>
    <n v="2"/>
    <s v="Q1-2024"/>
    <x v="0"/>
    <x v="4"/>
    <s v="San Francisco"/>
    <s v="Non-Profit"/>
    <x v="2"/>
    <x v="14"/>
    <x v="6"/>
    <s v="CMP-2410"/>
    <n v="1061.3699999999999"/>
    <n v="1938.33"/>
    <n v="0.17"/>
    <n v="0.17"/>
    <n v="4"/>
    <n v="0.82625286186720948"/>
    <n v="6435.2555999999995"/>
    <n v="4245.4799999999996"/>
    <n v="2189.7755999999999"/>
    <n v="0.34027795259600879"/>
    <s v="High"/>
    <n v="6435.2555999999995"/>
    <n v="2189.7755999999999"/>
    <n v="21"/>
    <d v="2023-03-03T00:00:00"/>
    <d v="2023-03-31T00:00:00"/>
    <x v="0"/>
    <n v="70"/>
    <s v="False"/>
    <n v="6435.2555999999995"/>
    <n v="4"/>
    <n v="7753.32"/>
    <n v="4"/>
    <n v="1220.5754999999997"/>
    <n v="4882.3019999999988"/>
  </r>
  <r>
    <s v="ORD-2024-851883"/>
    <x v="171"/>
    <d v="2024-01-22T00:00:00"/>
    <n v="9"/>
    <s v="Q1-2024"/>
    <x v="3"/>
    <x v="10"/>
    <s v="Mumbai"/>
    <s v="Enterprise"/>
    <x v="4"/>
    <x v="13"/>
    <x v="6"/>
    <s v="CMP-8141"/>
    <n v="313.60000000000002"/>
    <n v="334.28"/>
    <n v="0.14000000000000001"/>
    <n v="0.14000000000000001"/>
    <n v="22"/>
    <n v="6.5943877551020241E-2"/>
    <n v="6324.5775999999996"/>
    <n v="6899.2000000000007"/>
    <n v="-574.62240000000111"/>
    <n v="-9.0855458868905517E-2"/>
    <s v="Low"/>
    <n v="6324.5775999999996"/>
    <n v="-574.62240000000111"/>
    <n v="26"/>
    <d v="2023-03-03T00:00:00"/>
    <d v="2023-03-31T00:00:00"/>
    <x v="1"/>
    <n v="168"/>
    <s v="False"/>
    <n v="6324.5775999999996"/>
    <n v="26"/>
    <n v="8691.2799999999988"/>
    <n v="26"/>
    <n v="360.64"/>
    <n v="7934.08"/>
  </r>
  <r>
    <s v="ORD-2024-749242"/>
    <x v="172"/>
    <d v="2024-02-11T00:00:00"/>
    <n v="26"/>
    <s v="Q1-2024"/>
    <x v="2"/>
    <x v="8"/>
    <s v="Frankfurt"/>
    <s v="Non-Profit"/>
    <x v="0"/>
    <x v="14"/>
    <x v="5"/>
    <s v="MON-4195"/>
    <n v="504.93"/>
    <n v="819.06"/>
    <n v="0.22600000000000001"/>
    <n v="0.22600000000000001"/>
    <n v="15"/>
    <n v="0.62212583922523901"/>
    <n v="9509.2865999999995"/>
    <n v="7573.95"/>
    <n v="1935.3365999999996"/>
    <n v="0.20352069312959814"/>
    <s v="Medium"/>
    <n v="9509.2865999999995"/>
    <n v="1935.3365999999996"/>
    <n v="20"/>
    <d v="2023-03-03T00:00:00"/>
    <d v="2023-03-31T00:00:00"/>
    <x v="1"/>
    <n v="169"/>
    <s v="True"/>
    <n v="9509.2865999999995"/>
    <n v="18"/>
    <n v="14743.079999999998"/>
    <n v="18"/>
    <n v="580.66949999999997"/>
    <n v="8710.0424999999996"/>
  </r>
  <r>
    <s v="ORD-2024-892173"/>
    <x v="173"/>
    <d v="2024-02-03T00:00:00"/>
    <n v="16"/>
    <s v="Q1-2024"/>
    <x v="1"/>
    <x v="1"/>
    <s v="Cape Town"/>
    <s v="Non-Profit"/>
    <x v="0"/>
    <x v="9"/>
    <x v="1"/>
    <s v="PRN-6660"/>
    <n v="666.23"/>
    <n v="1382.91"/>
    <n v="0.17599999999999999"/>
    <n v="0.17599999999999999"/>
    <n v="13"/>
    <n v="1.0757245996127465"/>
    <n v="14813.731920000002"/>
    <n v="8660.99"/>
    <n v="6152.7419200000022"/>
    <n v="0.41534043907553048"/>
    <s v="High"/>
    <n v="14813.731920000002"/>
    <n v="6152.7419200000022"/>
    <n v="22"/>
    <d v="2023-03-03T00:00:00"/>
    <d v="2023-03-31T00:00:00"/>
    <x v="1"/>
    <n v="170"/>
    <s v="False"/>
    <n v="14813.731920000002"/>
    <n v="15"/>
    <n v="20743.650000000001"/>
    <n v="15"/>
    <n v="766.16449999999998"/>
    <n v="9960.1384999999991"/>
  </r>
  <r>
    <s v="ORD-2024-890180"/>
    <x v="174"/>
    <d v="2024-02-13T00:00:00"/>
    <n v="24"/>
    <s v="Q1-2024"/>
    <x v="2"/>
    <x v="2"/>
    <s v="Marseille"/>
    <s v="Corporate"/>
    <x v="3"/>
    <x v="4"/>
    <x v="1"/>
    <s v="PRN-8392"/>
    <n v="643.53"/>
    <n v="1439.01"/>
    <n v="0"/>
    <n v="0"/>
    <n v="15"/>
    <n v="1.2361195282271225"/>
    <n v="21585.15"/>
    <n v="9652.9499999999989"/>
    <n v="11932.200000000003"/>
    <n v="0.55279671440782208"/>
    <s v="High"/>
    <n v="21585.15"/>
    <n v="11932.200000000003"/>
    <n v="18"/>
    <d v="2023-03-03T00:00:00"/>
    <d v="2023-03-31T00:00:00"/>
    <x v="1"/>
    <n v="170"/>
    <s v="False"/>
    <n v="21585.15"/>
    <n v="18"/>
    <n v="25902.18"/>
    <n v="18"/>
    <n v="740.05949999999996"/>
    <n v="11100.8925"/>
  </r>
  <r>
    <s v="ORD-2024-604471"/>
    <x v="175"/>
    <d v="2024-01-25T00:00:00"/>
    <n v="4"/>
    <s v="Q1-2024"/>
    <x v="3"/>
    <x v="10"/>
    <s v="Delhi"/>
    <s v="Consumer"/>
    <x v="2"/>
    <x v="11"/>
    <x v="5"/>
    <s v="MON-8973"/>
    <n v="523.70000000000005"/>
    <n v="1109.92"/>
    <n v="0.03"/>
    <n v="0.03"/>
    <n v="11"/>
    <n v="1.1193813251861753"/>
    <n v="11842.8464"/>
    <n v="5760.7000000000007"/>
    <n v="6082.1463999999996"/>
    <n v="0.51357133197302973"/>
    <s v="High"/>
    <n v="11842.8464"/>
    <n v="6082.1463999999996"/>
    <n v="27"/>
    <d v="2023-03-03T00:00:00"/>
    <d v="2023-03-31T00:00:00"/>
    <x v="0"/>
    <n v="71"/>
    <s v="False"/>
    <n v="11842.8464"/>
    <n v="13"/>
    <n v="14428.960000000001"/>
    <n v="13"/>
    <n v="602.255"/>
    <n v="6624.8050000000003"/>
  </r>
  <r>
    <s v="ORD-2024-207669"/>
    <x v="176"/>
    <d v="2024-02-04T00:00:00"/>
    <n v="11"/>
    <s v="Q1-2024"/>
    <x v="2"/>
    <x v="6"/>
    <s v="Manchester"/>
    <s v="Consumer"/>
    <x v="3"/>
    <x v="0"/>
    <x v="0"/>
    <s v="LAP-5689"/>
    <n v="525.34"/>
    <n v="1233.79"/>
    <n v="0.14299999999999999"/>
    <n v="0.14299999999999999"/>
    <n v="4"/>
    <n v="1.348555221380439"/>
    <n v="4229.4321199999995"/>
    <n v="2101.36"/>
    <n v="2128.0721199999994"/>
    <n v="0.50315788494082736"/>
    <s v="High"/>
    <n v="4229.4321199999995"/>
    <n v="2128.0721199999994"/>
    <n v="22"/>
    <d v="2023-03-03T00:00:00"/>
    <d v="2023-03-31T00:00:00"/>
    <x v="1"/>
    <n v="172"/>
    <s v="False"/>
    <n v="4229.4321199999995"/>
    <n v="4"/>
    <n v="4935.16"/>
    <n v="4"/>
    <n v="604.14099999999996"/>
    <n v="2416.5639999999999"/>
  </r>
  <r>
    <s v="ORD-2024-532184"/>
    <x v="177"/>
    <d v="2024-02-08T00:00:00"/>
    <n v="14"/>
    <s v="Q1-2024"/>
    <x v="3"/>
    <x v="11"/>
    <s v="Osaka"/>
    <s v="Consumer"/>
    <x v="4"/>
    <x v="12"/>
    <x v="4"/>
    <s v="NET-9569"/>
    <n v="937.16"/>
    <n v="1069.77"/>
    <n v="3.7999999999999999E-2"/>
    <n v="3.7999999999999999E-2"/>
    <n v="9"/>
    <n v="0.14150198471979172"/>
    <n v="9262.0686600000008"/>
    <n v="8434.44"/>
    <n v="827.62866000000031"/>
    <n v="8.9356783066645962E-2"/>
    <s v="Low"/>
    <n v="9262.068659999999"/>
    <n v="827.62865999999849"/>
    <n v="21"/>
    <d v="2023-03-03T00:00:00"/>
    <d v="2023-03-31T00:00:00"/>
    <x v="1"/>
    <n v="172"/>
    <s v="False"/>
    <n v="9262.068659999999"/>
    <n v="10"/>
    <n v="10697.7"/>
    <n v="10"/>
    <n v="1077.7339999999999"/>
    <n v="9699.6059999999998"/>
  </r>
  <r>
    <s v="ORD-2024-499009"/>
    <x v="177"/>
    <d v="2024-01-27T00:00:00"/>
    <n v="2"/>
    <s v="Q1-2024"/>
    <x v="0"/>
    <x v="9"/>
    <s v="São Paulo"/>
    <s v="Non-Profit"/>
    <x v="4"/>
    <x v="8"/>
    <x v="0"/>
    <s v="LAP-7056"/>
    <n v="1410.97"/>
    <n v="1650.75"/>
    <n v="0.13500000000000001"/>
    <n v="0.13500000000000001"/>
    <n v="6"/>
    <n v="0.16993982862853213"/>
    <n v="8567.3924999999999"/>
    <n v="8465.82"/>
    <n v="101.57250000000022"/>
    <n v="1.1855707556295596E-2"/>
    <s v="Low"/>
    <n v="8567.3924999999999"/>
    <n v="101.57250000000022"/>
    <n v="24"/>
    <d v="2023-03-03T00:00:00"/>
    <d v="2023-03-31T00:00:00"/>
    <x v="0"/>
    <n v="73"/>
    <s v="False"/>
    <n v="8567.3924999999999"/>
    <n v="7"/>
    <n v="11555.25"/>
    <n v="7"/>
    <n v="1622.6154999999999"/>
    <n v="9735.6929999999993"/>
  </r>
  <r>
    <s v="ORD-2024-838925"/>
    <x v="178"/>
    <d v="2024-01-28T00:00:00"/>
    <n v="1"/>
    <s v="Q1-2024"/>
    <x v="1"/>
    <x v="1"/>
    <s v="Cape Town"/>
    <s v="Enterprise"/>
    <x v="2"/>
    <x v="5"/>
    <x v="6"/>
    <s v="CMP-1470"/>
    <n v="109.75"/>
    <n v="124.25"/>
    <n v="0.12"/>
    <n v="0.12"/>
    <n v="19"/>
    <n v="0.13211845102505695"/>
    <n v="2077.46"/>
    <n v="2085.25"/>
    <n v="-7.7899999999999636"/>
    <n v="-3.7497713554051405E-3"/>
    <s v="Low"/>
    <n v="2077.46"/>
    <n v="-7.7899999999999636"/>
    <n v="24"/>
    <d v="2023-03-03T00:00:00"/>
    <d v="2023-03-31T00:00:00"/>
    <x v="0"/>
    <n v="74"/>
    <s v="False"/>
    <n v="2077.46"/>
    <n v="22"/>
    <n v="2733.5"/>
    <n v="22"/>
    <n v="126.21249999999999"/>
    <n v="2398.0374999999999"/>
  </r>
  <r>
    <s v="ORD-2024-277241"/>
    <x v="179"/>
    <d v="2024-01-30T00:00:00"/>
    <n v="2"/>
    <s v="Q1-2024"/>
    <x v="1"/>
    <x v="1"/>
    <s v="Cape Town"/>
    <s v="Consumer"/>
    <x v="2"/>
    <x v="7"/>
    <x v="3"/>
    <s v="ACC-6223"/>
    <n v="798.45"/>
    <n v="1592.02"/>
    <n v="6.6000000000000003E-2"/>
    <n v="6.6000000000000003E-2"/>
    <n v="18"/>
    <n v="0.99388815830671917"/>
    <n v="26765.040239999998"/>
    <n v="14372.1"/>
    <n v="12392.940239999998"/>
    <n v="0.46302714768494585"/>
    <s v="High"/>
    <n v="26765.040239999995"/>
    <n v="12392.940239999994"/>
    <n v="24"/>
    <d v="2023-03-03T00:00:00"/>
    <d v="2023-03-31T00:00:00"/>
    <x v="0"/>
    <n v="74"/>
    <s v="False"/>
    <n v="26765.040239999995"/>
    <n v="21"/>
    <n v="33432.42"/>
    <n v="21"/>
    <n v="918.21749999999997"/>
    <n v="16527.915000000001"/>
  </r>
  <r>
    <s v="ORD-2024-210687"/>
    <x v="179"/>
    <d v="2024-02-09T00:00:00"/>
    <n v="12"/>
    <s v="Q1-2024"/>
    <x v="2"/>
    <x v="8"/>
    <s v="Berlin"/>
    <s v="Corporate"/>
    <x v="1"/>
    <x v="6"/>
    <x v="3"/>
    <s v="ACC-7938"/>
    <n v="644.16999999999996"/>
    <n v="700.12"/>
    <n v="6.0000000000000001E-3"/>
    <n v="6.0000000000000001E-3"/>
    <n v="23"/>
    <n v="8.6855954173587796E-2"/>
    <n v="16006.14344"/>
    <n v="14815.91"/>
    <n v="1190.23344"/>
    <n v="7.436103796405813E-2"/>
    <s v="Low"/>
    <n v="16006.14344"/>
    <n v="1190.23344"/>
    <n v="21"/>
    <d v="2023-03-03T00:00:00"/>
    <d v="2023-03-31T00:00:00"/>
    <x v="1"/>
    <n v="173"/>
    <s v="False"/>
    <n v="16006.14344"/>
    <n v="27"/>
    <n v="18903.240000000002"/>
    <n v="27"/>
    <n v="740.79549999999995"/>
    <n v="17038.2965"/>
  </r>
  <r>
    <s v="ORD-2024-331408"/>
    <x v="180"/>
    <d v="2024-02-01T00:00:00"/>
    <n v="0"/>
    <s v="Q1-2024"/>
    <x v="0"/>
    <x v="4"/>
    <s v="Austin"/>
    <s v="Consumer"/>
    <x v="0"/>
    <x v="4"/>
    <x v="1"/>
    <s v="PRN-4906"/>
    <n v="714.43"/>
    <n v="1595.52"/>
    <n v="0.19400000000000001"/>
    <n v="0.19400000000000001"/>
    <n v="14"/>
    <n v="1.2332768780706298"/>
    <n v="18003.847679999999"/>
    <n v="10002.019999999999"/>
    <n v="8001.8276800000003"/>
    <n v="0.44445097638151093"/>
    <s v="High"/>
    <n v="18003.847679999999"/>
    <n v="8001.8276800000003"/>
    <n v="22"/>
    <d v="2023-03-03T00:00:00"/>
    <d v="2023-03-31T00:00:00"/>
    <x v="0"/>
    <n v="75"/>
    <s v="False"/>
    <n v="18003.847679999999"/>
    <n v="16"/>
    <n v="25528.32"/>
    <n v="16"/>
    <n v="821.59449999999993"/>
    <n v="11502.322999999999"/>
  </r>
  <r>
    <s v="ORD-2024-764468"/>
    <x v="180"/>
    <d v="2024-02-21T00:00:00"/>
    <n v="20"/>
    <s v="Q1-2024"/>
    <x v="2"/>
    <x v="2"/>
    <s v="Paris"/>
    <s v="Small Business"/>
    <x v="4"/>
    <x v="1"/>
    <x v="4"/>
    <s v="NET-8761"/>
    <n v="656.2"/>
    <n v="1467.17"/>
    <n v="1.7999999999999999E-2"/>
    <n v="1.7999999999999999E-2"/>
    <n v="5"/>
    <n v="1.2358579701310575"/>
    <n v="7203.8047000000006"/>
    <n v="3281"/>
    <n v="3922.8047000000006"/>
    <n v="0.54454623124360946"/>
    <s v="High"/>
    <n v="7203.8047000000006"/>
    <n v="3922.8047000000006"/>
    <n v="19"/>
    <d v="2023-03-03T00:00:00"/>
    <d v="2023-03-31T00:00:00"/>
    <x v="1"/>
    <n v="175"/>
    <s v="False"/>
    <n v="7203.8047000000006"/>
    <n v="6"/>
    <n v="8803.02"/>
    <n v="6"/>
    <n v="754.63"/>
    <n v="3773.15"/>
  </r>
  <r>
    <s v="ORD-2024-760799"/>
    <x v="181"/>
    <d v="2024-02-19T00:00:00"/>
    <n v="16"/>
    <s v="Q1-2024"/>
    <x v="3"/>
    <x v="3"/>
    <s v="Shenzhen"/>
    <s v="Small Business"/>
    <x v="1"/>
    <x v="4"/>
    <x v="0"/>
    <s v="LAP-5531"/>
    <n v="993.75"/>
    <n v="1310.29"/>
    <n v="0.215"/>
    <n v="0.215"/>
    <n v="19"/>
    <n v="0.31853081761006286"/>
    <n v="19542.975350000001"/>
    <n v="18881.25"/>
    <n v="661.72535000000062"/>
    <n v="3.3860010471742245E-2"/>
    <s v="Medium"/>
    <n v="19542.975350000001"/>
    <n v="661.72535000000062"/>
    <n v="19"/>
    <d v="2023-03-03T00:00:00"/>
    <d v="2023-03-31T00:00:00"/>
    <x v="1"/>
    <n v="176"/>
    <s v="True"/>
    <n v="19542.975350000001"/>
    <n v="22"/>
    <n v="28826.379999999997"/>
    <n v="22"/>
    <n v="1142.8125"/>
    <n v="21713.4375"/>
  </r>
  <r>
    <s v="ORD-2024-960952"/>
    <x v="181"/>
    <d v="2024-02-21T00:00:00"/>
    <n v="18"/>
    <s v="Q1-2024"/>
    <x v="2"/>
    <x v="8"/>
    <s v="Frankfurt"/>
    <s v="Corporate"/>
    <x v="3"/>
    <x v="4"/>
    <x v="6"/>
    <s v="CMP-9264"/>
    <n v="39.229999999999997"/>
    <n v="70.221699999999998"/>
    <n v="0.17699999999999999"/>
    <n v="0.17699999999999999"/>
    <n v="13"/>
    <n v="0.79000000000000015"/>
    <n v="751.3019683"/>
    <n v="509.98999999999995"/>
    <n v="241.31196830000005"/>
    <n v="0.32119171582369999"/>
    <s v="High"/>
    <n v="751.30196829999988"/>
    <n v="241.31196829999993"/>
    <n v="22"/>
    <d v="2023-03-03T00:00:00"/>
    <d v="2023-03-31T00:00:00"/>
    <x v="1"/>
    <n v="177"/>
    <s v="False"/>
    <n v="751.30196829999988"/>
    <n v="15"/>
    <n v="1053.3254999999999"/>
    <n v="15"/>
    <n v="45.114499999999992"/>
    <n v="586.48849999999993"/>
  </r>
  <r>
    <s v="ORD-2024-647571"/>
    <x v="182"/>
    <d v="2024-02-28T00:00:00"/>
    <n v="22"/>
    <s v="Q1-2024"/>
    <x v="1"/>
    <x v="7"/>
    <s v="Kisumu"/>
    <s v="Non-Profit"/>
    <x v="1"/>
    <x v="10"/>
    <x v="5"/>
    <s v="MON-2462"/>
    <n v="834.93"/>
    <n v="1588.53"/>
    <n v="0.126"/>
    <n v="0.126"/>
    <n v="6"/>
    <n v="0.90259063634077119"/>
    <n v="8330.2513199999994"/>
    <n v="5009.58"/>
    <n v="3320.6713199999995"/>
    <n v="0.39862798761274343"/>
    <s v="High"/>
    <n v="8330.2513199999994"/>
    <n v="3320.6713199999995"/>
    <n v="21"/>
    <d v="2023-03-03T00:00:00"/>
    <d v="2023-03-31T00:00:00"/>
    <x v="1"/>
    <n v="177"/>
    <s v="False"/>
    <n v="8330.2513199999994"/>
    <n v="7"/>
    <n v="11119.71"/>
    <n v="7"/>
    <n v="960.16949999999986"/>
    <n v="5761.0169999999989"/>
  </r>
  <r>
    <s v="ORD-2024-979401"/>
    <x v="183"/>
    <d v="2024-02-09T00:00:00"/>
    <n v="1"/>
    <s v="Q1-2024"/>
    <x v="1"/>
    <x v="7"/>
    <s v="Mombasa"/>
    <s v="Corporate"/>
    <x v="2"/>
    <x v="7"/>
    <x v="6"/>
    <s v="CMP-5911"/>
    <n v="1233.52"/>
    <n v="1543.76"/>
    <n v="0.126"/>
    <n v="0.126"/>
    <n v="13"/>
    <n v="0.2515078798884493"/>
    <n v="17540.201120000002"/>
    <n v="16035.76"/>
    <n v="1504.4411200000013"/>
    <n v="8.5771030201277493E-2"/>
    <s v="Medium"/>
    <n v="17540.201119999998"/>
    <n v="1504.4411199999977"/>
    <n v="22"/>
    <d v="2023-03-03T00:00:00"/>
    <d v="2023-03-31T00:00:00"/>
    <x v="0"/>
    <n v="76"/>
    <s v="False"/>
    <n v="17540.201119999998"/>
    <n v="15"/>
    <n v="23156.400000000001"/>
    <n v="15"/>
    <n v="1418.5479999999998"/>
    <n v="18441.123999999996"/>
  </r>
  <r>
    <s v="ORD-2024-968374"/>
    <x v="184"/>
    <d v="2024-03-03T00:00:00"/>
    <n v="21"/>
    <s v="Q1-2024"/>
    <x v="1"/>
    <x v="7"/>
    <s v="Kisumu"/>
    <s v="Enterprise"/>
    <x v="1"/>
    <x v="0"/>
    <x v="2"/>
    <s v="PHN-5082"/>
    <n v="516.86"/>
    <n v="852.54"/>
    <n v="5.0999999999999997E-2"/>
    <n v="5.0999999999999997E-2"/>
    <n v="14"/>
    <n v="0.64946020198893306"/>
    <n v="11326.846439999999"/>
    <n v="7236.04"/>
    <n v="4090.8064399999994"/>
    <n v="0.36116022775355994"/>
    <s v="Medium"/>
    <n v="11326.846439999999"/>
    <n v="4090.8064399999994"/>
    <n v="22"/>
    <d v="2023-03-03T00:00:00"/>
    <d v="2023-03-31T00:00:00"/>
    <x v="1"/>
    <n v="178"/>
    <s v="False"/>
    <n v="11326.846439999999"/>
    <n v="16"/>
    <n v="13640.64"/>
    <n v="16"/>
    <n v="594.38900000000001"/>
    <n v="8321.4459999999999"/>
  </r>
  <r>
    <s v="ORD-2024-232632"/>
    <x v="185"/>
    <d v="2024-02-14T00:00:00"/>
    <n v="0"/>
    <s v="Q1-2024"/>
    <x v="3"/>
    <x v="3"/>
    <s v="Beijing"/>
    <s v="Corporate"/>
    <x v="0"/>
    <x v="9"/>
    <x v="3"/>
    <s v="ACC-1021"/>
    <n v="65.930000000000007"/>
    <n v="84.9"/>
    <n v="0.25900000000000001"/>
    <n v="0.25"/>
    <n v="23"/>
    <n v="0.28772940998028207"/>
    <n v="1446.9507000000001"/>
    <n v="1516.39"/>
    <n v="-69.439300000000003"/>
    <n v="-4.7990093926489688E-2"/>
    <s v="Medium"/>
    <n v="1446.9507000000001"/>
    <n v="-69.439300000000003"/>
    <n v="20"/>
    <d v="2023-03-03T00:00:00"/>
    <d v="2023-03-31T00:00:00"/>
    <x v="0"/>
    <n v="77"/>
    <s v="True"/>
    <n v="1464.5250000000001"/>
    <n v="27"/>
    <n v="2292.3000000000002"/>
    <n v="27"/>
    <n v="75.819500000000005"/>
    <n v="1743.8485000000001"/>
  </r>
  <r>
    <s v="ORD-2024-544865"/>
    <x v="186"/>
    <d v="2024-03-04T00:00:00"/>
    <n v="17"/>
    <s v="Q1-2024"/>
    <x v="0"/>
    <x v="0"/>
    <s v="Montreal"/>
    <s v="Non-Profit"/>
    <x v="3"/>
    <x v="2"/>
    <x v="0"/>
    <s v="LAP-2774"/>
    <n v="1350.98"/>
    <n v="2210.4"/>
    <n v="0.26300000000000001"/>
    <n v="0.25"/>
    <n v="6"/>
    <n v="0.63614561281440141"/>
    <n v="9774.3888000000006"/>
    <n v="8105.88"/>
    <n v="1668.5088000000005"/>
    <n v="0.17070211080615091"/>
    <s v="Medium"/>
    <n v="9774.3888000000006"/>
    <n v="1668.5088000000005"/>
    <n v="18"/>
    <d v="2023-03-03T00:00:00"/>
    <d v="2023-03-31T00:00:00"/>
    <x v="1"/>
    <n v="180"/>
    <s v="True"/>
    <n v="9946.8000000000011"/>
    <n v="7"/>
    <n v="15472.800000000001"/>
    <n v="7"/>
    <n v="1553.627"/>
    <n v="9321.7619999999988"/>
  </r>
  <r>
    <s v="ORD-2024-647473"/>
    <x v="187"/>
    <d v="2024-03-04T00:00:00"/>
    <n v="16"/>
    <s v="Q1-2024"/>
    <x v="3"/>
    <x v="10"/>
    <s v="Delhi"/>
    <s v="Small Business"/>
    <x v="4"/>
    <x v="7"/>
    <x v="2"/>
    <s v="PHN-1717"/>
    <n v="1231.8"/>
    <n v="2015.99"/>
    <n v="0.26100000000000001"/>
    <n v="0.25"/>
    <n v="6"/>
    <n v="0.63662120474102946"/>
    <n v="8938.8996600000009"/>
    <n v="7390.7999999999993"/>
    <n v="1548.0996600000017"/>
    <n v="0.17318682599464391"/>
    <s v="Medium"/>
    <n v="8938.8996600000009"/>
    <n v="1548.0996600000017"/>
    <n v="28"/>
    <d v="2023-03-03T00:00:00"/>
    <d v="2023-03-31T00:00:00"/>
    <x v="1"/>
    <n v="181"/>
    <s v="True"/>
    <n v="9071.9549999999999"/>
    <n v="7"/>
    <n v="14111.93"/>
    <n v="7"/>
    <n v="1416.57"/>
    <n v="8499.42"/>
  </r>
  <r>
    <s v="ORD-2024-129345"/>
    <x v="188"/>
    <d v="2024-03-03T00:00:00"/>
    <n v="14"/>
    <s v="Q1-2024"/>
    <x v="0"/>
    <x v="9"/>
    <s v="Rio de Janeiro"/>
    <s v="Enterprise"/>
    <x v="0"/>
    <x v="1"/>
    <x v="1"/>
    <s v="PRN-5384"/>
    <n v="624.23"/>
    <n v="1318.37"/>
    <n v="0.21"/>
    <n v="0.21"/>
    <n v="37"/>
    <n v="1.1119939765791453"/>
    <n v="38535.955099999999"/>
    <n v="23096.510000000002"/>
    <n v="15439.445099999997"/>
    <n v="0.40065038118128793"/>
    <s v="High"/>
    <n v="38535.955099999992"/>
    <n v="15439.44509999999"/>
    <n v="25"/>
    <d v="2023-03-03T00:00:00"/>
    <d v="2023-03-31T00:00:00"/>
    <x v="1"/>
    <n v="182"/>
    <s v="True"/>
    <n v="38535.955099999992"/>
    <n v="44"/>
    <n v="58008.28"/>
    <n v="44"/>
    <n v="717.86450000000002"/>
    <n v="26560.986499999999"/>
  </r>
  <r>
    <s v="ORD-2024-201376"/>
    <x v="188"/>
    <d v="2024-03-04T00:00:00"/>
    <n v="15"/>
    <s v="Q1-2024"/>
    <x v="1"/>
    <x v="7"/>
    <s v="Kisumu"/>
    <s v="Education"/>
    <x v="2"/>
    <x v="10"/>
    <x v="1"/>
    <s v="PRN-7089"/>
    <n v="928.68"/>
    <n v="2145.17"/>
    <n v="0.13600000000000001"/>
    <n v="0.13600000000000001"/>
    <n v="16"/>
    <n v="1.3099129947883019"/>
    <n v="29654.83008"/>
    <n v="14858.88"/>
    <n v="14795.950080000001"/>
    <n v="0.49893896003062177"/>
    <s v="High"/>
    <n v="29654.83008"/>
    <n v="14795.950080000001"/>
    <n v="23"/>
    <d v="2023-03-03T00:00:00"/>
    <d v="2023-03-31T00:00:00"/>
    <x v="1"/>
    <n v="183"/>
    <s v="False"/>
    <n v="29654.83008"/>
    <n v="19"/>
    <n v="40758.230000000003"/>
    <n v="19"/>
    <n v="1067.982"/>
    <n v="17087.712"/>
  </r>
  <r>
    <s v="ORD-2024-206121"/>
    <x v="188"/>
    <d v="2024-03-11T00:00:00"/>
    <n v="22"/>
    <s v="Q1-2024"/>
    <x v="0"/>
    <x v="9"/>
    <s v="São Paulo"/>
    <s v="Consumer"/>
    <x v="1"/>
    <x v="1"/>
    <x v="6"/>
    <s v="CMP-9801"/>
    <n v="80.48"/>
    <n v="168.20320000000001"/>
    <n v="0.17599999999999999"/>
    <n v="0.17599999999999999"/>
    <n v="13"/>
    <n v="1.0900000000000001"/>
    <n v="1801.7926784000001"/>
    <n v="1046.24"/>
    <n v="755.5526784000001"/>
    <n v="0.41933385980396715"/>
    <s v="High"/>
    <n v="1801.7926784000001"/>
    <n v="755.5526784000001"/>
    <n v="26"/>
    <d v="2023-03-03T00:00:00"/>
    <d v="2023-03-31T00:00:00"/>
    <x v="1"/>
    <n v="184"/>
    <s v="False"/>
    <n v="1801.7926784000001"/>
    <n v="15"/>
    <n v="2523.0480000000002"/>
    <n v="15"/>
    <n v="92.551999999999992"/>
    <n v="1203.1759999999999"/>
  </r>
  <r>
    <s v="ORD-2024-468655"/>
    <x v="189"/>
    <d v="2024-03-06T00:00:00"/>
    <n v="16"/>
    <s v="Q1-2024"/>
    <x v="3"/>
    <x v="3"/>
    <s v="Beijing"/>
    <s v="Education"/>
    <x v="4"/>
    <x v="5"/>
    <x v="1"/>
    <s v="PRN-6308"/>
    <n v="1477.84"/>
    <n v="3197.47"/>
    <n v="0.24299999999999999"/>
    <n v="0.24299999999999999"/>
    <n v="24"/>
    <n v="1.1636104043739512"/>
    <n v="58091.634960000003"/>
    <n v="35468.159999999996"/>
    <n v="22623.474960000007"/>
    <n v="0.38944462443823091"/>
    <s v="High"/>
    <n v="58091.634959999996"/>
    <n v="22623.47496"/>
    <n v="21"/>
    <d v="2023-03-03T00:00:00"/>
    <d v="2023-03-31T00:00:00"/>
    <x v="1"/>
    <n v="184"/>
    <s v="True"/>
    <n v="58091.634959999996"/>
    <n v="28"/>
    <n v="89529.159999999989"/>
    <n v="28"/>
    <n v="1699.5159999999998"/>
    <n v="40788.383999999998"/>
  </r>
  <r>
    <s v="ORD-2024-437164"/>
    <x v="190"/>
    <d v="2024-02-20T00:00:00"/>
    <n v="0"/>
    <s v="Q1-2024"/>
    <x v="0"/>
    <x v="4"/>
    <s v="New York"/>
    <s v="Enterprise"/>
    <x v="1"/>
    <x v="11"/>
    <x v="4"/>
    <s v="NET-9177"/>
    <n v="1407.05"/>
    <n v="2858.93"/>
    <n v="0"/>
    <n v="0"/>
    <n v="12"/>
    <n v="1.0318609857503287"/>
    <n v="34307.159999999996"/>
    <n v="16884.599999999999"/>
    <n v="17422.559999999998"/>
    <n v="0.50784034586366222"/>
    <s v="High"/>
    <n v="34307.159999999996"/>
    <n v="17422.559999999998"/>
    <n v="23"/>
    <d v="2023-03-03T00:00:00"/>
    <d v="2023-03-31T00:00:00"/>
    <x v="0"/>
    <n v="78"/>
    <s v="False"/>
    <n v="34307.159999999996"/>
    <n v="14"/>
    <n v="40025.019999999997"/>
    <n v="14"/>
    <n v="1618.1074999999998"/>
    <n v="19417.289999999997"/>
  </r>
  <r>
    <s v="ORD-2024-811752"/>
    <x v="191"/>
    <d v="2024-03-09T00:00:00"/>
    <n v="13"/>
    <s v="Q1-2024"/>
    <x v="2"/>
    <x v="2"/>
    <s v="Marseille"/>
    <s v="Small Business"/>
    <x v="0"/>
    <x v="14"/>
    <x v="5"/>
    <s v="MON-3350"/>
    <n v="322.44"/>
    <n v="395.61"/>
    <n v="0"/>
    <n v="0"/>
    <n v="34"/>
    <n v="0.22692593970971348"/>
    <n v="13450.74"/>
    <n v="10962.96"/>
    <n v="2487.7800000000007"/>
    <n v="0.18495487980586947"/>
    <s v="Low"/>
    <n v="13450.74"/>
    <n v="2487.7800000000007"/>
    <n v="20"/>
    <d v="2023-03-03T00:00:00"/>
    <d v="2023-03-31T00:00:00"/>
    <x v="1"/>
    <n v="186"/>
    <s v="False"/>
    <n v="13450.74"/>
    <n v="40"/>
    <n v="15824.400000000001"/>
    <n v="40"/>
    <n v="370.80599999999998"/>
    <n v="12607.403999999999"/>
  </r>
  <r>
    <s v="ORD-2024-515105"/>
    <x v="192"/>
    <d v="2024-03-26T00:00:00"/>
    <n v="28"/>
    <s v="Q1-2024"/>
    <x v="3"/>
    <x v="10"/>
    <s v="Mumbai"/>
    <s v="Education"/>
    <x v="4"/>
    <x v="6"/>
    <x v="0"/>
    <s v="LAP-8469"/>
    <n v="1035.19"/>
    <n v="2322.6999999999998"/>
    <n v="0.17299999999999999"/>
    <n v="0.17299999999999999"/>
    <n v="8"/>
    <n v="1.2437426945778067"/>
    <n v="15366.983199999999"/>
    <n v="8281.52"/>
    <n v="7085.4631999999983"/>
    <n v="0.46108355217047409"/>
    <s v="High"/>
    <n v="15366.983199999999"/>
    <n v="7085.4631999999983"/>
    <n v="29"/>
    <d v="2023-03-03T00:00:00"/>
    <d v="2023-03-31T00:00:00"/>
    <x v="1"/>
    <n v="187"/>
    <s v="False"/>
    <n v="15366.983199999999"/>
    <n v="9"/>
    <n v="20904.3"/>
    <n v="9"/>
    <n v="1190.4684999999999"/>
    <n v="9523.7479999999996"/>
  </r>
  <r>
    <s v="ORD-2024-197852"/>
    <x v="193"/>
    <d v="2024-03-30T00:00:00"/>
    <n v="30"/>
    <s v="Q1-2024"/>
    <x v="3"/>
    <x v="11"/>
    <s v="Nagoya"/>
    <s v="Small Business"/>
    <x v="2"/>
    <x v="12"/>
    <x v="4"/>
    <s v="NET-7588"/>
    <n v="231.11"/>
    <n v="318.17"/>
    <n v="0.20100000000000001"/>
    <n v="0.20100000000000001"/>
    <n v="60"/>
    <n v="0.37670373415256803"/>
    <n v="15253.069799999999"/>
    <n v="13866.6"/>
    <n v="1386.4697999999989"/>
    <n v="9.0897754889969692E-2"/>
    <s v="Medium"/>
    <n v="15253.069799999999"/>
    <n v="1386.4697999999989"/>
    <n v="22"/>
    <d v="2023-03-03T00:00:00"/>
    <d v="2023-03-31T00:00:00"/>
    <x v="1"/>
    <n v="187"/>
    <s v="True"/>
    <n v="15253.069799999999"/>
    <n v="72"/>
    <n v="22908.240000000002"/>
    <n v="72"/>
    <n v="265.7765"/>
    <n v="15946.59"/>
  </r>
  <r>
    <s v="ORD-2024-516704"/>
    <x v="193"/>
    <d v="2024-03-01T00:00:00"/>
    <n v="1"/>
    <s v="Q1-2024"/>
    <x v="0"/>
    <x v="9"/>
    <s v="São Paulo"/>
    <s v="Non-Profit"/>
    <x v="2"/>
    <x v="12"/>
    <x v="2"/>
    <s v="PHN-7852"/>
    <n v="5.34"/>
    <n v="12.69"/>
    <n v="0.13200000000000001"/>
    <n v="0.13200000000000001"/>
    <n v="10"/>
    <n v="1.3764044943820224"/>
    <n v="110.14919999999999"/>
    <n v="53.4"/>
    <n v="56.749199999999995"/>
    <n v="0.51520301554618642"/>
    <s v="High"/>
    <n v="110.14920000000001"/>
    <n v="56.749200000000009"/>
    <n v="27"/>
    <d v="2023-03-03T00:00:00"/>
    <d v="2023-03-31T00:00:00"/>
    <x v="0"/>
    <n v="79"/>
    <s v="False"/>
    <n v="110.14920000000001"/>
    <n v="12"/>
    <n v="152.28"/>
    <n v="12"/>
    <n v="6.1409999999999991"/>
    <n v="61.409999999999989"/>
  </r>
  <r>
    <s v="ORD-2024-792137"/>
    <x v="194"/>
    <d v="2024-03-16T00:00:00"/>
    <n v="14"/>
    <s v="Q1-2024"/>
    <x v="0"/>
    <x v="0"/>
    <s v="Vancouver"/>
    <s v="Non-Profit"/>
    <x v="2"/>
    <x v="5"/>
    <x v="1"/>
    <s v="PRN-7976"/>
    <n v="248.24"/>
    <n v="464.05"/>
    <n v="0.16900000000000001"/>
    <n v="0.16900000000000001"/>
    <n v="11"/>
    <n v="0.86936029648727031"/>
    <n v="4241.88105"/>
    <n v="2730.6400000000003"/>
    <n v="1511.2410499999996"/>
    <n v="0.3562667203975462"/>
    <s v="High"/>
    <n v="4241.88105"/>
    <n v="1511.2410499999996"/>
    <n v="19"/>
    <d v="2023-03-03T00:00:00"/>
    <d v="2023-03-31T00:00:00"/>
    <x v="1"/>
    <n v="189"/>
    <s v="False"/>
    <n v="4241.88105"/>
    <n v="13"/>
    <n v="6032.6500000000005"/>
    <n v="13"/>
    <n v="285.476"/>
    <n v="3140.2359999999999"/>
  </r>
  <r>
    <s v="ORD-2024-961501"/>
    <x v="194"/>
    <d v="2024-03-23T00:00:00"/>
    <n v="21"/>
    <s v="Q1-2024"/>
    <x v="0"/>
    <x v="4"/>
    <s v="Chicago"/>
    <s v="Small Business"/>
    <x v="1"/>
    <x v="7"/>
    <x v="6"/>
    <s v="CMP-3223"/>
    <n v="225.01"/>
    <n v="333.48"/>
    <n v="0.11899999999999999"/>
    <n v="0.11899999999999999"/>
    <n v="12"/>
    <n v="0.48206746366828157"/>
    <n v="3525.5505600000001"/>
    <n v="2700.12"/>
    <n v="825.43056000000024"/>
    <n v="0.23412813004729685"/>
    <s v="Medium"/>
    <n v="3525.5505600000001"/>
    <n v="825.43056000000024"/>
    <n v="24"/>
    <d v="2023-03-03T00:00:00"/>
    <d v="2023-03-31T00:00:00"/>
    <x v="1"/>
    <n v="190"/>
    <s v="False"/>
    <n v="3525.5505600000001"/>
    <n v="14"/>
    <n v="4668.72"/>
    <n v="14"/>
    <n v="258.76149999999996"/>
    <n v="3105.1379999999995"/>
  </r>
  <r>
    <s v="ORD-2024-868223"/>
    <x v="195"/>
    <d v="2024-03-19T00:00:00"/>
    <n v="16"/>
    <s v="Q1-2024"/>
    <x v="3"/>
    <x v="3"/>
    <s v="Beijing"/>
    <s v="Consumer"/>
    <x v="0"/>
    <x v="6"/>
    <x v="2"/>
    <s v="PHN-4915"/>
    <n v="988.83"/>
    <n v="1206.04"/>
    <n v="6.3E-2"/>
    <n v="6.3E-2"/>
    <n v="34"/>
    <n v="0.21966364289109341"/>
    <n v="38422.022320000004"/>
    <n v="33620.22"/>
    <n v="4801.8023200000025"/>
    <n v="0.12497526236406606"/>
    <s v="Low"/>
    <n v="38422.022320000004"/>
    <n v="4801.8023200000025"/>
    <n v="22"/>
    <d v="2023-03-03T00:00:00"/>
    <d v="2023-03-31T00:00:00"/>
    <x v="1"/>
    <n v="191"/>
    <s v="False"/>
    <n v="38422.022320000004"/>
    <n v="40"/>
    <n v="48241.599999999999"/>
    <n v="40"/>
    <n v="1137.1544999999999"/>
    <n v="38663.252999999997"/>
  </r>
  <r>
    <s v="ORD-2024-419248"/>
    <x v="196"/>
    <d v="2024-03-16T00:00:00"/>
    <n v="12"/>
    <s v="Q1-2024"/>
    <x v="1"/>
    <x v="1"/>
    <s v="Johannesburg"/>
    <s v="Enterprise"/>
    <x v="0"/>
    <x v="3"/>
    <x v="5"/>
    <s v="MON-8422"/>
    <n v="441.08"/>
    <n v="1054.29"/>
    <n v="0.23699999999999999"/>
    <n v="0.23699999999999999"/>
    <n v="6"/>
    <n v="1.3902466672712435"/>
    <n v="4826.5396199999996"/>
    <n v="2646.48"/>
    <n v="2180.0596199999995"/>
    <n v="0.45168169985932899"/>
    <s v="High"/>
    <n v="4826.5396199999996"/>
    <n v="2180.0596199999995"/>
    <n v="25"/>
    <d v="2023-03-03T00:00:00"/>
    <d v="2023-03-31T00:00:00"/>
    <x v="1"/>
    <n v="192"/>
    <s v="True"/>
    <n v="4826.5396199999996"/>
    <n v="7"/>
    <n v="7380.03"/>
    <n v="7"/>
    <n v="507.24199999999996"/>
    <n v="3043.4519999999998"/>
  </r>
  <r>
    <s v="ORD-2024-853298"/>
    <x v="197"/>
    <d v="2024-03-26T00:00:00"/>
    <n v="20"/>
    <s v="Q1-2024"/>
    <x v="1"/>
    <x v="5"/>
    <s v="Port Harcourt"/>
    <s v="Consumer"/>
    <x v="4"/>
    <x v="12"/>
    <x v="2"/>
    <s v="PHN-4741"/>
    <n v="65.64"/>
    <n v="151.88"/>
    <n v="0.16700000000000001"/>
    <n v="0.16700000000000001"/>
    <n v="23"/>
    <n v="1.3138330286410724"/>
    <n v="2909.8689199999999"/>
    <n v="1509.72"/>
    <n v="1400.1489199999999"/>
    <n v="0.48117250587356353"/>
    <s v="High"/>
    <n v="2909.8689199999999"/>
    <n v="1400.1489199999999"/>
    <n v="16"/>
    <d v="2023-03-03T00:00:00"/>
    <d v="2023-03-31T00:00:00"/>
    <x v="1"/>
    <n v="193"/>
    <s v="False"/>
    <n v="2909.8689199999999"/>
    <n v="27"/>
    <n v="4100.76"/>
    <n v="27"/>
    <n v="75.48599999999999"/>
    <n v="1736.1779999999999"/>
  </r>
  <r>
    <s v="ORD-2024-692673"/>
    <x v="198"/>
    <d v="2024-03-25T00:00:00"/>
    <n v="18"/>
    <s v="Q1-2024"/>
    <x v="2"/>
    <x v="8"/>
    <s v="Munich"/>
    <s v="Corporate"/>
    <x v="1"/>
    <x v="0"/>
    <x v="6"/>
    <s v="CMP-7617"/>
    <n v="712.84"/>
    <n v="927.51"/>
    <n v="0.24299999999999999"/>
    <n v="0.24299999999999999"/>
    <n v="27"/>
    <n v="0.30114752258571342"/>
    <n v="18957.37689"/>
    <n v="19246.68"/>
    <n v="-289.30311000000074"/>
    <n v="-1.5260714163076427E-2"/>
    <s v="Medium"/>
    <n v="18957.37689"/>
    <n v="-289.30311000000074"/>
    <n v="24"/>
    <d v="2023-03-03T00:00:00"/>
    <d v="2023-03-31T00:00:00"/>
    <x v="1"/>
    <n v="194"/>
    <s v="True"/>
    <n v="18957.37689"/>
    <n v="32"/>
    <n v="29680.32"/>
    <n v="32"/>
    <n v="819.76599999999996"/>
    <n v="22133.682000000001"/>
  </r>
  <r>
    <s v="ORD-2024-356812"/>
    <x v="198"/>
    <d v="2024-04-03T00:00:00"/>
    <n v="27"/>
    <s v="Q1-2024"/>
    <x v="2"/>
    <x v="8"/>
    <s v="Frankfurt"/>
    <s v="Corporate"/>
    <x v="2"/>
    <x v="3"/>
    <x v="1"/>
    <s v="PRN-6911"/>
    <n v="738.16"/>
    <n v="956.49"/>
    <n v="0.152"/>
    <n v="0.152"/>
    <n v="5"/>
    <n v="0.29577598352660678"/>
    <n v="4055.5175999999997"/>
    <n v="3690.7999999999997"/>
    <n v="364.71759999999995"/>
    <n v="8.9931208780847108E-2"/>
    <s v="Medium"/>
    <n v="4055.5176000000001"/>
    <n v="364.7176000000004"/>
    <n v="24"/>
    <d v="2023-03-03T00:00:00"/>
    <d v="2023-03-31T00:00:00"/>
    <x v="1"/>
    <n v="195"/>
    <s v="False"/>
    <n v="4055.5176000000001"/>
    <n v="6"/>
    <n v="5738.9400000000005"/>
    <n v="6"/>
    <n v="848.8839999999999"/>
    <n v="4244.4199999999992"/>
  </r>
  <r>
    <s v="ORD-2024-907733"/>
    <x v="199"/>
    <d v="2024-03-22T00:00:00"/>
    <n v="13"/>
    <s v="Q1-2024"/>
    <x v="2"/>
    <x v="6"/>
    <s v="Manchester"/>
    <s v="Consumer"/>
    <x v="1"/>
    <x v="14"/>
    <x v="0"/>
    <s v="LAP-8633"/>
    <n v="985.45"/>
    <n v="1802.44"/>
    <n v="8.9999999999999993E-3"/>
    <n v="8.9999999999999993E-3"/>
    <n v="19"/>
    <n v="0.82905271703282757"/>
    <n v="33938.142760000002"/>
    <n v="18723.55"/>
    <n v="15214.592760000003"/>
    <n v="0.44830363486867486"/>
    <s v="High"/>
    <n v="33938.142760000002"/>
    <n v="15214.592760000003"/>
    <n v="23"/>
    <d v="2023-03-03T00:00:00"/>
    <d v="2023-03-31T00:00:00"/>
    <x v="1"/>
    <n v="196"/>
    <s v="False"/>
    <n v="33938.142760000002"/>
    <n v="22"/>
    <n v="39653.68"/>
    <n v="22"/>
    <n v="1133.2674999999999"/>
    <n v="21532.082499999997"/>
  </r>
  <r>
    <s v="ORD-2024-251426"/>
    <x v="199"/>
    <d v="2024-03-26T00:00:00"/>
    <n v="17"/>
    <s v="Q1-2024"/>
    <x v="0"/>
    <x v="4"/>
    <s v="San Francisco"/>
    <s v="Education"/>
    <x v="2"/>
    <x v="12"/>
    <x v="2"/>
    <s v="PHN-3398"/>
    <n v="1137.4100000000001"/>
    <n v="1680.93"/>
    <n v="0.254"/>
    <n v="0.25"/>
    <n v="9"/>
    <n v="0.47785758873229528"/>
    <n v="11285.764020000001"/>
    <n v="10236.69"/>
    <n v="1049.07402"/>
    <n v="9.2955516183121464E-2"/>
    <s v="Medium"/>
    <n v="11285.764020000001"/>
    <n v="1049.07402"/>
    <n v="25"/>
    <d v="2023-03-03T00:00:00"/>
    <d v="2023-03-31T00:00:00"/>
    <x v="1"/>
    <n v="197"/>
    <s v="True"/>
    <n v="11346.2775"/>
    <n v="10"/>
    <n v="16809.3"/>
    <n v="10"/>
    <n v="1308.0215000000001"/>
    <n v="11772.193500000001"/>
  </r>
  <r>
    <s v="ORD-2024-343877"/>
    <x v="199"/>
    <d v="2024-03-26T00:00:00"/>
    <n v="17"/>
    <s v="Q1-2024"/>
    <x v="3"/>
    <x v="3"/>
    <s v="Shenzhen"/>
    <s v="Enterprise"/>
    <x v="1"/>
    <x v="10"/>
    <x v="5"/>
    <s v="MON-5749"/>
    <n v="1029.67"/>
    <n v="1118.43"/>
    <n v="0.27200000000000002"/>
    <n v="0.25"/>
    <n v="9"/>
    <n v="8.6202375518369942E-2"/>
    <n v="7327.9533600000004"/>
    <n v="9267.0300000000007"/>
    <n v="-1939.0766400000002"/>
    <n v="-0.26461367106736061"/>
    <s v="Low"/>
    <n v="7327.9533599999995"/>
    <n v="-1939.0766400000011"/>
    <n v="23"/>
    <d v="2023-03-03T00:00:00"/>
    <d v="2023-03-31T00:00:00"/>
    <x v="1"/>
    <n v="198"/>
    <s v="True"/>
    <n v="7549.4025000000001"/>
    <n v="10"/>
    <n v="11184.300000000001"/>
    <n v="10"/>
    <n v="1184.1205"/>
    <n v="10657.084500000001"/>
  </r>
  <r>
    <s v="ORD-2024-906395"/>
    <x v="200"/>
    <d v="2024-04-09T00:00:00"/>
    <n v="30"/>
    <s v="Q1-2024"/>
    <x v="2"/>
    <x v="2"/>
    <s v="Lyon"/>
    <s v="Corporate"/>
    <x v="2"/>
    <x v="12"/>
    <x v="6"/>
    <s v="CMP-8002"/>
    <n v="1176.56"/>
    <n v="1911.89"/>
    <n v="0.11899999999999999"/>
    <n v="0.11899999999999999"/>
    <n v="20"/>
    <n v="0.62498300129190199"/>
    <n v="33687.501800000005"/>
    <n v="23531.199999999997"/>
    <n v="10156.301800000008"/>
    <n v="0.30148575160892477"/>
    <s v="Medium"/>
    <n v="33687.501799999998"/>
    <n v="10156.301800000001"/>
    <n v="21"/>
    <d v="2023-03-03T00:00:00"/>
    <d v="2023-03-31T00:00:00"/>
    <x v="1"/>
    <n v="199"/>
    <s v="False"/>
    <n v="33687.501799999998"/>
    <n v="24"/>
    <n v="45885.36"/>
    <n v="24"/>
    <n v="1353.0439999999999"/>
    <n v="27060.879999999997"/>
  </r>
  <r>
    <s v="ORD-2024-687073"/>
    <x v="201"/>
    <d v="2024-03-29T00:00:00"/>
    <n v="18"/>
    <s v="Q1-2024"/>
    <x v="0"/>
    <x v="4"/>
    <s v="New York"/>
    <s v="Corporate"/>
    <x v="3"/>
    <x v="3"/>
    <x v="5"/>
    <s v="MON-7099"/>
    <n v="710.98"/>
    <n v="1481.45"/>
    <n v="0.21099999999999999"/>
    <n v="0.21099999999999999"/>
    <n v="9"/>
    <n v="1.0836732397535795"/>
    <n v="10519.776450000001"/>
    <n v="6398.82"/>
    <n v="4120.9564500000015"/>
    <n v="0.39173422264120461"/>
    <s v="High"/>
    <n v="10519.776450000001"/>
    <n v="4120.9564500000015"/>
    <n v="26"/>
    <d v="2023-03-03T00:00:00"/>
    <d v="2023-03-31T00:00:00"/>
    <x v="1"/>
    <n v="200"/>
    <s v="True"/>
    <n v="10519.776450000001"/>
    <n v="10"/>
    <n v="14814.5"/>
    <n v="10"/>
    <n v="817.62699999999995"/>
    <n v="7358.643"/>
  </r>
  <r>
    <s v="ORD-2024-275203"/>
    <x v="201"/>
    <d v="2024-04-06T00:00:00"/>
    <n v="26"/>
    <s v="Q1-2024"/>
    <x v="1"/>
    <x v="7"/>
    <s v="Kisumu"/>
    <s v="Corporate"/>
    <x v="3"/>
    <x v="11"/>
    <x v="6"/>
    <s v="CMP-8270"/>
    <n v="279.24"/>
    <n v="608.9"/>
    <n v="0.112"/>
    <n v="0.112"/>
    <n v="9"/>
    <n v="1.1805615241369429"/>
    <n v="4866.3287999999993"/>
    <n v="2513.16"/>
    <n v="2353.1687999999995"/>
    <n v="0.48356140670149533"/>
    <s v="High"/>
    <n v="4866.3288000000002"/>
    <n v="2353.1688000000004"/>
    <n v="24"/>
    <d v="2023-03-03T00:00:00"/>
    <d v="2023-03-31T00:00:00"/>
    <x v="1"/>
    <n v="201"/>
    <s v="False"/>
    <n v="4866.3288000000002"/>
    <n v="10"/>
    <n v="6089"/>
    <n v="10"/>
    <n v="321.12599999999998"/>
    <n v="2890.134"/>
  </r>
  <r>
    <s v="ORD-2024-243988"/>
    <x v="202"/>
    <d v="2024-04-06T00:00:00"/>
    <n v="24"/>
    <s v="Q1-2024"/>
    <x v="1"/>
    <x v="5"/>
    <s v="Abuja"/>
    <s v="Consumer"/>
    <x v="0"/>
    <x v="9"/>
    <x v="6"/>
    <s v="CMP-9001"/>
    <n v="1232.78"/>
    <n v="1731.75"/>
    <n v="9.2999999999999999E-2"/>
    <n v="9.2999999999999999E-2"/>
    <n v="16"/>
    <n v="0.40475186164603583"/>
    <n v="25131.155999999999"/>
    <n v="19724.48"/>
    <n v="5406.6759999999995"/>
    <n v="0.21513837246484005"/>
    <s v="Medium"/>
    <n v="25131.155999999999"/>
    <n v="5406.6759999999995"/>
    <n v="17"/>
    <d v="2023-03-03T00:00:00"/>
    <d v="2023-03-31T00:00:00"/>
    <x v="1"/>
    <n v="202"/>
    <s v="False"/>
    <n v="25131.155999999999"/>
    <n v="19"/>
    <n v="32903.25"/>
    <n v="19"/>
    <n v="1417.6969999999999"/>
    <n v="22683.151999999998"/>
  </r>
  <r>
    <s v="ORD-2024-220234"/>
    <x v="203"/>
    <d v="2024-04-09T00:00:00"/>
    <n v="25"/>
    <s v="Q1-2024"/>
    <x v="0"/>
    <x v="0"/>
    <s v="Vancouver"/>
    <s v="Consumer"/>
    <x v="1"/>
    <x v="7"/>
    <x v="5"/>
    <s v="MON-4361"/>
    <n v="648.64"/>
    <n v="815.19"/>
    <n v="0.22500000000000001"/>
    <n v="0.22500000000000001"/>
    <n v="28"/>
    <n v="0.25676800690675888"/>
    <n v="17689.623"/>
    <n v="18161.919999999998"/>
    <n v="-472.29699999999866"/>
    <n v="-2.6699099240272032E-2"/>
    <s v="Medium"/>
    <n v="17689.623000000003"/>
    <n v="-472.29699999999502"/>
    <n v="20"/>
    <d v="2023-03-03T00:00:00"/>
    <d v="2023-03-31T00:00:00"/>
    <x v="1"/>
    <n v="203"/>
    <s v="True"/>
    <n v="17689.623000000003"/>
    <n v="33"/>
    <n v="26901.27"/>
    <n v="33"/>
    <n v="745.93599999999992"/>
    <n v="20886.207999999999"/>
  </r>
  <r>
    <s v="ORD-2024-834983"/>
    <x v="204"/>
    <d v="2024-04-13T00:00:00"/>
    <n v="28"/>
    <s v="Q1-2024"/>
    <x v="2"/>
    <x v="2"/>
    <s v="Paris"/>
    <s v="Small Business"/>
    <x v="1"/>
    <x v="10"/>
    <x v="1"/>
    <s v="PRN-8758"/>
    <n v="287.61"/>
    <n v="628.54"/>
    <n v="0.13500000000000001"/>
    <n v="0.13500000000000001"/>
    <n v="21"/>
    <n v="1.1853899377629427"/>
    <n v="11417.429099999999"/>
    <n v="6039.81"/>
    <n v="5377.619099999999"/>
    <n v="0.47100087531964613"/>
    <s v="High"/>
    <n v="11417.429099999999"/>
    <n v="5377.619099999999"/>
    <n v="22"/>
    <d v="2023-03-03T00:00:00"/>
    <d v="2023-03-31T00:00:00"/>
    <x v="1"/>
    <n v="203"/>
    <s v="False"/>
    <n v="11417.429099999999"/>
    <n v="25"/>
    <n v="15713.5"/>
    <n v="25"/>
    <n v="330.75149999999996"/>
    <n v="6945.7814999999991"/>
  </r>
  <r>
    <s v="ORD-2024-287210"/>
    <x v="205"/>
    <d v="2024-03-21T00:00:00"/>
    <n v="3"/>
    <s v="Q1-2024"/>
    <x v="2"/>
    <x v="8"/>
    <s v="Munich"/>
    <s v="Small Business"/>
    <x v="1"/>
    <x v="3"/>
    <x v="3"/>
    <s v="ACC-2761"/>
    <n v="910.63"/>
    <n v="1269.4000000000001"/>
    <n v="6.8000000000000005E-2"/>
    <n v="6.8000000000000005E-2"/>
    <n v="9"/>
    <n v="0.39397999187375782"/>
    <n v="10647.727199999999"/>
    <n v="8195.67"/>
    <n v="2452.0571999999993"/>
    <n v="0.23028925834989455"/>
    <s v="Medium"/>
    <n v="10647.727199999999"/>
    <n v="2452.0571999999993"/>
    <n v="25"/>
    <d v="2023-03-03T00:00:00"/>
    <d v="2023-03-31T00:00:00"/>
    <x v="0"/>
    <n v="81"/>
    <s v="False"/>
    <n v="10647.727199999999"/>
    <n v="10"/>
    <n v="12694"/>
    <n v="10"/>
    <n v="1047.2244999999998"/>
    <n v="9425.0204999999987"/>
  </r>
  <r>
    <s v="ORD-2024-446030"/>
    <x v="206"/>
    <d v="2024-03-26T00:00:00"/>
    <n v="3"/>
    <s v="Q1-2024"/>
    <x v="3"/>
    <x v="10"/>
    <s v="Bengaluru"/>
    <s v="Education"/>
    <x v="2"/>
    <x v="6"/>
    <x v="2"/>
    <s v="PHN-4346"/>
    <n v="382.21"/>
    <n v="571.89"/>
    <n v="0.14799999999999999"/>
    <n v="0.14799999999999999"/>
    <n v="26"/>
    <n v="0.49627168310614589"/>
    <n v="12668.50728"/>
    <n v="9937.4599999999991"/>
    <n v="2731.0472800000007"/>
    <n v="0.2155776698578809"/>
    <s v="Medium"/>
    <n v="12668.50728"/>
    <n v="2731.0472800000007"/>
    <n v="30"/>
    <d v="2023-03-03T00:00:00"/>
    <d v="2023-03-31T00:00:00"/>
    <x v="0"/>
    <n v="81"/>
    <s v="False"/>
    <n v="12668.50728"/>
    <n v="31"/>
    <n v="17728.59"/>
    <n v="31"/>
    <n v="439.54149999999993"/>
    <n v="11428.078999999998"/>
  </r>
  <r>
    <s v="ORD-2024-207096"/>
    <x v="207"/>
    <d v="2024-04-05T00:00:00"/>
    <n v="10"/>
    <s v="Q1-2024"/>
    <x v="0"/>
    <x v="4"/>
    <s v="Austin"/>
    <s v="Consumer"/>
    <x v="2"/>
    <x v="13"/>
    <x v="5"/>
    <s v="MON-5444"/>
    <n v="5.66"/>
    <n v="9.9616000000000007"/>
    <n v="0.11899999999999999"/>
    <n v="0.11899999999999999"/>
    <n v="18"/>
    <n v="0.76000000000000012"/>
    <n v="157.97105280000002"/>
    <n v="101.88"/>
    <n v="56.091052800000028"/>
    <n v="0.35507171602517812"/>
    <s v="High"/>
    <n v="157.97105280000002"/>
    <n v="56.091052800000028"/>
    <n v="28"/>
    <d v="2023-03-03T00:00:00"/>
    <d v="2023-03-31T00:00:00"/>
    <x v="1"/>
    <n v="205"/>
    <s v="False"/>
    <n v="157.97105280000002"/>
    <n v="21"/>
    <n v="209.1936"/>
    <n v="21"/>
    <n v="6.5089999999999995"/>
    <n v="117.16199999999999"/>
  </r>
  <r>
    <s v="ORD-2024-948800"/>
    <x v="208"/>
    <d v="2024-04-11T00:00:00"/>
    <n v="15"/>
    <s v="Q1-2024"/>
    <x v="0"/>
    <x v="4"/>
    <s v="San Francisco"/>
    <s v="Small Business"/>
    <x v="2"/>
    <x v="5"/>
    <x v="4"/>
    <s v="NET-5523"/>
    <n v="1338.35"/>
    <n v="2247.14"/>
    <n v="0.115"/>
    <n v="0.115"/>
    <n v="40"/>
    <n v="0.67903762095117126"/>
    <n v="79548.755999999994"/>
    <n v="53534"/>
    <n v="26014.755999999994"/>
    <n v="0.32702907384246205"/>
    <s v="Medium"/>
    <n v="79548.755999999994"/>
    <n v="26014.755999999994"/>
    <n v="29"/>
    <d v="2023-03-03T00:00:00"/>
    <d v="2023-03-31T00:00:00"/>
    <x v="1"/>
    <n v="206"/>
    <s v="False"/>
    <n v="79548.755999999994"/>
    <n v="48"/>
    <n v="107862.72"/>
    <n v="48"/>
    <n v="1539.1024999999997"/>
    <n v="61564.099999999991"/>
  </r>
  <r>
    <s v="ORD-2024-897622"/>
    <x v="209"/>
    <d v="2024-04-24T00:00:00"/>
    <n v="25"/>
    <s v="Q1-2024"/>
    <x v="0"/>
    <x v="4"/>
    <s v="Austin"/>
    <s v="Non-Profit"/>
    <x v="1"/>
    <x v="6"/>
    <x v="0"/>
    <s v="LAP-2846"/>
    <n v="160.82"/>
    <n v="258.52"/>
    <n v="0.13"/>
    <n v="0.13"/>
    <n v="17"/>
    <n v="0.60751150354433525"/>
    <n v="3823.5108"/>
    <n v="2733.94"/>
    <n v="1089.5708"/>
    <n v="0.28496605789631874"/>
    <s v="Medium"/>
    <n v="3823.5108"/>
    <n v="1089.5708"/>
    <n v="29"/>
    <d v="2023-03-03T00:00:00"/>
    <d v="2023-03-31T00:00:00"/>
    <x v="1"/>
    <n v="207"/>
    <s v="False"/>
    <n v="3823.5108"/>
    <n v="20"/>
    <n v="5170.3999999999996"/>
    <n v="20"/>
    <n v="184.94299999999998"/>
    <n v="3144.0309999999999"/>
  </r>
  <r>
    <s v="ORD-2024-745822"/>
    <x v="210"/>
    <d v="2024-04-17T00:00:00"/>
    <n v="17"/>
    <s v="Q1-2024"/>
    <x v="2"/>
    <x v="8"/>
    <s v="Frankfurt"/>
    <s v="Education"/>
    <x v="2"/>
    <x v="4"/>
    <x v="5"/>
    <s v="MON-8651"/>
    <n v="1025.51"/>
    <n v="1436.54"/>
    <n v="0.13900000000000001"/>
    <n v="0.13900000000000001"/>
    <n v="28"/>
    <n v="0.40080545289660752"/>
    <n v="34632.106319999999"/>
    <n v="28714.28"/>
    <n v="5917.8263200000001"/>
    <n v="0.17087688127656453"/>
    <s v="Medium"/>
    <n v="34632.106319999999"/>
    <n v="5917.8263200000001"/>
    <n v="26"/>
    <d v="2023-03-03T00:00:00"/>
    <d v="2023-03-31T00:00:00"/>
    <x v="1"/>
    <n v="208"/>
    <s v="False"/>
    <n v="34632.106319999999"/>
    <n v="33"/>
    <n v="47405.82"/>
    <n v="33"/>
    <n v="1179.3364999999999"/>
    <n v="33021.421999999999"/>
  </r>
  <r>
    <s v="ORD-2024-510591"/>
    <x v="211"/>
    <d v="2024-04-21T00:00:00"/>
    <n v="18"/>
    <s v="Q2-2024"/>
    <x v="0"/>
    <x v="9"/>
    <s v="Brasília"/>
    <s v="Small Business"/>
    <x v="0"/>
    <x v="0"/>
    <x v="4"/>
    <s v="NET-3850"/>
    <n v="1176.69"/>
    <n v="2201.54"/>
    <n v="0.17"/>
    <n v="0.17"/>
    <n v="27"/>
    <n v="0.87096006594770059"/>
    <n v="49336.511399999996"/>
    <n v="31770.63"/>
    <n v="17565.881399999995"/>
    <n v="0.35604222717701106"/>
    <s v="High"/>
    <n v="49336.511399999996"/>
    <n v="17565.881399999995"/>
    <n v="29"/>
    <d v="2023-03-03T00:00:00"/>
    <d v="2023-03-31T00:00:00"/>
    <x v="1"/>
    <n v="208"/>
    <s v="False"/>
    <n v="49336.511399999996"/>
    <n v="32"/>
    <n v="70449.279999999999"/>
    <n v="32"/>
    <n v="1353.1934999999999"/>
    <n v="36536.224499999997"/>
  </r>
  <r>
    <s v="ORD-2024-219735"/>
    <x v="211"/>
    <d v="2024-04-07T00:00:00"/>
    <n v="4"/>
    <s v="Q2-2024"/>
    <x v="0"/>
    <x v="9"/>
    <s v="Brasília"/>
    <s v="Non-Profit"/>
    <x v="2"/>
    <x v="8"/>
    <x v="2"/>
    <s v="PHN-5445"/>
    <n v="1023.27"/>
    <n v="1343.64"/>
    <n v="0.13300000000000001"/>
    <n v="0.13300000000000001"/>
    <n v="7"/>
    <n v="0.3130845231463838"/>
    <n v="8154.5511600000009"/>
    <n v="7162.8899999999994"/>
    <n v="991.66116000000147"/>
    <n v="0.12160830688810116"/>
    <s v="Medium"/>
    <n v="8154.55116"/>
    <n v="991.66116000000056"/>
    <n v="29"/>
    <d v="2023-03-03T00:00:00"/>
    <d v="2023-03-31T00:00:00"/>
    <x v="0"/>
    <n v="82"/>
    <s v="False"/>
    <n v="8154.55116"/>
    <n v="8"/>
    <n v="10749.12"/>
    <n v="8"/>
    <n v="1176.7604999999999"/>
    <n v="8237.3234999999986"/>
  </r>
  <r>
    <s v="ORD-2024-211453"/>
    <x v="212"/>
    <d v="2024-04-24T00:00:00"/>
    <n v="20"/>
    <s v="Q2-2024"/>
    <x v="2"/>
    <x v="8"/>
    <s v="Frankfurt"/>
    <s v="Non-Profit"/>
    <x v="2"/>
    <x v="5"/>
    <x v="3"/>
    <s v="ACC-6543"/>
    <n v="683.42"/>
    <n v="951.51"/>
    <n v="0"/>
    <n v="0"/>
    <n v="14"/>
    <n v="0.39227707705364206"/>
    <n v="13321.14"/>
    <n v="9567.8799999999992"/>
    <n v="3753.26"/>
    <n v="0.28175216235247136"/>
    <s v="Medium"/>
    <n v="13321.14"/>
    <n v="3753.26"/>
    <n v="27"/>
    <d v="2023-03-03T00:00:00"/>
    <d v="2023-03-31T00:00:00"/>
    <x v="1"/>
    <n v="209"/>
    <s v="False"/>
    <n v="13321.14"/>
    <n v="16"/>
    <n v="15224.16"/>
    <n v="16"/>
    <n v="785.93299999999988"/>
    <n v="11003.061999999998"/>
  </r>
  <r>
    <s v="ORD-2024-310809"/>
    <x v="213"/>
    <d v="2024-04-09T00:00:00"/>
    <n v="4"/>
    <s v="Q2-2024"/>
    <x v="1"/>
    <x v="5"/>
    <s v="Lagos"/>
    <s v="Non-Profit"/>
    <x v="2"/>
    <x v="10"/>
    <x v="6"/>
    <s v="CMP-6529"/>
    <n v="395.07"/>
    <n v="970.27"/>
    <n v="0.123"/>
    <n v="0.123"/>
    <n v="38"/>
    <n v="1.4559445161616931"/>
    <n v="32335.21802"/>
    <n v="15012.66"/>
    <n v="17322.55802"/>
    <n v="0.53571799049833657"/>
    <s v="High"/>
    <n v="32335.21802"/>
    <n v="17322.55802"/>
    <n v="18"/>
    <d v="2023-03-03T00:00:00"/>
    <d v="2023-03-31T00:00:00"/>
    <x v="0"/>
    <n v="83"/>
    <s v="False"/>
    <n v="32335.21802"/>
    <n v="45"/>
    <n v="43662.15"/>
    <n v="45"/>
    <n v="454.33049999999997"/>
    <n v="17264.558999999997"/>
  </r>
  <r>
    <s v="ORD-2024-594592"/>
    <x v="214"/>
    <d v="2024-04-25T00:00:00"/>
    <n v="19"/>
    <s v="Q2-2024"/>
    <x v="3"/>
    <x v="3"/>
    <s v="Shanghai"/>
    <s v="Corporate"/>
    <x v="3"/>
    <x v="10"/>
    <x v="6"/>
    <s v="CMP-8196"/>
    <n v="1366.48"/>
    <n v="1678.14"/>
    <n v="0.154"/>
    <n v="0.154"/>
    <n v="10"/>
    <n v="0.22807505415373813"/>
    <n v="14197.064400000001"/>
    <n v="13664.8"/>
    <n v="532.26440000000184"/>
    <n v="3.7491159087790132E-2"/>
    <s v="Low"/>
    <n v="14197.064399999999"/>
    <n v="532.26440000000002"/>
    <n v="24"/>
    <d v="2023-03-03T00:00:00"/>
    <d v="2023-03-31T00:00:00"/>
    <x v="1"/>
    <n v="211"/>
    <s v="False"/>
    <n v="14197.064399999999"/>
    <n v="12"/>
    <n v="20137.68"/>
    <n v="12"/>
    <n v="1571.452"/>
    <n v="15714.52"/>
  </r>
  <r>
    <s v="ORD-2024-332076"/>
    <x v="215"/>
    <d v="2024-04-18T00:00:00"/>
    <n v="9"/>
    <s v="Q2-2024"/>
    <x v="2"/>
    <x v="2"/>
    <s v="Lyon"/>
    <s v="Consumer"/>
    <x v="1"/>
    <x v="14"/>
    <x v="1"/>
    <s v="PRN-1086"/>
    <n v="1288.8499999999999"/>
    <n v="2751.84"/>
    <n v="0.158"/>
    <n v="0.158"/>
    <n v="7"/>
    <n v="1.1351126973658692"/>
    <n v="16219.34496"/>
    <n v="9021.9499999999989"/>
    <n v="7197.3949600000014"/>
    <n v="0.44375373837538756"/>
    <s v="High"/>
    <n v="16219.344960000002"/>
    <n v="7197.3949600000033"/>
    <n v="23"/>
    <d v="2023-03-03T00:00:00"/>
    <d v="2023-03-31T00:00:00"/>
    <x v="1"/>
    <n v="212"/>
    <s v="False"/>
    <n v="16219.344960000002"/>
    <n v="8"/>
    <n v="22014.720000000001"/>
    <n v="8"/>
    <n v="1482.1774999999998"/>
    <n v="10375.242499999998"/>
  </r>
  <r>
    <s v="ORD-2024-939873"/>
    <x v="216"/>
    <d v="2024-05-07T00:00:00"/>
    <n v="25"/>
    <s v="Q2-2024"/>
    <x v="1"/>
    <x v="1"/>
    <s v="Johannesburg"/>
    <s v="Education"/>
    <x v="0"/>
    <x v="1"/>
    <x v="0"/>
    <s v="LAP-8489"/>
    <n v="1376.51"/>
    <n v="1455.91"/>
    <n v="0.185"/>
    <n v="0.185"/>
    <n v="17"/>
    <n v="5.7682109102004414E-2"/>
    <n v="20171.63305"/>
    <n v="23400.67"/>
    <n v="-3229.0369499999979"/>
    <n v="-0.1600781127634085"/>
    <s v="Low"/>
    <n v="20171.63305"/>
    <n v="-3229.0369499999979"/>
    <n v="26"/>
    <d v="2023-03-03T00:00:00"/>
    <d v="2023-03-31T00:00:00"/>
    <x v="1"/>
    <n v="213"/>
    <s v="False"/>
    <n v="20171.63305"/>
    <n v="20"/>
    <n v="29118.2"/>
    <n v="20"/>
    <n v="1582.9865"/>
    <n v="26910.770499999999"/>
  </r>
  <r>
    <s v="ORD-2024-364080"/>
    <x v="217"/>
    <d v="2024-04-27T00:00:00"/>
    <n v="11"/>
    <s v="Q2-2024"/>
    <x v="1"/>
    <x v="7"/>
    <s v="Nakuru"/>
    <s v="Enterprise"/>
    <x v="1"/>
    <x v="2"/>
    <x v="1"/>
    <s v="PRN-2641"/>
    <n v="401.3"/>
    <n v="826.47"/>
    <n v="0.22500000000000001"/>
    <n v="0.22500000000000001"/>
    <n v="13"/>
    <n v="1.0594816845252928"/>
    <n v="8326.6852500000005"/>
    <n v="5216.9000000000005"/>
    <n v="3109.7852499999999"/>
    <n v="0.37347217489696755"/>
    <s v="High"/>
    <n v="8326.6852500000005"/>
    <n v="3109.7852499999999"/>
    <n v="25"/>
    <d v="2023-03-03T00:00:00"/>
    <d v="2023-03-31T00:00:00"/>
    <x v="1"/>
    <n v="214"/>
    <s v="True"/>
    <n v="8326.6852500000005"/>
    <n v="15"/>
    <n v="12397.050000000001"/>
    <n v="15"/>
    <n v="461.495"/>
    <n v="5999.4350000000004"/>
  </r>
  <r>
    <s v="ORD-2024-629525"/>
    <x v="218"/>
    <d v="2024-05-08T00:00:00"/>
    <n v="20"/>
    <s v="Q2-2024"/>
    <x v="2"/>
    <x v="6"/>
    <s v="London"/>
    <s v="Non-Profit"/>
    <x v="2"/>
    <x v="2"/>
    <x v="0"/>
    <s v="LAP-9932"/>
    <n v="645.33000000000004"/>
    <n v="1321.85"/>
    <n v="0"/>
    <n v="0"/>
    <n v="10"/>
    <n v="1.0483318612182912"/>
    <n v="13218.5"/>
    <n v="6453.3"/>
    <n v="6765.2"/>
    <n v="0.51179785906116426"/>
    <s v="High"/>
    <n v="13218.5"/>
    <n v="6765.2"/>
    <n v="24"/>
    <d v="2023-03-03T00:00:00"/>
    <d v="2023-03-31T00:00:00"/>
    <x v="1"/>
    <n v="215"/>
    <s v="False"/>
    <n v="13218.5"/>
    <n v="12"/>
    <n v="15862.199999999999"/>
    <n v="12"/>
    <n v="742.12950000000001"/>
    <n v="7421.2950000000001"/>
  </r>
  <r>
    <s v="ORD-2024-599522"/>
    <x v="219"/>
    <d v="2024-05-06T00:00:00"/>
    <n v="17"/>
    <s v="Q2-2024"/>
    <x v="1"/>
    <x v="5"/>
    <s v="Port Harcourt"/>
    <s v="Non-Profit"/>
    <x v="1"/>
    <x v="1"/>
    <x v="1"/>
    <s v="PRN-7303"/>
    <n v="865.33"/>
    <n v="1395.64"/>
    <n v="0.17499999999999999"/>
    <n v="0.17499999999999999"/>
    <n v="13"/>
    <n v="0.61284134376480648"/>
    <n v="14968.239"/>
    <n v="11249.29"/>
    <n v="3718.9489999999987"/>
    <n v="0.24845601409758347"/>
    <s v="Medium"/>
    <n v="14968.239"/>
    <n v="3718.9489999999987"/>
    <n v="20"/>
    <d v="2023-03-03T00:00:00"/>
    <d v="2023-03-31T00:00:00"/>
    <x v="1"/>
    <n v="216"/>
    <s v="False"/>
    <n v="14968.239"/>
    <n v="15"/>
    <n v="20934.600000000002"/>
    <n v="15"/>
    <n v="995.12950000000001"/>
    <n v="12936.683499999999"/>
  </r>
  <r>
    <s v="ORD-2024-247032"/>
    <x v="220"/>
    <d v="2024-05-19T00:00:00"/>
    <n v="28"/>
    <s v="Q2-2024"/>
    <x v="1"/>
    <x v="5"/>
    <s v="Lagos"/>
    <s v="Corporate"/>
    <x v="0"/>
    <x v="1"/>
    <x v="3"/>
    <s v="ACC-2990"/>
    <n v="187.22"/>
    <n v="309.47000000000003"/>
    <n v="0"/>
    <n v="0"/>
    <n v="5"/>
    <n v="0.65297510949684878"/>
    <n v="1547.3500000000001"/>
    <n v="936.1"/>
    <n v="611.25000000000011"/>
    <n v="0.39503021294471197"/>
    <s v="Medium"/>
    <n v="1547.3500000000001"/>
    <n v="611.25000000000011"/>
    <n v="20"/>
    <d v="2023-03-03T00:00:00"/>
    <d v="2023-03-31T00:00:00"/>
    <x v="1"/>
    <n v="217"/>
    <s v="False"/>
    <n v="1547.3500000000001"/>
    <n v="6"/>
    <n v="1856.8200000000002"/>
    <n v="6"/>
    <n v="215.30299999999997"/>
    <n v="1076.5149999999999"/>
  </r>
  <r>
    <s v="ORD-2024-833375"/>
    <x v="221"/>
    <d v="2024-05-10T00:00:00"/>
    <n v="16"/>
    <s v="Q2-2024"/>
    <x v="1"/>
    <x v="7"/>
    <s v="Kisumu"/>
    <s v="Non-Profit"/>
    <x v="1"/>
    <x v="8"/>
    <x v="5"/>
    <s v="MON-6190"/>
    <n v="513.30999999999995"/>
    <n v="1186.26"/>
    <n v="9.4E-2"/>
    <n v="9.4E-2"/>
    <n v="15"/>
    <n v="1.3110011494028952"/>
    <n v="16121.273400000002"/>
    <n v="7699.65"/>
    <n v="8421.6234000000022"/>
    <n v="0.52239194702820446"/>
    <s v="High"/>
    <n v="16121.273399999998"/>
    <n v="8421.6233999999986"/>
    <n v="26"/>
    <d v="2023-03-03T00:00:00"/>
    <d v="2023-03-31T00:00:00"/>
    <x v="1"/>
    <n v="217"/>
    <s v="False"/>
    <n v="16121.273399999998"/>
    <n v="18"/>
    <n v="21352.68"/>
    <n v="18"/>
    <n v="590.30649999999991"/>
    <n v="8854.597499999998"/>
  </r>
  <r>
    <s v="ORD-2024-567435"/>
    <x v="221"/>
    <d v="2024-04-26T00:00:00"/>
    <n v="2"/>
    <s v="Q2-2024"/>
    <x v="2"/>
    <x v="6"/>
    <s v="London"/>
    <s v="Non-Profit"/>
    <x v="0"/>
    <x v="8"/>
    <x v="2"/>
    <s v="PHN-9107"/>
    <n v="1232.77"/>
    <n v="1898.4657999999999"/>
    <n v="0.16700000000000001"/>
    <n v="0.16700000000000001"/>
    <n v="10"/>
    <n v="0.53999999999999992"/>
    <n v="15814.220114"/>
    <n v="12327.7"/>
    <n v="3486.520113999999"/>
    <n v="0.22046740774231766"/>
    <s v="Medium"/>
    <n v="15814.220114"/>
    <n v="3486.520113999999"/>
    <n v="25"/>
    <d v="2023-03-03T00:00:00"/>
    <d v="2023-03-31T00:00:00"/>
    <x v="0"/>
    <n v="84"/>
    <s v="False"/>
    <n v="15814.220114"/>
    <n v="12"/>
    <n v="22781.589599999999"/>
    <n v="12"/>
    <n v="1417.6854999999998"/>
    <n v="14176.854999999998"/>
  </r>
  <r>
    <s v="ORD-2024-855600"/>
    <x v="222"/>
    <d v="2024-05-19T00:00:00"/>
    <n v="20"/>
    <s v="Q2-2024"/>
    <x v="2"/>
    <x v="8"/>
    <s v="Frankfurt"/>
    <s v="Enterprise"/>
    <x v="4"/>
    <x v="11"/>
    <x v="0"/>
    <s v="LAP-5009"/>
    <n v="668.97"/>
    <n v="1667.44"/>
    <n v="3.4000000000000002E-2"/>
    <n v="3.4000000000000002E-2"/>
    <n v="15"/>
    <n v="1.492548245810724"/>
    <n v="24161.205600000001"/>
    <n v="10034.550000000001"/>
    <n v="14126.6556"/>
    <n v="0.58468339013679016"/>
    <s v="High"/>
    <n v="24161.205600000001"/>
    <n v="14126.6556"/>
    <n v="28"/>
    <d v="2023-03-03T00:00:00"/>
    <d v="2023-03-31T00:00:00"/>
    <x v="1"/>
    <n v="219"/>
    <s v="False"/>
    <n v="24161.205600000001"/>
    <n v="18"/>
    <n v="30013.920000000002"/>
    <n v="18"/>
    <n v="769.31549999999993"/>
    <n v="11539.732499999998"/>
  </r>
  <r>
    <s v="ORD-2024-851993"/>
    <x v="223"/>
    <d v="2024-05-16T00:00:00"/>
    <n v="15"/>
    <s v="Q2-2024"/>
    <x v="3"/>
    <x v="10"/>
    <s v="Bengaluru"/>
    <s v="Small Business"/>
    <x v="3"/>
    <x v="9"/>
    <x v="6"/>
    <s v="CMP-6811"/>
    <n v="901.19"/>
    <n v="2125.44"/>
    <n v="7.0999999999999994E-2"/>
    <n v="7.0999999999999994E-2"/>
    <n v="12"/>
    <n v="1.3584815632663478"/>
    <n v="23694.405119999999"/>
    <n v="10814.28"/>
    <n v="12880.125119999999"/>
    <n v="0.54359352154100415"/>
    <s v="High"/>
    <n v="23694.405120000003"/>
    <n v="12880.125120000002"/>
    <n v="31"/>
    <d v="2023-03-03T00:00:00"/>
    <d v="2023-03-31T00:00:00"/>
    <x v="1"/>
    <n v="220"/>
    <s v="False"/>
    <n v="23694.405120000003"/>
    <n v="14"/>
    <n v="29756.16"/>
    <n v="14"/>
    <n v="1036.3685"/>
    <n v="12436.422"/>
  </r>
  <r>
    <s v="ORD-2024-402240"/>
    <x v="223"/>
    <d v="2024-05-26T00:00:00"/>
    <n v="25"/>
    <s v="Q2-2024"/>
    <x v="2"/>
    <x v="8"/>
    <s v="Berlin"/>
    <s v="Non-Profit"/>
    <x v="3"/>
    <x v="0"/>
    <x v="4"/>
    <s v="NET-4228"/>
    <n v="930.71"/>
    <n v="1625.42"/>
    <n v="0.13800000000000001"/>
    <n v="0.13800000000000001"/>
    <n v="7"/>
    <n v="0.74643014472821823"/>
    <n v="9807.7842799999999"/>
    <n v="6514.97"/>
    <n v="3292.8142799999996"/>
    <n v="0.33573477821231196"/>
    <s v="Medium"/>
    <n v="9807.7842799999999"/>
    <n v="3292.8142799999996"/>
    <n v="29"/>
    <d v="2023-03-03T00:00:00"/>
    <d v="2023-03-31T00:00:00"/>
    <x v="1"/>
    <n v="221"/>
    <s v="False"/>
    <n v="9807.7842799999999"/>
    <n v="8"/>
    <n v="13003.36"/>
    <n v="8"/>
    <n v="1070.3164999999999"/>
    <n v="7492.2154999999993"/>
  </r>
  <r>
    <s v="ORD-2024-589570"/>
    <x v="224"/>
    <d v="2024-05-29T00:00:00"/>
    <n v="25"/>
    <s v="Q2-2024"/>
    <x v="1"/>
    <x v="5"/>
    <s v="Abuja"/>
    <s v="Non-Profit"/>
    <x v="4"/>
    <x v="5"/>
    <x v="5"/>
    <s v="MON-6892"/>
    <n v="1295.3399999999999"/>
    <n v="2530.81"/>
    <n v="3.1E-2"/>
    <n v="3.1E-2"/>
    <n v="6"/>
    <n v="0.95378047462442306"/>
    <n v="14714.12934"/>
    <n v="7772.0399999999991"/>
    <n v="6942.0893400000004"/>
    <n v="0.4717974933880798"/>
    <s v="High"/>
    <n v="14714.12934"/>
    <n v="6942.0893400000004"/>
    <n v="21"/>
    <d v="2023-03-03T00:00:00"/>
    <d v="2023-03-31T00:00:00"/>
    <x v="1"/>
    <n v="222"/>
    <s v="False"/>
    <n v="14714.12934"/>
    <n v="7"/>
    <n v="17715.669999999998"/>
    <n v="7"/>
    <n v="1489.6409999999998"/>
    <n v="8937.8459999999995"/>
  </r>
  <r>
    <s v="ORD-2024-202166"/>
    <x v="225"/>
    <d v="2024-05-18T00:00:00"/>
    <n v="13"/>
    <s v="Q2-2024"/>
    <x v="2"/>
    <x v="2"/>
    <s v="Marseille"/>
    <s v="Corporate"/>
    <x v="4"/>
    <x v="1"/>
    <x v="6"/>
    <s v="CMP-3313"/>
    <n v="1264.04"/>
    <n v="1870.89"/>
    <n v="0"/>
    <n v="0"/>
    <n v="13"/>
    <n v="0.48008765545394144"/>
    <n v="24321.57"/>
    <n v="16432.52"/>
    <n v="7889.0499999999993"/>
    <n v="0.32436433996653996"/>
    <s v="Medium"/>
    <n v="24321.57"/>
    <n v="7889.0499999999993"/>
    <n v="24"/>
    <d v="2023-03-03T00:00:00"/>
    <d v="2023-03-31T00:00:00"/>
    <x v="1"/>
    <n v="222"/>
    <s v="False"/>
    <n v="24321.57"/>
    <n v="15"/>
    <n v="28063.350000000002"/>
    <n v="15"/>
    <n v="1453.646"/>
    <n v="18897.398000000001"/>
  </r>
  <r>
    <s v="ORD-2024-527858"/>
    <x v="226"/>
    <d v="2024-05-12T00:00:00"/>
    <n v="5"/>
    <s v="Q2-2024"/>
    <x v="1"/>
    <x v="5"/>
    <s v="Abuja"/>
    <s v="Non-Profit"/>
    <x v="0"/>
    <x v="9"/>
    <x v="0"/>
    <s v="LAP-9100"/>
    <n v="1163.99"/>
    <n v="1617.85"/>
    <n v="0.127"/>
    <n v="0.127"/>
    <n v="14"/>
    <n v="0.38991743915325722"/>
    <n v="19773.362699999998"/>
    <n v="16295.86"/>
    <n v="3477.5026999999973"/>
    <n v="0.17586804797749436"/>
    <s v="Medium"/>
    <n v="19773.362699999998"/>
    <n v="3477.5026999999973"/>
    <n v="22"/>
    <d v="2023-03-03T00:00:00"/>
    <d v="2023-03-31T00:00:00"/>
    <x v="0"/>
    <n v="86"/>
    <s v="False"/>
    <n v="19773.362699999998"/>
    <n v="16"/>
    <n v="25885.599999999999"/>
    <n v="16"/>
    <n v="1338.5884999999998"/>
    <n v="18740.238999999998"/>
  </r>
  <r>
    <s v="ORD-2024-641220"/>
    <x v="227"/>
    <d v="2024-05-16T00:00:00"/>
    <n v="6"/>
    <s v="Q2-2024"/>
    <x v="2"/>
    <x v="6"/>
    <s v="Birmingham"/>
    <s v="Non-Profit"/>
    <x v="2"/>
    <x v="6"/>
    <x v="0"/>
    <s v="LAP-1066"/>
    <n v="210.76"/>
    <n v="221.58"/>
    <n v="8.8999999999999996E-2"/>
    <n v="8.8999999999999996E-2"/>
    <n v="5"/>
    <n v="5.1338014803568144E-2"/>
    <n v="1009.2969000000002"/>
    <n v="1053.8"/>
    <n v="-44.50309999999979"/>
    <n v="-4.4093170205912434E-2"/>
    <s v="Low"/>
    <n v="1009.2969000000001"/>
    <n v="-44.503099999999904"/>
    <n v="27"/>
    <d v="2023-03-03T00:00:00"/>
    <d v="2023-03-31T00:00:00"/>
    <x v="0"/>
    <n v="86"/>
    <s v="False"/>
    <n v="1009.2969000000001"/>
    <n v="6"/>
    <n v="1329.48"/>
    <n v="6"/>
    <n v="242.37399999999997"/>
    <n v="1211.8699999999999"/>
  </r>
  <r>
    <s v="ORD-2024-973420"/>
    <x v="228"/>
    <d v="2024-05-24T00:00:00"/>
    <n v="12"/>
    <s v="Q2-2024"/>
    <x v="2"/>
    <x v="6"/>
    <s v="Manchester"/>
    <s v="Education"/>
    <x v="4"/>
    <x v="10"/>
    <x v="1"/>
    <s v="PRN-5813"/>
    <n v="111.02"/>
    <n v="172.88"/>
    <n v="0.19700000000000001"/>
    <n v="0.19700000000000001"/>
    <n v="29"/>
    <n v="0.55719690145919654"/>
    <n v="4025.8565599999993"/>
    <n v="3219.58"/>
    <n v="806.27655999999934"/>
    <n v="0.20027453735212053"/>
    <s v="Medium"/>
    <n v="4025.8565599999993"/>
    <n v="806.27655999999934"/>
    <n v="28"/>
    <d v="2023-03-03T00:00:00"/>
    <d v="2023-03-31T00:00:00"/>
    <x v="1"/>
    <n v="224"/>
    <s v="False"/>
    <n v="4025.8565599999993"/>
    <n v="34"/>
    <n v="5877.92"/>
    <n v="34"/>
    <n v="127.67299999999999"/>
    <n v="3702.5169999999998"/>
  </r>
  <r>
    <s v="ORD-2024-548345"/>
    <x v="229"/>
    <d v="2024-05-28T00:00:00"/>
    <n v="14"/>
    <s v="Q2-2024"/>
    <x v="2"/>
    <x v="6"/>
    <s v="Birmingham"/>
    <s v="Consumer"/>
    <x v="3"/>
    <x v="0"/>
    <x v="4"/>
    <s v="NET-2365"/>
    <n v="1421.14"/>
    <n v="3524"/>
    <n v="0"/>
    <n v="0"/>
    <n v="31"/>
    <n v="1.4796993962593408"/>
    <n v="109244"/>
    <n v="44055.340000000004"/>
    <n v="65188.659999999996"/>
    <n v="0.59672531214528945"/>
    <s v="High"/>
    <n v="109244"/>
    <n v="65188.659999999996"/>
    <n v="28"/>
    <d v="2023-03-03T00:00:00"/>
    <d v="2023-03-31T00:00:00"/>
    <x v="1"/>
    <n v="225"/>
    <s v="False"/>
    <n v="109244"/>
    <n v="37"/>
    <n v="130388"/>
    <n v="37"/>
    <n v="1634.3109999999999"/>
    <n v="50663.640999999996"/>
  </r>
  <r>
    <s v="ORD-2024-690270"/>
    <x v="230"/>
    <d v="2024-05-27T00:00:00"/>
    <n v="10"/>
    <s v="Q2-2024"/>
    <x v="0"/>
    <x v="4"/>
    <s v="Austin"/>
    <s v="Non-Profit"/>
    <x v="1"/>
    <x v="11"/>
    <x v="2"/>
    <s v="PHN-7974"/>
    <n v="1484.23"/>
    <n v="3472.81"/>
    <n v="0.25600000000000001"/>
    <n v="0.25"/>
    <n v="12"/>
    <n v="1.3398058252427183"/>
    <n v="31005.24768"/>
    <n v="17810.760000000002"/>
    <n v="13194.487679999998"/>
    <n v="0.42555659661803413"/>
    <s v="High"/>
    <n v="31005.247679999997"/>
    <n v="13194.487679999995"/>
    <n v="31"/>
    <d v="2023-03-03T00:00:00"/>
    <d v="2023-03-31T00:00:00"/>
    <x v="1"/>
    <n v="225"/>
    <s v="True"/>
    <n v="31255.29"/>
    <n v="14"/>
    <n v="48619.34"/>
    <n v="14"/>
    <n v="1706.8644999999999"/>
    <n v="20482.374"/>
  </r>
  <r>
    <s v="ORD-2024-500109"/>
    <x v="231"/>
    <d v="2024-05-23T00:00:00"/>
    <n v="5"/>
    <s v="Q2-2024"/>
    <x v="0"/>
    <x v="4"/>
    <s v="Chicago"/>
    <s v="Enterprise"/>
    <x v="3"/>
    <x v="4"/>
    <x v="0"/>
    <s v="LAP-4987"/>
    <n v="1274.5899999999999"/>
    <n v="2553.69"/>
    <n v="0.01"/>
    <n v="0.01"/>
    <n v="8"/>
    <n v="1.003538392738057"/>
    <n v="20225.2248"/>
    <n v="10196.719999999999"/>
    <n v="10028.504800000001"/>
    <n v="0.49584145042481803"/>
    <s v="High"/>
    <n v="20225.2248"/>
    <n v="10028.504800000001"/>
    <n v="31"/>
    <d v="2023-03-03T00:00:00"/>
    <d v="2023-03-31T00:00:00"/>
    <x v="0"/>
    <n v="88"/>
    <s v="False"/>
    <n v="20225.2248"/>
    <n v="9"/>
    <n v="22983.21"/>
    <n v="9"/>
    <n v="1465.7784999999999"/>
    <n v="11726.227999999999"/>
  </r>
  <r>
    <s v="ORD-2024-555229"/>
    <x v="231"/>
    <d v="2024-05-22T00:00:00"/>
    <n v="4"/>
    <s v="Q2-2024"/>
    <x v="1"/>
    <x v="7"/>
    <s v="Nairobi"/>
    <s v="Corporate"/>
    <x v="2"/>
    <x v="4"/>
    <x v="3"/>
    <s v="ACC-7354"/>
    <n v="857.42"/>
    <n v="1658.92"/>
    <n v="0.122"/>
    <n v="0.122"/>
    <n v="9"/>
    <n v="0.93478108744839183"/>
    <n v="13108.78584"/>
    <n v="7716.78"/>
    <n v="5392.0058400000007"/>
    <n v="0.41132763215544305"/>
    <s v="High"/>
    <n v="13108.78584"/>
    <n v="5392.0058400000007"/>
    <n v="27"/>
    <d v="2023-03-03T00:00:00"/>
    <d v="2023-03-31T00:00:00"/>
    <x v="0"/>
    <n v="89"/>
    <s v="False"/>
    <n v="13108.78584"/>
    <n v="10"/>
    <n v="16589.2"/>
    <n v="10"/>
    <n v="986.0329999999999"/>
    <n v="8874.2969999999987"/>
  </r>
  <r>
    <s v="ORD-2024-375848"/>
    <x v="231"/>
    <d v="2024-05-21T00:00:00"/>
    <n v="3"/>
    <s v="Q2-2024"/>
    <x v="2"/>
    <x v="2"/>
    <s v="Marseille"/>
    <s v="Non-Profit"/>
    <x v="4"/>
    <x v="2"/>
    <x v="1"/>
    <s v="PRN-1725"/>
    <n v="663.66"/>
    <n v="824.26"/>
    <n v="0.23899999999999999"/>
    <n v="0.23899999999999999"/>
    <n v="11"/>
    <n v="0.24199138112889135"/>
    <n v="6899.8804600000003"/>
    <n v="7300.2599999999993"/>
    <n v="-400.379539999999"/>
    <n v="-5.8027025587048933E-2"/>
    <s v="Low"/>
    <n v="6899.8804599999994"/>
    <n v="-400.37953999999991"/>
    <n v="25"/>
    <d v="2023-03-03T00:00:00"/>
    <d v="2023-03-31T00:00:00"/>
    <x v="0"/>
    <n v="89"/>
    <s v="True"/>
    <n v="6899.8804599999994"/>
    <n v="13"/>
    <n v="10715.38"/>
    <n v="13"/>
    <n v="763.20899999999995"/>
    <n v="8395.2989999999991"/>
  </r>
  <r>
    <s v="ORD-2024-503082"/>
    <x v="232"/>
    <d v="2024-06-08T00:00:00"/>
    <n v="20"/>
    <s v="Q2-2024"/>
    <x v="0"/>
    <x v="9"/>
    <s v="Brasília"/>
    <s v="Small Business"/>
    <x v="3"/>
    <x v="14"/>
    <x v="5"/>
    <s v="MON-4271"/>
    <n v="1075.9000000000001"/>
    <n v="1242.1500000000001"/>
    <n v="1.2E-2"/>
    <n v="1.2E-2"/>
    <n v="7"/>
    <n v="0.15452179570592062"/>
    <n v="8590.7094000000016"/>
    <n v="7531.3000000000011"/>
    <n v="1059.4094000000005"/>
    <n v="0.12332036280961853"/>
    <s v="Low"/>
    <n v="8590.7093999999997"/>
    <n v="1059.4093999999986"/>
    <n v="30"/>
    <d v="2023-03-03T00:00:00"/>
    <d v="2023-03-31T00:00:00"/>
    <x v="1"/>
    <n v="227"/>
    <s v="False"/>
    <n v="8590.7093999999997"/>
    <n v="8"/>
    <n v="9937.2000000000007"/>
    <n v="8"/>
    <n v="1237.2850000000001"/>
    <n v="8660.9950000000008"/>
  </r>
  <r>
    <s v="ORD-2024-389336"/>
    <x v="233"/>
    <d v="2024-06-02T00:00:00"/>
    <n v="13"/>
    <s v="Q2-2024"/>
    <x v="0"/>
    <x v="0"/>
    <s v="Vancouver"/>
    <s v="Enterprise"/>
    <x v="4"/>
    <x v="10"/>
    <x v="6"/>
    <s v="CMP-5946"/>
    <n v="675.43"/>
    <n v="996.36"/>
    <n v="0.182"/>
    <n v="0.182"/>
    <n v="22"/>
    <n v="0.47514916423611636"/>
    <n v="17930.494560000003"/>
    <n v="14859.46"/>
    <n v="3071.0345600000037"/>
    <n v="0.17127439233332575"/>
    <s v="Medium"/>
    <n v="17930.494560000003"/>
    <n v="3071.0345600000037"/>
    <n v="21"/>
    <d v="2023-03-03T00:00:00"/>
    <d v="2023-03-31T00:00:00"/>
    <x v="1"/>
    <n v="227"/>
    <s v="False"/>
    <n v="17930.494560000003"/>
    <n v="26"/>
    <n v="25905.360000000001"/>
    <n v="26"/>
    <n v="776.7444999999999"/>
    <n v="17088.378999999997"/>
  </r>
  <r>
    <s v="ORD-2024-155337"/>
    <x v="234"/>
    <d v="2024-05-27T00:00:00"/>
    <n v="6"/>
    <s v="Q2-2024"/>
    <x v="1"/>
    <x v="1"/>
    <s v="Johannesburg"/>
    <s v="Non-Profit"/>
    <x v="1"/>
    <x v="3"/>
    <x v="6"/>
    <s v="CMP-8101"/>
    <n v="1157.51"/>
    <n v="1394.3"/>
    <n v="0.27800000000000002"/>
    <n v="0.25"/>
    <n v="12"/>
    <n v="0.20456842705462586"/>
    <n v="12080.215199999999"/>
    <n v="13890.119999999999"/>
    <n v="-1809.9048000000003"/>
    <n v="-0.14982388724333326"/>
    <s v="Low"/>
    <n v="12080.215199999999"/>
    <n v="-1809.9048000000003"/>
    <n v="27"/>
    <d v="2023-03-03T00:00:00"/>
    <d v="2023-03-31T00:00:00"/>
    <x v="0"/>
    <n v="90"/>
    <s v="True"/>
    <n v="12548.699999999999"/>
    <n v="14"/>
    <n v="19520.2"/>
    <n v="14"/>
    <n v="1331.1364999999998"/>
    <n v="15973.637999999999"/>
  </r>
  <r>
    <s v="ORD-2024-347736"/>
    <x v="235"/>
    <d v="2024-06-06T00:00:00"/>
    <n v="15"/>
    <s v="Q2-2024"/>
    <x v="3"/>
    <x v="11"/>
    <s v="Nagoya"/>
    <s v="Corporate"/>
    <x v="0"/>
    <x v="11"/>
    <x v="5"/>
    <s v="MON-6870"/>
    <n v="673.88"/>
    <n v="1228.01"/>
    <n v="0.105"/>
    <n v="0.105"/>
    <n v="13"/>
    <n v="0.82229773846975718"/>
    <n v="14287.896349999999"/>
    <n v="8760.44"/>
    <n v="5527.4563499999986"/>
    <n v="0.38686285332689996"/>
    <s v="High"/>
    <n v="14287.896350000001"/>
    <n v="5527.4563500000004"/>
    <n v="23"/>
    <d v="2023-03-03T00:00:00"/>
    <d v="2023-03-31T00:00:00"/>
    <x v="1"/>
    <n v="229"/>
    <s v="False"/>
    <n v="14287.896350000001"/>
    <n v="15"/>
    <n v="18420.150000000001"/>
    <n v="15"/>
    <n v="774.96199999999999"/>
    <n v="10074.505999999999"/>
  </r>
  <r>
    <s v="ORD-2024-329104"/>
    <x v="236"/>
    <d v="2024-06-14T00:00:00"/>
    <n v="22"/>
    <s v="Q2-2024"/>
    <x v="2"/>
    <x v="2"/>
    <s v="Marseille"/>
    <s v="Small Business"/>
    <x v="1"/>
    <x v="8"/>
    <x v="5"/>
    <s v="MON-2100"/>
    <n v="1481.74"/>
    <n v="1848.97"/>
    <n v="0.254"/>
    <n v="0.25"/>
    <n v="9"/>
    <n v="0.24783700244307369"/>
    <n v="12413.98458"/>
    <n v="13335.66"/>
    <n v="-921.67541999999958"/>
    <n v="-7.4244930309072407E-2"/>
    <s v="Low"/>
    <n v="12413.98458"/>
    <n v="-921.67541999999958"/>
    <n v="26"/>
    <d v="2023-03-03T00:00:00"/>
    <d v="2023-03-31T00:00:00"/>
    <x v="1"/>
    <n v="230"/>
    <s v="True"/>
    <n v="12480.547500000001"/>
    <n v="10"/>
    <n v="18489.7"/>
    <n v="10"/>
    <n v="1704.001"/>
    <n v="15336.009"/>
  </r>
  <r>
    <s v="ORD-2024-970848"/>
    <x v="236"/>
    <d v="2024-06-03T00:00:00"/>
    <n v="11"/>
    <s v="Q2-2024"/>
    <x v="1"/>
    <x v="1"/>
    <s v="Johannesburg"/>
    <s v="Small Business"/>
    <x v="0"/>
    <x v="7"/>
    <x v="1"/>
    <s v="PRN-3785"/>
    <n v="180.89"/>
    <n v="249.57"/>
    <n v="2.1999999999999999E-2"/>
    <n v="2.1999999999999999E-2"/>
    <n v="8"/>
    <n v="0.37967825750456086"/>
    <n v="1952.6356799999999"/>
    <n v="1447.12"/>
    <n v="505.51567999999997"/>
    <n v="0.25888888806948362"/>
    <s v="Medium"/>
    <n v="1952.6356799999999"/>
    <n v="505.51567999999997"/>
    <n v="28"/>
    <d v="2023-03-03T00:00:00"/>
    <d v="2023-03-31T00:00:00"/>
    <x v="1"/>
    <n v="231"/>
    <s v="False"/>
    <n v="1952.6356799999999"/>
    <n v="9"/>
    <n v="2246.13"/>
    <n v="9"/>
    <n v="208.02349999999996"/>
    <n v="1664.1879999999996"/>
  </r>
  <r>
    <s v="ORD-2024-403664"/>
    <x v="236"/>
    <d v="2024-06-06T00:00:00"/>
    <n v="14"/>
    <s v="Q2-2024"/>
    <x v="0"/>
    <x v="9"/>
    <s v="Rio de Janeiro"/>
    <s v="Non-Profit"/>
    <x v="1"/>
    <x v="12"/>
    <x v="4"/>
    <s v="NET-1166"/>
    <n v="51.13"/>
    <n v="57.53"/>
    <n v="4.4999999999999998E-2"/>
    <n v="4.4999999999999998E-2"/>
    <n v="16"/>
    <n v="0.12517113240758845"/>
    <n v="879.05840000000001"/>
    <n v="818.08"/>
    <n v="60.978399999999965"/>
    <n v="6.9367859973808302E-2"/>
    <s v="Low"/>
    <n v="879.05840000000001"/>
    <n v="60.978399999999965"/>
    <n v="31"/>
    <d v="2023-03-03T00:00:00"/>
    <d v="2023-03-31T00:00:00"/>
    <x v="1"/>
    <n v="231"/>
    <s v="False"/>
    <n v="879.05840000000001"/>
    <n v="19"/>
    <n v="1093.07"/>
    <n v="19"/>
    <n v="58.799500000000002"/>
    <n v="940.79200000000003"/>
  </r>
  <r>
    <s v="ORD-2024-638884"/>
    <x v="237"/>
    <d v="2024-05-28T00:00:00"/>
    <n v="2"/>
    <s v="Q2-2024"/>
    <x v="1"/>
    <x v="5"/>
    <s v="Abuja"/>
    <s v="Enterprise"/>
    <x v="1"/>
    <x v="7"/>
    <x v="3"/>
    <s v="ACC-5177"/>
    <n v="1227.08"/>
    <n v="1896.62"/>
    <n v="0"/>
    <n v="0"/>
    <n v="18"/>
    <n v="0.54563679629689998"/>
    <n v="34139.159999999996"/>
    <n v="22087.439999999999"/>
    <n v="12051.719999999998"/>
    <n v="0.353017473189147"/>
    <s v="Medium"/>
    <n v="34139.159999999996"/>
    <n v="12051.719999999998"/>
    <n v="23"/>
    <d v="2023-03-03T00:00:00"/>
    <d v="2023-03-31T00:00:00"/>
    <x v="0"/>
    <n v="91"/>
    <s v="False"/>
    <n v="34139.159999999996"/>
    <n v="21"/>
    <n v="39829.019999999997"/>
    <n v="21"/>
    <n v="1411.1419999999998"/>
    <n v="25400.555999999997"/>
  </r>
  <r>
    <s v="ORD-2024-578646"/>
    <x v="238"/>
    <d v="2024-06-17T00:00:00"/>
    <n v="21"/>
    <s v="Q2-2024"/>
    <x v="3"/>
    <x v="10"/>
    <s v="Delhi"/>
    <s v="Small Business"/>
    <x v="1"/>
    <x v="4"/>
    <x v="3"/>
    <s v="ACC-7240"/>
    <n v="465.02"/>
    <n v="651.55999999999995"/>
    <n v="4.2000000000000003E-2"/>
    <n v="4.2000000000000003E-2"/>
    <n v="19"/>
    <n v="0.40114403681562077"/>
    <n v="11859.695119999998"/>
    <n v="8835.3799999999992"/>
    <n v="3024.3151199999993"/>
    <n v="0.25500783025187918"/>
    <s v="Medium"/>
    <n v="11859.695119999998"/>
    <n v="3024.3151199999993"/>
    <n v="32"/>
    <d v="2023-03-03T00:00:00"/>
    <d v="2023-03-31T00:00:00"/>
    <x v="1"/>
    <n v="233"/>
    <s v="False"/>
    <n v="11859.695119999998"/>
    <n v="22"/>
    <n v="14334.32"/>
    <n v="22"/>
    <n v="534.77299999999991"/>
    <n v="10160.686999999998"/>
  </r>
  <r>
    <s v="ORD-2024-819979"/>
    <x v="239"/>
    <d v="2024-06-18T00:00:00"/>
    <n v="21"/>
    <s v="Q2-2024"/>
    <x v="2"/>
    <x v="8"/>
    <s v="Frankfurt"/>
    <s v="Small Business"/>
    <x v="1"/>
    <x v="14"/>
    <x v="2"/>
    <s v="PHN-9399"/>
    <n v="986.85"/>
    <n v="2422.1"/>
    <n v="7.5999999999999998E-2"/>
    <n v="7.5999999999999998E-2"/>
    <n v="10"/>
    <n v="1.4543750316664132"/>
    <n v="22380.204000000002"/>
    <n v="9868.5"/>
    <n v="12511.704000000002"/>
    <n v="0.55905227673527913"/>
    <s v="High"/>
    <n v="22380.203999999998"/>
    <n v="12511.703999999998"/>
    <n v="30"/>
    <d v="2023-03-03T00:00:00"/>
    <d v="2023-03-31T00:00:00"/>
    <x v="1"/>
    <n v="234"/>
    <s v="False"/>
    <n v="22380.203999999998"/>
    <n v="12"/>
    <n v="29065.199999999997"/>
    <n v="12"/>
    <n v="1134.8774999999998"/>
    <n v="11348.774999999998"/>
  </r>
  <r>
    <s v="ORD-2024-605518"/>
    <x v="240"/>
    <d v="2024-06-13T00:00:00"/>
    <n v="14"/>
    <s v="Q2-2024"/>
    <x v="0"/>
    <x v="4"/>
    <s v="San Francisco"/>
    <s v="Small Business"/>
    <x v="3"/>
    <x v="7"/>
    <x v="2"/>
    <s v="PHN-4356"/>
    <n v="157.78"/>
    <n v="361.1"/>
    <n v="0.187"/>
    <n v="0.187"/>
    <n v="9"/>
    <n v="1.2886297376093296"/>
    <n v="2642.1686999999997"/>
    <n v="1420.02"/>
    <n v="1222.1486999999997"/>
    <n v="0.46255513510549112"/>
    <s v="High"/>
    <n v="2642.1687000000002"/>
    <n v="1222.1487000000002"/>
    <n v="32"/>
    <d v="2023-03-03T00:00:00"/>
    <d v="2023-03-31T00:00:00"/>
    <x v="1"/>
    <n v="235"/>
    <s v="False"/>
    <n v="2642.1687000000002"/>
    <n v="10"/>
    <n v="3611"/>
    <n v="10"/>
    <n v="181.44699999999997"/>
    <n v="1633.0229999999997"/>
  </r>
  <r>
    <s v="ORD-2024-819778"/>
    <x v="241"/>
    <d v="2024-06-15T00:00:00"/>
    <n v="13"/>
    <s v="Q2-2024"/>
    <x v="1"/>
    <x v="7"/>
    <s v="Mombasa"/>
    <s v="Education"/>
    <x v="1"/>
    <x v="5"/>
    <x v="2"/>
    <s v="PHN-6866"/>
    <n v="1295.18"/>
    <n v="3024.03"/>
    <n v="0.192"/>
    <n v="0.192"/>
    <n v="8"/>
    <n v="1.3348337682793125"/>
    <n v="19547.329920000004"/>
    <n v="10361.44"/>
    <n v="9185.8899200000033"/>
    <n v="0.46993067378483178"/>
    <s v="High"/>
    <n v="19547.329920000004"/>
    <n v="9185.8899200000033"/>
    <n v="29"/>
    <d v="2023-03-03T00:00:00"/>
    <d v="2023-03-31T00:00:00"/>
    <x v="1"/>
    <n v="235"/>
    <s v="False"/>
    <n v="19547.329920000004"/>
    <n v="9"/>
    <n v="27216.27"/>
    <n v="9"/>
    <n v="1489.4569999999999"/>
    <n v="11915.655999999999"/>
  </r>
  <r>
    <s v="ORD-2024-166150"/>
    <x v="241"/>
    <d v="2024-06-08T00:00:00"/>
    <n v="6"/>
    <s v="Q2-2024"/>
    <x v="1"/>
    <x v="7"/>
    <s v="Kisumu"/>
    <s v="Consumer"/>
    <x v="4"/>
    <x v="1"/>
    <x v="3"/>
    <s v="ACC-9820"/>
    <n v="292.94"/>
    <n v="356.55"/>
    <n v="0.22900000000000001"/>
    <n v="0.22900000000000001"/>
    <n v="2"/>
    <n v="0.21714344234314198"/>
    <n v="549.80010000000004"/>
    <n v="585.88"/>
    <n v="-36.079899999999952"/>
    <n v="-6.5623669402751925E-2"/>
    <s v="Low"/>
    <n v="549.80010000000004"/>
    <n v="-36.079899999999952"/>
    <n v="29"/>
    <d v="2023-03-03T00:00:00"/>
    <d v="2023-03-31T00:00:00"/>
    <x v="0"/>
    <n v="92"/>
    <s v="True"/>
    <n v="549.80010000000004"/>
    <n v="2"/>
    <n v="713.1"/>
    <n v="2"/>
    <n v="336.88099999999997"/>
    <n v="673.76199999999994"/>
  </r>
  <r>
    <s v="ORD-2024-886939"/>
    <x v="242"/>
    <d v="2024-06-24T00:00:00"/>
    <n v="21"/>
    <s v="Q2-2024"/>
    <x v="0"/>
    <x v="0"/>
    <s v="Toronto"/>
    <s v="Small Business"/>
    <x v="2"/>
    <x v="6"/>
    <x v="5"/>
    <s v="MON-5386"/>
    <n v="1205.5"/>
    <n v="2210.17"/>
    <n v="0.104"/>
    <n v="0.104"/>
    <n v="23"/>
    <n v="0.8334052260472834"/>
    <n v="45547.183360000003"/>
    <n v="27726.5"/>
    <n v="17820.683360000003"/>
    <n v="0.39125763758314652"/>
    <s v="High"/>
    <n v="45547.183360000003"/>
    <n v="17820.683360000003"/>
    <n v="22"/>
    <d v="2023-03-03T00:00:00"/>
    <d v="2023-03-31T00:00:00"/>
    <x v="1"/>
    <n v="237"/>
    <s v="False"/>
    <n v="45547.183360000003"/>
    <n v="27"/>
    <n v="59674.590000000004"/>
    <n v="27"/>
    <n v="1386.3249999999998"/>
    <n v="31885.474999999995"/>
  </r>
  <r>
    <s v="ORD-2024-134084"/>
    <x v="243"/>
    <d v="2024-06-16T00:00:00"/>
    <n v="12"/>
    <s v="Q2-2024"/>
    <x v="3"/>
    <x v="3"/>
    <s v="Shanghai"/>
    <s v="Corporate"/>
    <x v="3"/>
    <x v="13"/>
    <x v="1"/>
    <s v="PRN-4097"/>
    <n v="918.42"/>
    <n v="1511.71"/>
    <n v="0.02"/>
    <n v="0.02"/>
    <n v="8"/>
    <n v="0.64598985213736648"/>
    <n v="11851.806399999999"/>
    <n v="7347.36"/>
    <n v="4504.4463999999998"/>
    <n v="0.38006412254590999"/>
    <s v="Medium"/>
    <n v="11851.806399999999"/>
    <n v="4504.4463999999998"/>
    <n v="25"/>
    <d v="2023-03-03T00:00:00"/>
    <d v="2023-03-31T00:00:00"/>
    <x v="1"/>
    <n v="238"/>
    <s v="False"/>
    <n v="11851.806399999999"/>
    <n v="9"/>
    <n v="13605.39"/>
    <n v="9"/>
    <n v="1056.1829999999998"/>
    <n v="8449.4639999999981"/>
  </r>
  <r>
    <s v="ORD-2024-713332"/>
    <x v="244"/>
    <d v="2024-06-23T00:00:00"/>
    <n v="18"/>
    <s v="Q2-2024"/>
    <x v="1"/>
    <x v="7"/>
    <s v="Nairobi"/>
    <s v="Consumer"/>
    <x v="0"/>
    <x v="2"/>
    <x v="0"/>
    <s v="LAP-1739"/>
    <n v="1208.74"/>
    <n v="1594.78"/>
    <n v="5.8999999999999997E-2"/>
    <n v="5.8999999999999997E-2"/>
    <n v="39"/>
    <n v="0.31937389347585088"/>
    <n v="58526.83122"/>
    <n v="47140.86"/>
    <n v="11385.971219999999"/>
    <n v="0.1945427589817838"/>
    <s v="Medium"/>
    <n v="58526.831220000007"/>
    <n v="11385.971220000007"/>
    <n v="30"/>
    <d v="2023-03-03T00:00:00"/>
    <d v="2023-03-31T00:00:00"/>
    <x v="1"/>
    <n v="239"/>
    <s v="False"/>
    <n v="58526.831220000007"/>
    <n v="46"/>
    <n v="73359.88"/>
    <n v="46"/>
    <n v="1390.0509999999999"/>
    <n v="54211.988999999994"/>
  </r>
  <r>
    <s v="ORD-2024-465898"/>
    <x v="245"/>
    <d v="2024-06-24T00:00:00"/>
    <n v="18"/>
    <s v="Q2-2024"/>
    <x v="3"/>
    <x v="10"/>
    <s v="Bengaluru"/>
    <s v="Small Business"/>
    <x v="2"/>
    <x v="4"/>
    <x v="4"/>
    <s v="NET-6578"/>
    <n v="1253.25"/>
    <n v="3087.13"/>
    <n v="7.1999999999999995E-2"/>
    <n v="7.1999999999999995E-2"/>
    <n v="11"/>
    <n v="1.4632994215040895"/>
    <n v="31513.423040000001"/>
    <n v="13785.75"/>
    <n v="17727.673040000001"/>
    <n v="0.562543555408064"/>
    <s v="High"/>
    <n v="31513.423040000005"/>
    <n v="17727.673040000005"/>
    <n v="33"/>
    <d v="2023-03-03T00:00:00"/>
    <d v="2023-03-31T00:00:00"/>
    <x v="1"/>
    <n v="240"/>
    <s v="False"/>
    <n v="31513.423040000005"/>
    <n v="13"/>
    <n v="40132.69"/>
    <n v="13"/>
    <n v="1441.2375"/>
    <n v="15853.612499999999"/>
  </r>
  <r>
    <s v="ORD-2024-584090"/>
    <x v="246"/>
    <d v="2024-06-26T00:00:00"/>
    <n v="19"/>
    <s v="Q2-2024"/>
    <x v="2"/>
    <x v="8"/>
    <s v="Berlin"/>
    <s v="Non-Profit"/>
    <x v="4"/>
    <x v="3"/>
    <x v="6"/>
    <s v="CMP-2040"/>
    <n v="1064.32"/>
    <n v="1848.39"/>
    <n v="7.2999999999999995E-2"/>
    <n v="7.2999999999999995E-2"/>
    <n v="38"/>
    <n v="0.73668633493686131"/>
    <n v="65111.38614000001"/>
    <n v="40444.159999999996"/>
    <n v="24667.226140000013"/>
    <n v="0.3788465827921631"/>
    <s v="Medium"/>
    <n v="65111.386140000002"/>
    <n v="24667.226140000006"/>
    <n v="31"/>
    <d v="2023-03-03T00:00:00"/>
    <d v="2023-03-31T00:00:00"/>
    <x v="1"/>
    <n v="240"/>
    <s v="False"/>
    <n v="65111.386140000002"/>
    <n v="45"/>
    <n v="83177.55"/>
    <n v="45"/>
    <n v="1223.9679999999998"/>
    <n v="46510.783999999992"/>
  </r>
  <r>
    <s v="ORD-2024-626925"/>
    <x v="246"/>
    <d v="2024-06-09T00:00:00"/>
    <n v="2"/>
    <s v="Q2-2024"/>
    <x v="3"/>
    <x v="3"/>
    <s v="Shanghai"/>
    <s v="Corporate"/>
    <x v="3"/>
    <x v="5"/>
    <x v="5"/>
    <s v="MON-8688"/>
    <n v="1370.28"/>
    <n v="2209.66"/>
    <n v="0.13300000000000001"/>
    <n v="0.13300000000000001"/>
    <n v="16"/>
    <n v="0.61256093645094423"/>
    <n v="30652.403519999996"/>
    <n v="21924.48"/>
    <n v="8727.9235199999966"/>
    <n v="0.28473863442079589"/>
    <s v="Medium"/>
    <n v="30652.403519999996"/>
    <n v="8727.9235199999966"/>
    <n v="26"/>
    <d v="2023-03-03T00:00:00"/>
    <d v="2023-03-31T00:00:00"/>
    <x v="0"/>
    <n v="93"/>
    <s v="False"/>
    <n v="30652.403519999996"/>
    <n v="19"/>
    <n v="41983.539999999994"/>
    <n v="19"/>
    <n v="1575.8219999999999"/>
    <n v="25213.151999999998"/>
  </r>
  <r>
    <s v="ORD-2024-427031"/>
    <x v="247"/>
    <d v="2024-06-24T00:00:00"/>
    <n v="16"/>
    <s v="Q2-2024"/>
    <x v="1"/>
    <x v="1"/>
    <s v="Durban"/>
    <s v="Education"/>
    <x v="0"/>
    <x v="4"/>
    <x v="5"/>
    <s v="MON-1389"/>
    <n v="597.85"/>
    <n v="741.92"/>
    <n v="3.1E-2"/>
    <n v="3.1E-2"/>
    <n v="7"/>
    <n v="0.24098017897465909"/>
    <n v="5032.4433599999993"/>
    <n v="4184.95"/>
    <n v="847.49335999999948"/>
    <n v="0.16840594108544515"/>
    <s v="Low"/>
    <n v="5032.4433599999993"/>
    <n v="847.49335999999948"/>
    <n v="29"/>
    <d v="2023-03-03T00:00:00"/>
    <d v="2023-03-31T00:00:00"/>
    <x v="1"/>
    <n v="242"/>
    <s v="False"/>
    <n v="5032.4433599999993"/>
    <n v="8"/>
    <n v="5935.36"/>
    <n v="8"/>
    <n v="687.52749999999992"/>
    <n v="4812.6924999999992"/>
  </r>
  <r>
    <s v="ORD-2024-909942"/>
    <x v="248"/>
    <d v="2024-07-07T00:00:00"/>
    <n v="28"/>
    <s v="Q2-2024"/>
    <x v="3"/>
    <x v="3"/>
    <s v="Shenzhen"/>
    <s v="Corporate"/>
    <x v="1"/>
    <x v="13"/>
    <x v="6"/>
    <s v="CMP-6392"/>
    <n v="550.22"/>
    <n v="1025.05"/>
    <n v="0"/>
    <n v="0"/>
    <n v="27"/>
    <n v="0.86298207989531439"/>
    <n v="27676.35"/>
    <n v="14855.94"/>
    <n v="12820.409999999998"/>
    <n v="0.46322618408858102"/>
    <s v="High"/>
    <n v="27676.35"/>
    <n v="12820.409999999998"/>
    <n v="27"/>
    <d v="2023-03-03T00:00:00"/>
    <d v="2023-03-31T00:00:00"/>
    <x v="1"/>
    <n v="242"/>
    <s v="False"/>
    <n v="27676.35"/>
    <n v="32"/>
    <n v="32801.599999999999"/>
    <n v="32"/>
    <n v="632.75299999999993"/>
    <n v="17084.330999999998"/>
  </r>
  <r>
    <s v="ORD-2024-223618"/>
    <x v="249"/>
    <d v="2024-06-11T00:00:00"/>
    <n v="1"/>
    <s v="Q2-2024"/>
    <x v="2"/>
    <x v="6"/>
    <s v="Birmingham"/>
    <s v="Small Business"/>
    <x v="4"/>
    <x v="3"/>
    <x v="0"/>
    <s v="LAP-9230"/>
    <n v="1187.1300000000001"/>
    <n v="1795.17"/>
    <n v="1.2E-2"/>
    <n v="1.2E-2"/>
    <n v="17"/>
    <n v="0.51219327285133043"/>
    <n v="30151.675319999998"/>
    <n v="20181.210000000003"/>
    <n v="9970.4653199999957"/>
    <n v="0.33067699271046663"/>
    <s v="Medium"/>
    <n v="30151.675320000002"/>
    <n v="9970.4653199999993"/>
    <n v="29"/>
    <d v="2023-03-03T00:00:00"/>
    <d v="2023-03-31T00:00:00"/>
    <x v="0"/>
    <n v="94"/>
    <s v="False"/>
    <n v="30151.675320000002"/>
    <n v="20"/>
    <n v="35903.4"/>
    <n v="20"/>
    <n v="1365.1994999999999"/>
    <n v="23208.391499999998"/>
  </r>
  <r>
    <s v="ORD-2024-566589"/>
    <x v="250"/>
    <d v="2024-07-09T00:00:00"/>
    <n v="28"/>
    <s v="Q2-2024"/>
    <x v="1"/>
    <x v="5"/>
    <s v="Port Harcourt"/>
    <s v="Corporate"/>
    <x v="4"/>
    <x v="12"/>
    <x v="2"/>
    <s v="PHN-2436"/>
    <n v="895.54"/>
    <n v="1045"/>
    <n v="0.216"/>
    <n v="0.216"/>
    <n v="15"/>
    <n v="0.16689371775688416"/>
    <n v="12289.2"/>
    <n v="13433.099999999999"/>
    <n v="-1143.8999999999978"/>
    <n v="-9.3081730299775234E-2"/>
    <s v="Low"/>
    <n v="12289.2"/>
    <n v="-1143.8999999999978"/>
    <n v="24"/>
    <d v="2023-03-03T00:00:00"/>
    <d v="2023-03-31T00:00:00"/>
    <x v="1"/>
    <n v="244"/>
    <s v="True"/>
    <n v="12289.2"/>
    <n v="18"/>
    <n v="18810"/>
    <n v="18"/>
    <n v="1029.8709999999999"/>
    <n v="15448.064999999999"/>
  </r>
  <r>
    <s v="ORD-2024-389102"/>
    <x v="251"/>
    <d v="2024-07-06T00:00:00"/>
    <n v="21"/>
    <s v="Q2-2024"/>
    <x v="0"/>
    <x v="0"/>
    <s v="Toronto"/>
    <s v="Enterprise"/>
    <x v="0"/>
    <x v="9"/>
    <x v="1"/>
    <s v="PRN-4453"/>
    <n v="817.23"/>
    <n v="1467.17"/>
    <n v="0.245"/>
    <n v="0.245"/>
    <n v="9"/>
    <n v="0.79529630581354094"/>
    <n v="9969.4201499999999"/>
    <n v="7355.07"/>
    <n v="2614.3501500000002"/>
    <n v="0.26223693160328893"/>
    <s v="High"/>
    <n v="9969.4201499999999"/>
    <n v="2614.3501500000002"/>
    <n v="23"/>
    <d v="2023-03-03T00:00:00"/>
    <d v="2023-03-31T00:00:00"/>
    <x v="1"/>
    <n v="244"/>
    <s v="True"/>
    <n v="9969.4201499999999"/>
    <n v="10"/>
    <n v="14671.7"/>
    <n v="10"/>
    <n v="939.81449999999995"/>
    <n v="8458.3305"/>
  </r>
  <r>
    <s v="ORD-2024-572312"/>
    <x v="252"/>
    <d v="2024-06-21T00:00:00"/>
    <n v="5"/>
    <s v="Q2-2024"/>
    <x v="3"/>
    <x v="11"/>
    <s v="Tokyo"/>
    <s v="Small Business"/>
    <x v="0"/>
    <x v="7"/>
    <x v="2"/>
    <s v="PHN-9677"/>
    <n v="1367.13"/>
    <n v="3062.01"/>
    <n v="0.10299999999999999"/>
    <n v="0.10299999999999999"/>
    <n v="25"/>
    <n v="1.239735796888372"/>
    <n v="68665.574250000005"/>
    <n v="34178.25"/>
    <n v="34487.324250000005"/>
    <n v="0.50225057645971705"/>
    <s v="High"/>
    <n v="68665.574250000005"/>
    <n v="34487.324250000005"/>
    <n v="24"/>
    <d v="2023-03-03T00:00:00"/>
    <d v="2023-03-31T00:00:00"/>
    <x v="0"/>
    <n v="95"/>
    <s v="False"/>
    <n v="68665.574250000005"/>
    <n v="30"/>
    <n v="91860.3"/>
    <n v="30"/>
    <n v="1572.1994999999999"/>
    <n v="39304.987499999996"/>
  </r>
  <r>
    <s v="ORD-2024-580808"/>
    <x v="252"/>
    <d v="2024-07-03T00:00:00"/>
    <n v="17"/>
    <s v="Q2-2024"/>
    <x v="1"/>
    <x v="1"/>
    <s v="Johannesburg"/>
    <s v="Enterprise"/>
    <x v="4"/>
    <x v="7"/>
    <x v="2"/>
    <s v="PHN-6832"/>
    <n v="1173.83"/>
    <n v="2328.9"/>
    <n v="0.12"/>
    <n v="0.12"/>
    <n v="17"/>
    <n v="0.98401812868984451"/>
    <n v="34840.344000000005"/>
    <n v="19955.11"/>
    <n v="14885.234000000004"/>
    <n v="0.42724130393201637"/>
    <s v="High"/>
    <n v="34840.344000000005"/>
    <n v="14885.234000000004"/>
    <n v="30"/>
    <d v="2023-03-03T00:00:00"/>
    <d v="2023-03-31T00:00:00"/>
    <x v="1"/>
    <n v="245"/>
    <s v="False"/>
    <n v="34840.344000000005"/>
    <n v="20"/>
    <n v="46578"/>
    <n v="20"/>
    <n v="1349.9044999999999"/>
    <n v="22948.376499999998"/>
  </r>
  <r>
    <s v="ORD-2024-878493"/>
    <x v="253"/>
    <d v="2024-06-20T00:00:00"/>
    <n v="1"/>
    <s v="Q2-2024"/>
    <x v="1"/>
    <x v="7"/>
    <s v="Kisumu"/>
    <s v="Small Business"/>
    <x v="2"/>
    <x v="13"/>
    <x v="0"/>
    <s v="LAP-4607"/>
    <n v="231.63"/>
    <n v="537.39"/>
    <n v="0.08"/>
    <n v="0.08"/>
    <n v="12"/>
    <n v="1.3200362647325476"/>
    <n v="5932.7856000000002"/>
    <n v="2779.56"/>
    <n v="3153.2256000000002"/>
    <n v="0.53149158129024587"/>
    <s v="High"/>
    <n v="5932.7856000000002"/>
    <n v="3153.2256000000002"/>
    <n v="31"/>
    <d v="2023-03-03T00:00:00"/>
    <d v="2023-03-31T00:00:00"/>
    <x v="0"/>
    <n v="97"/>
    <s v="False"/>
    <n v="5932.7856000000002"/>
    <n v="14"/>
    <n v="7523.46"/>
    <n v="14"/>
    <n v="266.37449999999995"/>
    <n v="3196.4939999999997"/>
  </r>
  <r>
    <s v="ORD-2024-704056"/>
    <x v="254"/>
    <d v="2024-06-25T00:00:00"/>
    <n v="2"/>
    <s v="Q2-2024"/>
    <x v="2"/>
    <x v="6"/>
    <s v="Birmingham"/>
    <s v="Small Business"/>
    <x v="4"/>
    <x v="9"/>
    <x v="3"/>
    <s v="ACC-7838"/>
    <n v="951.44"/>
    <n v="1646.43"/>
    <n v="0.11"/>
    <n v="0.11"/>
    <n v="24"/>
    <n v="0.7304611956613134"/>
    <n v="35167.7448"/>
    <n v="22834.560000000001"/>
    <n v="12333.184799999999"/>
    <n v="0.35069592520473475"/>
    <s v="Medium"/>
    <n v="35167.7448"/>
    <n v="12333.184799999999"/>
    <n v="30"/>
    <d v="2023-03-03T00:00:00"/>
    <d v="2023-03-31T00:00:00"/>
    <x v="0"/>
    <n v="98"/>
    <s v="False"/>
    <n v="35167.7448"/>
    <n v="28"/>
    <n v="46100.04"/>
    <n v="28"/>
    <n v="1094.1559999999999"/>
    <n v="26259.743999999999"/>
  </r>
  <r>
    <s v="ORD-2024-787018"/>
    <x v="254"/>
    <d v="2024-06-28T00:00:00"/>
    <n v="5"/>
    <s v="Q2-2024"/>
    <x v="1"/>
    <x v="5"/>
    <s v="Port Harcourt"/>
    <s v="Non-Profit"/>
    <x v="2"/>
    <x v="3"/>
    <x v="3"/>
    <s v="ACC-7671"/>
    <n v="242.31"/>
    <n v="587.95000000000005"/>
    <n v="0.22900000000000001"/>
    <n v="0.22900000000000001"/>
    <n v="6"/>
    <n v="1.426437208534522"/>
    <n v="2719.8567000000003"/>
    <n v="1453.8600000000001"/>
    <n v="1265.9967000000001"/>
    <n v="0.46546448568411714"/>
    <s v="High"/>
    <n v="2719.8567000000003"/>
    <n v="1265.9967000000001"/>
    <n v="25"/>
    <d v="2023-03-03T00:00:00"/>
    <d v="2023-03-31T00:00:00"/>
    <x v="0"/>
    <n v="99"/>
    <s v="True"/>
    <n v="2719.8567000000003"/>
    <n v="7"/>
    <n v="4115.6500000000005"/>
    <n v="7"/>
    <n v="278.65649999999999"/>
    <n v="1671.9389999999999"/>
  </r>
  <r>
    <s v="ORD-2024-341535"/>
    <x v="255"/>
    <d v="2024-06-30T00:00:00"/>
    <n v="5"/>
    <s v="Q2-2024"/>
    <x v="1"/>
    <x v="7"/>
    <s v="Kisumu"/>
    <s v="Education"/>
    <x v="2"/>
    <x v="3"/>
    <x v="4"/>
    <s v="NET-5987"/>
    <n v="1323.55"/>
    <n v="3230.35"/>
    <n v="2.1999999999999999E-2"/>
    <n v="2.1999999999999999E-2"/>
    <n v="26"/>
    <n v="1.4406709228967549"/>
    <n v="82141.339799999987"/>
    <n v="34412.299999999996"/>
    <n v="47729.039799999991"/>
    <n v="0.58105991351263542"/>
    <s v="High"/>
    <n v="82141.339800000002"/>
    <n v="47729.039800000006"/>
    <n v="32"/>
    <d v="2023-03-03T00:00:00"/>
    <d v="2023-03-31T00:00:00"/>
    <x v="0"/>
    <n v="100"/>
    <s v="False"/>
    <n v="82141.339800000002"/>
    <n v="31"/>
    <n v="100140.84999999999"/>
    <n v="31"/>
    <n v="1522.0824999999998"/>
    <n v="39574.144999999997"/>
  </r>
  <r>
    <s v="ORD-2024-451005"/>
    <x v="256"/>
    <d v="2024-06-30T00:00:00"/>
    <n v="2"/>
    <s v="Q2-2024"/>
    <x v="0"/>
    <x v="9"/>
    <s v="Rio de Janeiro"/>
    <s v="Small Business"/>
    <x v="2"/>
    <x v="9"/>
    <x v="3"/>
    <s v="ACC-9162"/>
    <n v="1112.98"/>
    <n v="2095.73"/>
    <n v="7.1999999999999995E-2"/>
    <n v="7.1999999999999995E-2"/>
    <n v="17"/>
    <n v="0.88298981113766639"/>
    <n v="33062.236480000007"/>
    <n v="18920.66"/>
    <n v="14141.576480000007"/>
    <n v="0.42772594916724777"/>
    <s v="High"/>
    <n v="33062.23648"/>
    <n v="14141.57648"/>
    <n v="32"/>
    <d v="2023-03-03T00:00:00"/>
    <d v="2023-03-31T00:00:00"/>
    <x v="0"/>
    <n v="100"/>
    <s v="False"/>
    <n v="33062.23648"/>
    <n v="20"/>
    <n v="41914.6"/>
    <n v="20"/>
    <n v="1279.9269999999999"/>
    <n v="21758.758999999998"/>
  </r>
  <r>
    <s v="ORD-2024-919471"/>
    <x v="257"/>
    <d v="2024-07-26T00:00:00"/>
    <n v="27"/>
    <s v="Q2-2024"/>
    <x v="1"/>
    <x v="1"/>
    <s v="Durban"/>
    <s v="Enterprise"/>
    <x v="0"/>
    <x v="0"/>
    <x v="4"/>
    <s v="NET-4241"/>
    <n v="5.36"/>
    <n v="10.237600000000002"/>
    <n v="0.11799999999999999"/>
    <n v="0.11799999999999999"/>
    <n v="9"/>
    <n v="0.91000000000000025"/>
    <n v="81.266068800000014"/>
    <n v="48.24"/>
    <n v="33.026068800000012"/>
    <n v="0.40639432038085749"/>
    <s v="High"/>
    <n v="81.266068800000014"/>
    <n v="33.026068800000012"/>
    <n v="31"/>
    <d v="2023-03-03T00:00:00"/>
    <d v="2023-03-31T00:00:00"/>
    <x v="1"/>
    <n v="247"/>
    <s v="False"/>
    <n v="81.266068800000014"/>
    <n v="10"/>
    <n v="102.37600000000002"/>
    <n v="10"/>
    <n v="6.1639999999999997"/>
    <n v="55.475999999999999"/>
  </r>
  <r>
    <s v="ORD-2024-442776"/>
    <x v="258"/>
    <d v="2024-07-21T00:00:00"/>
    <n v="21"/>
    <s v="Q2-2024"/>
    <x v="1"/>
    <x v="7"/>
    <s v="Kisumu"/>
    <s v="Small Business"/>
    <x v="3"/>
    <x v="10"/>
    <x v="0"/>
    <s v="LAP-6577"/>
    <n v="753.43"/>
    <n v="1787.2"/>
    <n v="7.2999999999999995E-2"/>
    <n v="7.2999999999999995E-2"/>
    <n v="9"/>
    <n v="1.3720849979427419"/>
    <n v="14910.609600000002"/>
    <n v="6780.87"/>
    <n v="8129.7396000000017"/>
    <n v="0.54523187301476939"/>
    <s v="High"/>
    <n v="14910.6096"/>
    <n v="8129.7395999999999"/>
    <n v="33"/>
    <d v="2023-03-03T00:00:00"/>
    <d v="2023-03-31T00:00:00"/>
    <x v="1"/>
    <n v="248"/>
    <s v="False"/>
    <n v="14910.6096"/>
    <n v="10"/>
    <n v="17872"/>
    <n v="10"/>
    <n v="866.44449999999983"/>
    <n v="7798.0004999999983"/>
  </r>
  <r>
    <s v="ORD-2024-215294"/>
    <x v="258"/>
    <d v="2024-07-14T00:00:00"/>
    <n v="14"/>
    <s v="Q2-2024"/>
    <x v="0"/>
    <x v="9"/>
    <s v="Brasília"/>
    <s v="Education"/>
    <x v="3"/>
    <x v="11"/>
    <x v="3"/>
    <s v="ACC-8683"/>
    <n v="1491.85"/>
    <n v="2583.02"/>
    <n v="0.16800000000000001"/>
    <n v="0.16800000000000001"/>
    <n v="4"/>
    <n v="0.73142071924121066"/>
    <n v="8596.2905599999995"/>
    <n v="5967.4"/>
    <n v="2628.8905599999998"/>
    <n v="0.30581685689321325"/>
    <s v="Medium"/>
    <n v="8596.2905599999995"/>
    <n v="2628.8905599999998"/>
    <n v="33"/>
    <d v="2023-03-03T00:00:00"/>
    <d v="2023-03-31T00:00:00"/>
    <x v="1"/>
    <n v="248"/>
    <s v="False"/>
    <n v="8596.2905599999995"/>
    <n v="4"/>
    <n v="10332.08"/>
    <n v="4"/>
    <n v="1715.6274999999998"/>
    <n v="6862.5099999999993"/>
  </r>
  <r>
    <s v="ORD-2024-468615"/>
    <x v="259"/>
    <d v="2024-07-12T00:00:00"/>
    <n v="3"/>
    <s v="Q3-2024"/>
    <x v="3"/>
    <x v="3"/>
    <s v="Shanghai"/>
    <s v="Small Business"/>
    <x v="3"/>
    <x v="2"/>
    <x v="3"/>
    <s v="ACC-3721"/>
    <n v="748.39"/>
    <n v="979.42"/>
    <n v="0"/>
    <n v="0"/>
    <n v="23"/>
    <n v="0.30870268175683796"/>
    <n v="22526.66"/>
    <n v="17212.97"/>
    <n v="5313.6899999999987"/>
    <n v="0.23588450307324738"/>
    <s v="Medium"/>
    <n v="22526.66"/>
    <n v="5313.6899999999987"/>
    <n v="28"/>
    <d v="2023-03-03T00:00:00"/>
    <d v="2023-03-31T00:00:00"/>
    <x v="0"/>
    <n v="101"/>
    <s v="False"/>
    <n v="22526.66"/>
    <n v="27"/>
    <n v="26444.34"/>
    <n v="27"/>
    <n v="860.6484999999999"/>
    <n v="19794.915499999999"/>
  </r>
  <r>
    <s v="ORD-2024-892879"/>
    <x v="259"/>
    <d v="2024-08-08T00:00:00"/>
    <n v="30"/>
    <s v="Q3-2024"/>
    <x v="2"/>
    <x v="2"/>
    <s v="Marseille"/>
    <s v="Corporate"/>
    <x v="2"/>
    <x v="13"/>
    <x v="6"/>
    <s v="CMP-5825"/>
    <n v="1062.3800000000001"/>
    <n v="1503.96"/>
    <n v="0.18"/>
    <n v="0.18"/>
    <n v="6"/>
    <n v="0.41565165006871352"/>
    <n v="7399.4832000000006"/>
    <n v="6374.2800000000007"/>
    <n v="1025.2031999999999"/>
    <n v="0.13855064905073369"/>
    <s v="Medium"/>
    <n v="7399.4832000000006"/>
    <n v="1025.2031999999999"/>
    <n v="27"/>
    <d v="2023-03-03T00:00:00"/>
    <d v="2023-03-31T00:00:00"/>
    <x v="1"/>
    <n v="250"/>
    <s v="False"/>
    <n v="7399.4832000000006"/>
    <n v="7"/>
    <n v="10527.720000000001"/>
    <n v="7"/>
    <n v="1221.7370000000001"/>
    <n v="7330.4220000000005"/>
  </r>
  <r>
    <s v="ORD-2024-571797"/>
    <x v="260"/>
    <d v="2024-07-31T00:00:00"/>
    <n v="20"/>
    <s v="Q3-2024"/>
    <x v="3"/>
    <x v="3"/>
    <s v="Shenzhen"/>
    <s v="Consumer"/>
    <x v="1"/>
    <x v="6"/>
    <x v="2"/>
    <s v="PHN-7815"/>
    <n v="647.26"/>
    <n v="1374.72"/>
    <n v="6.6000000000000003E-2"/>
    <n v="6.6000000000000003E-2"/>
    <n v="22"/>
    <n v="1.1239069307542564"/>
    <n v="28247.74656"/>
    <n v="14239.72"/>
    <n v="14008.02656"/>
    <n v="0.49589890401508901"/>
    <s v="High"/>
    <n v="28247.74656"/>
    <n v="14008.02656"/>
    <n v="29"/>
    <d v="2023-03-03T00:00:00"/>
    <d v="2023-03-31T00:00:00"/>
    <x v="1"/>
    <n v="250"/>
    <s v="False"/>
    <n v="28247.74656"/>
    <n v="26"/>
    <n v="35742.720000000001"/>
    <n v="26"/>
    <n v="744.34899999999993"/>
    <n v="16375.677999999998"/>
  </r>
  <r>
    <s v="ORD-2024-892908"/>
    <x v="261"/>
    <d v="2024-07-13T00:00:00"/>
    <n v="1"/>
    <s v="Q3-2024"/>
    <x v="3"/>
    <x v="11"/>
    <s v="Nagoya"/>
    <s v="Small Business"/>
    <x v="4"/>
    <x v="7"/>
    <x v="4"/>
    <s v="NET-9575"/>
    <n v="105.13"/>
    <n v="244.13"/>
    <n v="7.0999999999999994E-2"/>
    <n v="7.0999999999999994E-2"/>
    <n v="14"/>
    <n v="1.3221725482735662"/>
    <n v="3175.1547799999998"/>
    <n v="1471.82"/>
    <n v="1703.3347799999999"/>
    <n v="0.53645724319618837"/>
    <s v="High"/>
    <n v="3175.1547800000003"/>
    <n v="1703.3347800000004"/>
    <n v="25"/>
    <d v="2023-03-03T00:00:00"/>
    <d v="2023-03-31T00:00:00"/>
    <x v="0"/>
    <n v="102"/>
    <s v="False"/>
    <n v="3175.1547800000003"/>
    <n v="16"/>
    <n v="3906.08"/>
    <n v="16"/>
    <n v="120.89949999999999"/>
    <n v="1692.5929999999998"/>
  </r>
  <r>
    <s v="ORD-2024-202877"/>
    <x v="262"/>
    <d v="2024-08-03T00:00:00"/>
    <n v="21"/>
    <s v="Q3-2024"/>
    <x v="0"/>
    <x v="9"/>
    <s v="Rio de Janeiro"/>
    <s v="Corporate"/>
    <x v="4"/>
    <x v="3"/>
    <x v="5"/>
    <s v="MON-6287"/>
    <n v="702.98"/>
    <n v="1104.8"/>
    <n v="0.17499999999999999"/>
    <n v="0.17499999999999999"/>
    <n v="12"/>
    <n v="0.57159520896753813"/>
    <n v="10937.519999999999"/>
    <n v="8435.76"/>
    <n v="2501.7599999999984"/>
    <n v="0.22873192460448061"/>
    <s v="Medium"/>
    <n v="10937.519999999999"/>
    <n v="2501.7599999999984"/>
    <n v="34"/>
    <d v="2023-03-03T00:00:00"/>
    <d v="2023-03-31T00:00:00"/>
    <x v="1"/>
    <n v="251"/>
    <s v="False"/>
    <n v="10937.519999999999"/>
    <n v="14"/>
    <n v="15467.199999999999"/>
    <n v="14"/>
    <n v="808.42699999999991"/>
    <n v="9701.1239999999998"/>
  </r>
  <r>
    <s v="ORD-2024-605629"/>
    <x v="263"/>
    <d v="2024-07-15T00:00:00"/>
    <n v="0"/>
    <s v="Q3-2024"/>
    <x v="3"/>
    <x v="11"/>
    <s v="Tokyo"/>
    <s v="Small Business"/>
    <x v="4"/>
    <x v="6"/>
    <x v="3"/>
    <s v="ACC-2735"/>
    <n v="801.77"/>
    <n v="1218.92"/>
    <n v="0.254"/>
    <n v="0.25"/>
    <n v="16"/>
    <n v="0.52028636641430848"/>
    <n v="14549.029120000001"/>
    <n v="12828.32"/>
    <n v="1720.7091200000013"/>
    <n v="0.11826968698788344"/>
    <s v="Medium"/>
    <n v="14549.029120000001"/>
    <n v="1720.7091200000013"/>
    <n v="26"/>
    <d v="2023-03-03T00:00:00"/>
    <d v="2023-03-31T00:00:00"/>
    <x v="0"/>
    <n v="103"/>
    <s v="True"/>
    <n v="14627.04"/>
    <n v="19"/>
    <n v="23159.480000000003"/>
    <n v="19"/>
    <n v="922.03549999999996"/>
    <n v="14752.567999999999"/>
  </r>
  <r>
    <s v="ORD-2024-398783"/>
    <x v="264"/>
    <d v="2024-08-07T00:00:00"/>
    <n v="20"/>
    <s v="Q3-2024"/>
    <x v="2"/>
    <x v="2"/>
    <s v="Marseille"/>
    <s v="Corporate"/>
    <x v="3"/>
    <x v="7"/>
    <x v="5"/>
    <s v="MON-7622"/>
    <n v="941.35"/>
    <n v="1703.8435000000002"/>
    <n v="5.8000000000000003E-2"/>
    <n v="5.8000000000000003E-2"/>
    <n v="18"/>
    <n v="0.81000000000000016"/>
    <n v="28890.370386000002"/>
    <n v="16944.3"/>
    <n v="11946.070386000003"/>
    <n v="0.41349661587547365"/>
    <s v="High"/>
    <n v="28890.370385999999"/>
    <n v="11946.070385999999"/>
    <n v="28"/>
    <d v="2023-03-03T00:00:00"/>
    <d v="2023-03-31T00:00:00"/>
    <x v="1"/>
    <n v="252"/>
    <s v="False"/>
    <n v="28890.370385999999"/>
    <n v="21"/>
    <n v="35780.713500000005"/>
    <n v="21"/>
    <n v="1082.5525"/>
    <n v="19485.945"/>
  </r>
  <r>
    <s v="ORD-2024-855073"/>
    <x v="265"/>
    <d v="2024-07-19T00:00:00"/>
    <n v="0"/>
    <s v="Q3-2024"/>
    <x v="1"/>
    <x v="7"/>
    <s v="Kisumu"/>
    <s v="Small Business"/>
    <x v="3"/>
    <x v="1"/>
    <x v="2"/>
    <s v="PHN-6854"/>
    <n v="857.24"/>
    <n v="1268.7152000000001"/>
    <n v="0.125"/>
    <n v="0.125"/>
    <n v="6"/>
    <n v="0.48000000000000009"/>
    <n v="6660.7548000000006"/>
    <n v="5143.4400000000005"/>
    <n v="1517.3148000000001"/>
    <n v="0.22779922779922779"/>
    <s v="Medium"/>
    <n v="6660.7548000000006"/>
    <n v="1517.3148000000001"/>
    <n v="35"/>
    <d v="2023-03-03T00:00:00"/>
    <d v="2023-03-31T00:00:00"/>
    <x v="0"/>
    <n v="105"/>
    <s v="False"/>
    <n v="6660.7548000000006"/>
    <n v="7"/>
    <n v="8881.0064000000002"/>
    <n v="7"/>
    <n v="985.82599999999991"/>
    <n v="5914.9559999999992"/>
  </r>
  <r>
    <s v="ORD-2024-798002"/>
    <x v="266"/>
    <d v="2024-07-25T00:00:00"/>
    <n v="1"/>
    <s v="Q3-2024"/>
    <x v="1"/>
    <x v="7"/>
    <s v="Mombasa"/>
    <s v="Non-Profit"/>
    <x v="2"/>
    <x v="13"/>
    <x v="0"/>
    <s v="LAP-9815"/>
    <n v="1494.4"/>
    <n v="3661.07"/>
    <n v="7.1999999999999995E-2"/>
    <n v="7.1999999999999995E-2"/>
    <n v="7"/>
    <n v="1.4498594753747323"/>
    <n v="23782.310720000001"/>
    <n v="10460.800000000001"/>
    <n v="13321.51072"/>
    <n v="0.56014366630897339"/>
    <s v="High"/>
    <n v="23782.310720000005"/>
    <n v="13321.510720000004"/>
    <n v="35"/>
    <d v="2023-03-03T00:00:00"/>
    <d v="2023-03-31T00:00:00"/>
    <x v="0"/>
    <n v="105"/>
    <s v="False"/>
    <n v="23782.310720000005"/>
    <n v="8"/>
    <n v="29288.560000000001"/>
    <n v="8"/>
    <n v="1718.56"/>
    <n v="12029.92"/>
  </r>
  <r>
    <s v="ORD-2024-678110"/>
    <x v="266"/>
    <d v="2024-08-08T00:00:00"/>
    <n v="15"/>
    <s v="Q3-2024"/>
    <x v="2"/>
    <x v="2"/>
    <s v="Marseille"/>
    <s v="Enterprise"/>
    <x v="4"/>
    <x v="4"/>
    <x v="0"/>
    <s v="LAP-9901"/>
    <n v="501.5"/>
    <n v="1201.47"/>
    <n v="0.126"/>
    <n v="0.126"/>
    <n v="5"/>
    <n v="1.395752741774676"/>
    <n v="5250.4239000000007"/>
    <n v="2507.5"/>
    <n v="2742.9239000000007"/>
    <n v="0.52241951359394057"/>
    <s v="High"/>
    <n v="5250.4238999999998"/>
    <n v="2742.9238999999998"/>
    <n v="29"/>
    <d v="2023-03-03T00:00:00"/>
    <d v="2023-03-31T00:00:00"/>
    <x v="1"/>
    <n v="254"/>
    <s v="False"/>
    <n v="5250.4238999999998"/>
    <n v="6"/>
    <n v="7208.82"/>
    <n v="6"/>
    <n v="576.72499999999991"/>
    <n v="2883.6249999999995"/>
  </r>
  <r>
    <s v="ORD-2024-901115"/>
    <x v="267"/>
    <d v="2024-08-02T00:00:00"/>
    <n v="8"/>
    <s v="Q3-2024"/>
    <x v="0"/>
    <x v="0"/>
    <s v="Montreal"/>
    <s v="Consumer"/>
    <x v="2"/>
    <x v="13"/>
    <x v="3"/>
    <s v="ACC-6626"/>
    <n v="986.81"/>
    <n v="2050.31"/>
    <n v="0.10299999999999999"/>
    <n v="0.10299999999999999"/>
    <n v="43"/>
    <n v="1.0777150616633395"/>
    <n v="79082.507010000001"/>
    <n v="42432.829999999994"/>
    <n v="36649.677010000007"/>
    <n v="0.46343595310358138"/>
    <s v="High"/>
    <n v="79082.507010000001"/>
    <n v="36649.677010000007"/>
    <n v="24"/>
    <d v="2023-03-03T00:00:00"/>
    <d v="2023-03-31T00:00:00"/>
    <x v="1"/>
    <n v="255"/>
    <s v="False"/>
    <n v="79082.507010000001"/>
    <n v="51"/>
    <n v="104565.81"/>
    <n v="51"/>
    <n v="1134.8314999999998"/>
    <n v="48797.754499999988"/>
  </r>
  <r>
    <s v="ORD-2024-817997"/>
    <x v="268"/>
    <d v="2024-08-23T00:00:00"/>
    <n v="26"/>
    <s v="Q3-2024"/>
    <x v="3"/>
    <x v="10"/>
    <s v="Hyderabad"/>
    <s v="Corporate"/>
    <x v="3"/>
    <x v="13"/>
    <x v="4"/>
    <s v="NET-4675"/>
    <n v="1339.24"/>
    <n v="1558.89"/>
    <n v="0.192"/>
    <n v="0.192"/>
    <n v="24"/>
    <n v="0.1640109315731311"/>
    <n v="30229.994880000002"/>
    <n v="32141.760000000002"/>
    <n v="-1911.76512"/>
    <n v="-6.3240669659021781E-2"/>
    <s v="Low"/>
    <n v="30229.994880000006"/>
    <n v="-1911.7651199999964"/>
    <n v="34"/>
    <d v="2023-03-03T00:00:00"/>
    <d v="2023-03-31T00:00:00"/>
    <x v="1"/>
    <n v="255"/>
    <s v="False"/>
    <n v="30229.994880000006"/>
    <n v="28"/>
    <n v="43648.920000000006"/>
    <n v="28"/>
    <n v="1540.126"/>
    <n v="36963.023999999998"/>
  </r>
  <r>
    <s v="ORD-2024-301260"/>
    <x v="269"/>
    <d v="2024-07-31T00:00:00"/>
    <n v="2"/>
    <s v="Q3-2024"/>
    <x v="0"/>
    <x v="4"/>
    <s v="New York"/>
    <s v="Education"/>
    <x v="4"/>
    <x v="12"/>
    <x v="1"/>
    <s v="PRN-2829"/>
    <n v="798.97"/>
    <n v="1814.06"/>
    <n v="0.122"/>
    <n v="0.122"/>
    <n v="16"/>
    <n v="1.2704982665181419"/>
    <n v="25483.91488"/>
    <n v="12783.52"/>
    <n v="12700.39488"/>
    <n v="0.49836906691159061"/>
    <s v="High"/>
    <n v="25483.91488"/>
    <n v="12700.39488"/>
    <n v="33"/>
    <d v="2023-03-03T00:00:00"/>
    <d v="2023-03-31T00:00:00"/>
    <x v="0"/>
    <n v="106"/>
    <s v="False"/>
    <n v="25483.91488"/>
    <n v="19"/>
    <n v="34467.14"/>
    <n v="19"/>
    <n v="918.81549999999993"/>
    <n v="14701.047999999999"/>
  </r>
  <r>
    <s v="ORD-2024-947056"/>
    <x v="270"/>
    <d v="2024-08-15T00:00:00"/>
    <n v="15"/>
    <s v="Q3-2024"/>
    <x v="3"/>
    <x v="11"/>
    <s v="Tokyo"/>
    <s v="Corporate"/>
    <x v="4"/>
    <x v="7"/>
    <x v="5"/>
    <s v="MON-1564"/>
    <n v="1252.52"/>
    <n v="1417.24"/>
    <n v="0.192"/>
    <n v="0.192"/>
    <n v="5"/>
    <n v="0.13151087407785905"/>
    <n v="5725.6496000000006"/>
    <n v="6262.6"/>
    <n v="-536.95039999999972"/>
    <n v="-9.3779821943696953E-2"/>
    <s v="Low"/>
    <n v="5725.6496000000006"/>
    <n v="-536.95039999999972"/>
    <n v="27"/>
    <d v="2023-03-03T00:00:00"/>
    <d v="2023-03-31T00:00:00"/>
    <x v="1"/>
    <n v="256"/>
    <s v="False"/>
    <n v="5725.6496000000006"/>
    <n v="6"/>
    <n v="8503.44"/>
    <n v="6"/>
    <n v="1440.3979999999999"/>
    <n v="7201.99"/>
  </r>
  <r>
    <s v="ORD-2024-689872"/>
    <x v="271"/>
    <d v="2024-08-09T00:00:00"/>
    <n v="6"/>
    <s v="Q3-2024"/>
    <x v="1"/>
    <x v="7"/>
    <s v="Mombasa"/>
    <s v="Consumer"/>
    <x v="4"/>
    <x v="4"/>
    <x v="0"/>
    <s v="LAP-1969"/>
    <n v="643.21"/>
    <n v="1112.81"/>
    <n v="0.14099999999999999"/>
    <n v="0.14099999999999999"/>
    <n v="4"/>
    <n v="0.73008815161455809"/>
    <n v="3823.6151599999998"/>
    <n v="2572.84"/>
    <n v="1250.7751599999997"/>
    <n v="0.32711847496702562"/>
    <s v="Medium"/>
    <n v="3823.6151599999998"/>
    <n v="1250.7751599999997"/>
    <n v="36"/>
    <d v="2023-03-03T00:00:00"/>
    <d v="2023-03-31T00:00:00"/>
    <x v="0"/>
    <n v="107"/>
    <s v="False"/>
    <n v="3823.6151599999998"/>
    <n v="4"/>
    <n v="4451.24"/>
    <n v="4"/>
    <n v="739.69150000000002"/>
    <n v="2958.7660000000001"/>
  </r>
  <r>
    <s v="ORD-2024-433936"/>
    <x v="272"/>
    <d v="2024-08-17T00:00:00"/>
    <n v="13"/>
    <s v="Q3-2024"/>
    <x v="0"/>
    <x v="4"/>
    <s v="Austin"/>
    <s v="Consumer"/>
    <x v="3"/>
    <x v="2"/>
    <x v="5"/>
    <s v="MON-8867"/>
    <n v="352.79"/>
    <n v="754.22"/>
    <n v="0.113"/>
    <n v="0.113"/>
    <n v="7"/>
    <n v="1.1378723886731483"/>
    <n v="4682.9519799999998"/>
    <n v="2469.5300000000002"/>
    <n v="2213.4219799999996"/>
    <n v="0.47265528014233443"/>
    <s v="High"/>
    <n v="4682.9519799999998"/>
    <n v="2213.4219799999996"/>
    <n v="34"/>
    <d v="2023-03-03T00:00:00"/>
    <d v="2023-03-31T00:00:00"/>
    <x v="1"/>
    <n v="258"/>
    <s v="False"/>
    <n v="4682.9519799999998"/>
    <n v="8"/>
    <n v="6033.76"/>
    <n v="8"/>
    <n v="405.70850000000002"/>
    <n v="2839.9594999999999"/>
  </r>
  <r>
    <s v="ORD-2024-136321"/>
    <x v="273"/>
    <d v="2024-08-17T00:00:00"/>
    <n v="10"/>
    <s v="Q3-2024"/>
    <x v="3"/>
    <x v="11"/>
    <s v="Osaka"/>
    <s v="Consumer"/>
    <x v="1"/>
    <x v="10"/>
    <x v="4"/>
    <s v="NET-7924"/>
    <n v="436.58"/>
    <n v="527.48"/>
    <n v="0.111"/>
    <n v="0.111"/>
    <n v="19"/>
    <n v="0.20820926290714195"/>
    <n v="8909.6646800000017"/>
    <n v="8295.02"/>
    <n v="614.64468000000124"/>
    <n v="6.8986286473802644E-2"/>
    <s v="Low"/>
    <n v="8909.6646799999999"/>
    <n v="614.64467999999943"/>
    <n v="29"/>
    <d v="2023-03-03T00:00:00"/>
    <d v="2023-03-31T00:00:00"/>
    <x v="1"/>
    <n v="259"/>
    <s v="False"/>
    <n v="8909.6646799999999"/>
    <n v="22"/>
    <n v="11604.560000000001"/>
    <n v="22"/>
    <n v="502.06699999999995"/>
    <n v="9539.2729999999992"/>
  </r>
  <r>
    <s v="ORD-2024-915495"/>
    <x v="274"/>
    <d v="2024-08-20T00:00:00"/>
    <n v="12"/>
    <s v="Q3-2024"/>
    <x v="3"/>
    <x v="11"/>
    <s v="Osaka"/>
    <s v="Small Business"/>
    <x v="3"/>
    <x v="4"/>
    <x v="4"/>
    <s v="NET-8957"/>
    <n v="1233.3599999999999"/>
    <n v="2120.4"/>
    <n v="0.17899999999999999"/>
    <n v="0.17899999999999999"/>
    <n v="20"/>
    <n v="0.71920607122008195"/>
    <n v="34816.968000000001"/>
    <n v="24667.199999999997"/>
    <n v="10149.768000000004"/>
    <n v="0.29151785991244278"/>
    <s v="Medium"/>
    <n v="34816.968000000001"/>
    <n v="10149.768000000004"/>
    <n v="29"/>
    <d v="2023-03-03T00:00:00"/>
    <d v="2023-03-31T00:00:00"/>
    <x v="1"/>
    <n v="260"/>
    <s v="False"/>
    <n v="34816.968000000001"/>
    <n v="24"/>
    <n v="50889.600000000006"/>
    <n v="24"/>
    <n v="1418.3639999999998"/>
    <n v="28367.279999999995"/>
  </r>
  <r>
    <s v="ORD-2024-307849"/>
    <x v="275"/>
    <d v="2024-09-07T00:00:00"/>
    <n v="28"/>
    <s v="Q3-2024"/>
    <x v="2"/>
    <x v="2"/>
    <s v="Marseille"/>
    <s v="Non-Profit"/>
    <x v="2"/>
    <x v="7"/>
    <x v="1"/>
    <s v="PRN-1183"/>
    <n v="229.96"/>
    <n v="564.26"/>
    <n v="0.105"/>
    <n v="0.105"/>
    <n v="5"/>
    <n v="1.4537310836667243"/>
    <n v="2525.0635000000002"/>
    <n v="1149.8"/>
    <n v="1375.2635000000002"/>
    <n v="0.54464511486542821"/>
    <s v="High"/>
    <n v="2525.0635000000002"/>
    <n v="1375.2635000000002"/>
    <n v="30"/>
    <d v="2023-03-03T00:00:00"/>
    <d v="2023-03-31T00:00:00"/>
    <x v="1"/>
    <n v="261"/>
    <s v="False"/>
    <n v="2525.0635000000002"/>
    <n v="6"/>
    <n v="3385.56"/>
    <n v="6"/>
    <n v="264.45400000000001"/>
    <n v="1322.27"/>
  </r>
  <r>
    <s v="ORD-2024-212990"/>
    <x v="276"/>
    <d v="2024-09-03T00:00:00"/>
    <n v="22"/>
    <s v="Q3-2024"/>
    <x v="0"/>
    <x v="4"/>
    <s v="Austin"/>
    <s v="Consumer"/>
    <x v="0"/>
    <x v="12"/>
    <x v="0"/>
    <s v="LAP-7979"/>
    <n v="797.8"/>
    <n v="886.22"/>
    <n v="0.23599999999999999"/>
    <n v="0.23599999999999999"/>
    <n v="36"/>
    <n v="0.11082978190022572"/>
    <n v="24374.594880000001"/>
    <n v="28720.799999999999"/>
    <n v="-4346.2051199999987"/>
    <n v="-0.17830881462428633"/>
    <s v="Low"/>
    <n v="24374.594880000001"/>
    <n v="-4346.2051199999987"/>
    <n v="36"/>
    <d v="2023-03-03T00:00:00"/>
    <d v="2023-03-31T00:00:00"/>
    <x v="1"/>
    <n v="261"/>
    <s v="True"/>
    <n v="24374.594880000001"/>
    <n v="43"/>
    <n v="38107.46"/>
    <n v="43"/>
    <n v="917.46999999999991"/>
    <n v="33028.92"/>
  </r>
  <r>
    <s v="ORD-2024-626750"/>
    <x v="276"/>
    <d v="2024-08-15T00:00:00"/>
    <n v="3"/>
    <s v="Q3-2024"/>
    <x v="0"/>
    <x v="4"/>
    <s v="Chicago"/>
    <s v="Corporate"/>
    <x v="4"/>
    <x v="2"/>
    <x v="1"/>
    <s v="PRN-5591"/>
    <n v="850.7"/>
    <n v="1118.56"/>
    <n v="0.18"/>
    <n v="0.18"/>
    <n v="19"/>
    <n v="0.31487010697072987"/>
    <n v="17427.164800000002"/>
    <n v="16163.300000000001"/>
    <n v="1263.8648000000012"/>
    <n v="7.2522685962090688E-2"/>
    <s v="Medium"/>
    <n v="17427.164799999999"/>
    <n v="1263.8647999999976"/>
    <n v="36"/>
    <d v="2023-03-03T00:00:00"/>
    <d v="2023-03-31T00:00:00"/>
    <x v="0"/>
    <n v="108"/>
    <s v="False"/>
    <n v="17427.164799999999"/>
    <n v="22"/>
    <n v="24608.32"/>
    <n v="22"/>
    <n v="978.30499999999995"/>
    <n v="18587.794999999998"/>
  </r>
  <r>
    <s v="ORD-2024-286833"/>
    <x v="277"/>
    <d v="2024-09-04T00:00:00"/>
    <n v="21"/>
    <s v="Q3-2024"/>
    <x v="2"/>
    <x v="6"/>
    <s v="Manchester"/>
    <s v="Non-Profit"/>
    <x v="1"/>
    <x v="13"/>
    <x v="2"/>
    <s v="PHN-2341"/>
    <n v="1138.8"/>
    <n v="2250.81"/>
    <n v="0.123"/>
    <n v="0.123"/>
    <n v="12"/>
    <n v="0.9764752370916755"/>
    <n v="23687.524440000001"/>
    <n v="13665.599999999999"/>
    <n v="10021.924440000003"/>
    <n v="0.42308872188756258"/>
    <s v="High"/>
    <n v="23687.524440000001"/>
    <n v="10021.924440000003"/>
    <n v="31"/>
    <d v="2023-03-03T00:00:00"/>
    <d v="2023-03-31T00:00:00"/>
    <x v="1"/>
    <n v="262"/>
    <s v="False"/>
    <n v="23687.524440000001"/>
    <n v="14"/>
    <n v="31511.34"/>
    <n v="14"/>
    <n v="1309.6199999999999"/>
    <n v="15715.439999999999"/>
  </r>
  <r>
    <s v="ORD-2024-585443"/>
    <x v="278"/>
    <d v="2024-08-17T00:00:00"/>
    <n v="2"/>
    <s v="Q3-2024"/>
    <x v="0"/>
    <x v="9"/>
    <s v="Rio de Janeiro"/>
    <s v="Consumer"/>
    <x v="2"/>
    <x v="3"/>
    <x v="5"/>
    <s v="MON-2849"/>
    <n v="165.3"/>
    <n v="275.07"/>
    <n v="0.13300000000000001"/>
    <n v="0.13300000000000001"/>
    <n v="25"/>
    <n v="0.66406533575317583"/>
    <n v="5962.1422499999999"/>
    <n v="4132.5"/>
    <n v="1829.6422499999999"/>
    <n v="0.30687665159280625"/>
    <s v="Medium"/>
    <n v="5962.1422499999999"/>
    <n v="1829.6422499999999"/>
    <n v="35"/>
    <d v="2023-03-03T00:00:00"/>
    <d v="2023-03-31T00:00:00"/>
    <x v="0"/>
    <n v="109"/>
    <s v="False"/>
    <n v="5962.1422499999999"/>
    <n v="30"/>
    <n v="8252.1"/>
    <n v="30"/>
    <n v="190.095"/>
    <n v="4752.375"/>
  </r>
  <r>
    <s v="ORD-2024-353078"/>
    <x v="279"/>
    <d v="2024-08-26T00:00:00"/>
    <n v="10"/>
    <s v="Q3-2024"/>
    <x v="0"/>
    <x v="4"/>
    <s v="Chicago"/>
    <s v="Corporate"/>
    <x v="0"/>
    <x v="9"/>
    <x v="0"/>
    <s v="LAP-5763"/>
    <n v="1291.7"/>
    <n v="2657.84"/>
    <n v="8.6999999999999994E-2"/>
    <n v="8.6999999999999994E-2"/>
    <n v="21"/>
    <n v="1.0576294805295348"/>
    <n v="50958.766320000002"/>
    <n v="27125.7"/>
    <n v="23833.066320000002"/>
    <n v="0.46769315745083367"/>
    <s v="High"/>
    <n v="50958.76632000001"/>
    <n v="23833.066320000009"/>
    <n v="37"/>
    <d v="2023-03-03T00:00:00"/>
    <d v="2023-03-31T00:00:00"/>
    <x v="1"/>
    <n v="264"/>
    <s v="False"/>
    <n v="50958.76632000001"/>
    <n v="25"/>
    <n v="66446"/>
    <n v="25"/>
    <n v="1485.4549999999999"/>
    <n v="31194.555"/>
  </r>
  <r>
    <s v="ORD-2024-993481"/>
    <x v="280"/>
    <d v="2024-09-12T00:00:00"/>
    <n v="25"/>
    <s v="Q3-2024"/>
    <x v="3"/>
    <x v="10"/>
    <s v="Mumbai"/>
    <s v="Consumer"/>
    <x v="4"/>
    <x v="11"/>
    <x v="2"/>
    <s v="PHN-3077"/>
    <n v="1154.03"/>
    <n v="1590.36"/>
    <n v="0.17"/>
    <n v="0.17"/>
    <n v="18"/>
    <n v="0.37809242394045212"/>
    <n v="23759.9784"/>
    <n v="20772.54"/>
    <n v="2987.4383999999991"/>
    <n v="0.12573405369762453"/>
    <s v="Medium"/>
    <n v="23759.978399999996"/>
    <n v="2987.4383999999955"/>
    <n v="35"/>
    <d v="2023-03-03T00:00:00"/>
    <d v="2023-03-31T00:00:00"/>
    <x v="1"/>
    <n v="265"/>
    <s v="False"/>
    <n v="23759.978399999996"/>
    <n v="21"/>
    <n v="33397.56"/>
    <n v="21"/>
    <n v="1327.1344999999999"/>
    <n v="23888.420999999998"/>
  </r>
  <r>
    <s v="ORD-2024-550400"/>
    <x v="281"/>
    <d v="2024-09-02T00:00:00"/>
    <n v="14"/>
    <s v="Q3-2024"/>
    <x v="0"/>
    <x v="0"/>
    <s v="Toronto"/>
    <s v="Consumer"/>
    <x v="0"/>
    <x v="11"/>
    <x v="1"/>
    <s v="PRN-9793"/>
    <n v="1337.01"/>
    <n v="2446.7283000000002"/>
    <n v="0.16"/>
    <n v="0.16"/>
    <n v="7"/>
    <n v="0.83000000000000018"/>
    <n v="14386.762404000003"/>
    <n v="9359.07"/>
    <n v="5027.6924040000031"/>
    <n v="0.34946656258131681"/>
    <s v="High"/>
    <n v="14386.762404000001"/>
    <n v="5027.6924040000013"/>
    <n v="25"/>
    <d v="2023-03-03T00:00:00"/>
    <d v="2023-03-31T00:00:00"/>
    <x v="1"/>
    <n v="266"/>
    <s v="False"/>
    <n v="14386.762404000001"/>
    <n v="8"/>
    <n v="19573.826400000002"/>
    <n v="8"/>
    <n v="1537.5614999999998"/>
    <n v="10762.930499999999"/>
  </r>
  <r>
    <s v="ORD-2024-792353"/>
    <x v="281"/>
    <d v="2024-09-07T00:00:00"/>
    <n v="19"/>
    <s v="Q3-2024"/>
    <x v="2"/>
    <x v="2"/>
    <s v="Lyon"/>
    <s v="Corporate"/>
    <x v="2"/>
    <x v="13"/>
    <x v="6"/>
    <s v="CMP-5435"/>
    <n v="297.58999999999997"/>
    <n v="666.41"/>
    <n v="0"/>
    <n v="0"/>
    <n v="10"/>
    <n v="1.2393561611613295"/>
    <n v="6664.0999999999995"/>
    <n v="2975.8999999999996"/>
    <n v="3688.2"/>
    <n v="0.55344307558409989"/>
    <s v="High"/>
    <n v="6664.0999999999995"/>
    <n v="3688.2"/>
    <n v="31"/>
    <d v="2023-03-03T00:00:00"/>
    <d v="2023-03-31T00:00:00"/>
    <x v="1"/>
    <n v="266"/>
    <s v="False"/>
    <n v="6664.0999999999995"/>
    <n v="12"/>
    <n v="7996.92"/>
    <n v="12"/>
    <n v="342.22849999999994"/>
    <n v="3422.2849999999994"/>
  </r>
  <r>
    <s v="ORD-2024-167215"/>
    <x v="282"/>
    <d v="2024-08-23T00:00:00"/>
    <n v="2"/>
    <s v="Q3-2024"/>
    <x v="1"/>
    <x v="1"/>
    <s v="Johannesburg"/>
    <s v="Education"/>
    <x v="3"/>
    <x v="14"/>
    <x v="6"/>
    <s v="CMP-1559"/>
    <n v="1432.52"/>
    <n v="3036.87"/>
    <n v="0"/>
    <n v="0"/>
    <n v="9"/>
    <n v="1.1199494596934074"/>
    <n v="27331.829999999998"/>
    <n v="12892.68"/>
    <n v="14439.149999999998"/>
    <n v="0.52829064135112791"/>
    <s v="High"/>
    <n v="27331.829999999998"/>
    <n v="14439.149999999998"/>
    <n v="32"/>
    <d v="2023-03-03T00:00:00"/>
    <d v="2023-03-31T00:00:00"/>
    <x v="0"/>
    <n v="110"/>
    <s v="False"/>
    <n v="27331.829999999998"/>
    <n v="10"/>
    <n v="30368.699999999997"/>
    <n v="10"/>
    <n v="1647.3979999999999"/>
    <n v="14826.581999999999"/>
  </r>
  <r>
    <s v="ORD-2024-745424"/>
    <x v="283"/>
    <d v="2024-09-04T00:00:00"/>
    <n v="13"/>
    <s v="Q3-2024"/>
    <x v="2"/>
    <x v="8"/>
    <s v="Frankfurt"/>
    <s v="Non-Profit"/>
    <x v="3"/>
    <x v="9"/>
    <x v="1"/>
    <s v="PRN-4892"/>
    <n v="90.04"/>
    <n v="194.62"/>
    <n v="4.2999999999999997E-2"/>
    <n v="4.2999999999999997E-2"/>
    <n v="32"/>
    <n v="1.1614837849844513"/>
    <n v="5960.04288"/>
    <n v="2881.28"/>
    <n v="3078.7628799999998"/>
    <n v="0.51656723650954672"/>
    <s v="High"/>
    <n v="5960.04288"/>
    <n v="3078.7628799999998"/>
    <n v="33"/>
    <d v="2023-03-03T00:00:00"/>
    <d v="2023-03-31T00:00:00"/>
    <x v="1"/>
    <n v="268"/>
    <s v="False"/>
    <n v="5960.04288"/>
    <n v="38"/>
    <n v="7395.56"/>
    <n v="38"/>
    <n v="103.54599999999999"/>
    <n v="3313.4719999999998"/>
  </r>
  <r>
    <s v="ORD-2024-635626"/>
    <x v="284"/>
    <d v="2024-09-19T00:00:00"/>
    <n v="23"/>
    <s v="Q3-2024"/>
    <x v="2"/>
    <x v="8"/>
    <s v="Berlin"/>
    <s v="Small Business"/>
    <x v="2"/>
    <x v="2"/>
    <x v="5"/>
    <s v="MON-9967"/>
    <n v="1024.01"/>
    <n v="1580.97"/>
    <n v="3.6999999999999998E-2"/>
    <n v="3.6999999999999998E-2"/>
    <n v="27"/>
    <n v="0.54390093846739784"/>
    <n v="41106.800970000004"/>
    <n v="27648.27"/>
    <n v="13458.530970000003"/>
    <n v="0.3274039976942531"/>
    <s v="Medium"/>
    <n v="41106.800969999997"/>
    <n v="13458.530969999996"/>
    <n v="33"/>
    <d v="2023-03-03T00:00:00"/>
    <d v="2023-03-31T00:00:00"/>
    <x v="1"/>
    <n v="269"/>
    <s v="False"/>
    <n v="41106.800969999997"/>
    <n v="32"/>
    <n v="50591.040000000001"/>
    <n v="32"/>
    <n v="1177.6115"/>
    <n v="31795.5105"/>
  </r>
  <r>
    <s v="ORD-2024-553449"/>
    <x v="284"/>
    <d v="2024-09-18T00:00:00"/>
    <n v="22"/>
    <s v="Q3-2024"/>
    <x v="3"/>
    <x v="10"/>
    <s v="Delhi"/>
    <s v="Consumer"/>
    <x v="2"/>
    <x v="0"/>
    <x v="6"/>
    <s v="CMP-3875"/>
    <n v="896.75"/>
    <n v="1651.14"/>
    <n v="2.5000000000000001E-2"/>
    <n v="2.5000000000000001E-2"/>
    <n v="15"/>
    <n v="0.84124895455812665"/>
    <n v="24147.922500000001"/>
    <n v="13451.25"/>
    <n v="10696.672500000001"/>
    <n v="0.44296450346815552"/>
    <s v="High"/>
    <n v="24147.922500000001"/>
    <n v="10696.672500000001"/>
    <n v="36"/>
    <d v="2023-03-03T00:00:00"/>
    <d v="2023-03-31T00:00:00"/>
    <x v="1"/>
    <n v="270"/>
    <s v="False"/>
    <n v="24147.922500000001"/>
    <n v="18"/>
    <n v="29720.52"/>
    <n v="18"/>
    <n v="1031.2624999999998"/>
    <n v="15468.937499999996"/>
  </r>
  <r>
    <s v="ORD-2024-446699"/>
    <x v="285"/>
    <d v="2024-09-25T00:00:00"/>
    <n v="28"/>
    <s v="Q3-2024"/>
    <x v="0"/>
    <x v="9"/>
    <s v="Rio de Janeiro"/>
    <s v="Non-Profit"/>
    <x v="1"/>
    <x v="12"/>
    <x v="3"/>
    <s v="ACC-4490"/>
    <n v="1394.65"/>
    <n v="3144.1"/>
    <n v="0.13400000000000001"/>
    <n v="0.13400000000000001"/>
    <n v="13"/>
    <n v="1.254400745706808"/>
    <n v="35396.277799999996"/>
    <n v="18130.45"/>
    <n v="17265.827799999995"/>
    <n v="0.4877865378263021"/>
    <s v="High"/>
    <n v="35396.277799999996"/>
    <n v="17265.827799999995"/>
    <n v="36"/>
    <d v="2023-03-03T00:00:00"/>
    <d v="2023-03-31T00:00:00"/>
    <x v="1"/>
    <n v="270"/>
    <s v="False"/>
    <n v="35396.277799999996"/>
    <n v="15"/>
    <n v="47161.5"/>
    <n v="15"/>
    <n v="1603.8475000000001"/>
    <n v="20850.017500000002"/>
  </r>
  <r>
    <s v="ORD-2024-542244"/>
    <x v="286"/>
    <d v="2024-09-05T00:00:00"/>
    <n v="6"/>
    <s v="Q3-2024"/>
    <x v="3"/>
    <x v="11"/>
    <s v="Nagoya"/>
    <s v="Education"/>
    <x v="1"/>
    <x v="8"/>
    <x v="0"/>
    <s v="LAP-7009"/>
    <n v="466.16"/>
    <n v="876.81"/>
    <n v="0.24099999999999999"/>
    <n v="0.24099999999999999"/>
    <n v="8"/>
    <n v="0.88092071391796789"/>
    <n v="5323.9903199999999"/>
    <n v="3729.28"/>
    <n v="1594.7103199999997"/>
    <n v="0.29953291124691594"/>
    <s v="High"/>
    <n v="5323.9903199999999"/>
    <n v="1594.7103199999997"/>
    <n v="31"/>
    <d v="2023-03-03T00:00:00"/>
    <d v="2023-03-31T00:00:00"/>
    <x v="0"/>
    <n v="111"/>
    <s v="True"/>
    <n v="5323.9903199999999"/>
    <n v="9"/>
    <n v="7891.2899999999991"/>
    <n v="9"/>
    <n v="536.08399999999995"/>
    <n v="4288.6719999999996"/>
  </r>
  <r>
    <s v="ORD-2024-536442"/>
    <x v="287"/>
    <d v="2024-09-26T00:00:00"/>
    <n v="26"/>
    <s v="Q3-2024"/>
    <x v="3"/>
    <x v="11"/>
    <s v="Tokyo"/>
    <s v="Education"/>
    <x v="1"/>
    <x v="12"/>
    <x v="2"/>
    <s v="PHN-6111"/>
    <n v="1189.03"/>
    <n v="2949.62"/>
    <n v="0.125"/>
    <n v="0.125"/>
    <n v="13"/>
    <n v="1.480694347493335"/>
    <n v="33551.927499999998"/>
    <n v="15457.39"/>
    <n v="18094.537499999999"/>
    <n v="0.53929949330034765"/>
    <s v="High"/>
    <n v="33551.927499999998"/>
    <n v="18094.537499999999"/>
    <n v="31"/>
    <d v="2023-03-03T00:00:00"/>
    <d v="2023-03-31T00:00:00"/>
    <x v="1"/>
    <n v="271"/>
    <s v="False"/>
    <n v="33551.927499999998"/>
    <n v="15"/>
    <n v="44244.299999999996"/>
    <n v="15"/>
    <n v="1367.3844999999999"/>
    <n v="17775.998499999998"/>
  </r>
  <r>
    <s v="ORD-2024-664046"/>
    <x v="288"/>
    <d v="2024-09-08T00:00:00"/>
    <n v="6"/>
    <s v="Q3-2024"/>
    <x v="0"/>
    <x v="4"/>
    <s v="Austin"/>
    <s v="Consumer"/>
    <x v="2"/>
    <x v="4"/>
    <x v="6"/>
    <s v="CMP-7563"/>
    <n v="462.94"/>
    <n v="1015.7"/>
    <n v="0.14299999999999999"/>
    <n v="0.14299999999999999"/>
    <n v="14"/>
    <n v="1.1940208234328422"/>
    <n v="12186.368600000002"/>
    <n v="6481.16"/>
    <n v="5705.2086000000018"/>
    <n v="0.46816314090483041"/>
    <s v="High"/>
    <n v="12186.368600000002"/>
    <n v="5705.2086000000018"/>
    <n v="38"/>
    <d v="2023-03-03T00:00:00"/>
    <d v="2023-03-31T00:00:00"/>
    <x v="0"/>
    <n v="113"/>
    <s v="False"/>
    <n v="12186.368600000002"/>
    <n v="16"/>
    <n v="16251.2"/>
    <n v="16"/>
    <n v="532.38099999999997"/>
    <n v="7453.3339999999998"/>
  </r>
  <r>
    <s v="ORD-2024-207792"/>
    <x v="289"/>
    <d v="2024-09-07T00:00:00"/>
    <n v="4"/>
    <s v="Q3-2024"/>
    <x v="3"/>
    <x v="11"/>
    <s v="Tokyo"/>
    <s v="Small Business"/>
    <x v="0"/>
    <x v="8"/>
    <x v="1"/>
    <s v="PRN-3917"/>
    <n v="43.23"/>
    <n v="94.78"/>
    <n v="9.0999999999999998E-2"/>
    <n v="9.0999999999999998E-2"/>
    <n v="55"/>
    <n v="1.1924589405505437"/>
    <n v="4738.5261"/>
    <n v="2377.6499999999996"/>
    <n v="2360.8761000000004"/>
    <n v="0.49823005090127082"/>
    <s v="High"/>
    <n v="4738.5261"/>
    <n v="2360.8761000000004"/>
    <n v="32"/>
    <d v="2023-03-03T00:00:00"/>
    <d v="2023-03-31T00:00:00"/>
    <x v="0"/>
    <n v="114"/>
    <s v="False"/>
    <n v="4738.5261"/>
    <n v="66"/>
    <n v="6255.4800000000005"/>
    <n v="66"/>
    <n v="49.714499999999994"/>
    <n v="2734.2974999999997"/>
  </r>
  <r>
    <s v="ORD-2024-423853"/>
    <x v="289"/>
    <d v="2024-09-08T00:00:00"/>
    <n v="5"/>
    <s v="Q3-2024"/>
    <x v="1"/>
    <x v="5"/>
    <s v="Lagos"/>
    <s v="Small Business"/>
    <x v="2"/>
    <x v="10"/>
    <x v="1"/>
    <s v="PRN-1141"/>
    <n v="197.63"/>
    <n v="325.79000000000002"/>
    <n v="0.11600000000000001"/>
    <n v="0.11600000000000001"/>
    <n v="10"/>
    <n v="0.64848454182057391"/>
    <n v="2879.9836"/>
    <n v="1976.3"/>
    <n v="903.68360000000007"/>
    <n v="0.31378081458519419"/>
    <s v="Medium"/>
    <n v="2879.9836000000005"/>
    <n v="903.68360000000052"/>
    <n v="26"/>
    <d v="2023-03-03T00:00:00"/>
    <d v="2023-03-31T00:00:00"/>
    <x v="0"/>
    <n v="115"/>
    <s v="False"/>
    <n v="2879.9836000000005"/>
    <n v="12"/>
    <n v="3909.4800000000005"/>
    <n v="12"/>
    <n v="227.27449999999999"/>
    <n v="2272.7449999999999"/>
  </r>
  <r>
    <s v="ORD-2024-594527"/>
    <x v="290"/>
    <d v="2024-09-06T00:00:00"/>
    <n v="2"/>
    <s v="Q3-2024"/>
    <x v="3"/>
    <x v="11"/>
    <s v="Osaka"/>
    <s v="Corporate"/>
    <x v="2"/>
    <x v="1"/>
    <x v="0"/>
    <s v="LAP-4483"/>
    <n v="1368.17"/>
    <n v="2307.75"/>
    <n v="0.16300000000000001"/>
    <n v="0.16300000000000001"/>
    <n v="21"/>
    <n v="0.68674214461653149"/>
    <n v="40563.321749999996"/>
    <n v="28731.57"/>
    <n v="11831.751749999996"/>
    <n v="0.29168596750831921"/>
    <s v="Medium"/>
    <n v="40563.321749999996"/>
    <n v="11831.751749999996"/>
    <n v="34"/>
    <d v="2023-03-03T00:00:00"/>
    <d v="2023-03-31T00:00:00"/>
    <x v="0"/>
    <n v="115"/>
    <s v="False"/>
    <n v="40563.321749999996"/>
    <n v="25"/>
    <n v="57693.75"/>
    <n v="25"/>
    <n v="1573.3954999999999"/>
    <n v="33041.305499999995"/>
  </r>
  <r>
    <s v="ORD-2024-569164"/>
    <x v="291"/>
    <d v="2024-09-25T00:00:00"/>
    <n v="20"/>
    <s v="Q3-2024"/>
    <x v="3"/>
    <x v="11"/>
    <s v="Osaka"/>
    <s v="Enterprise"/>
    <x v="0"/>
    <x v="2"/>
    <x v="5"/>
    <s v="MON-5249"/>
    <n v="195.54"/>
    <n v="405.97"/>
    <n v="0.187"/>
    <n v="0.187"/>
    <n v="16"/>
    <n v="1.0761481026899868"/>
    <n v="5280.8577599999999"/>
    <n v="3128.64"/>
    <n v="2152.21776"/>
    <n v="0.40755079152141377"/>
    <s v="High"/>
    <n v="5280.8577599999999"/>
    <n v="2152.21776"/>
    <n v="34"/>
    <d v="2023-03-03T00:00:00"/>
    <d v="2023-03-31T00:00:00"/>
    <x v="1"/>
    <n v="273"/>
    <s v="False"/>
    <n v="5280.8577599999999"/>
    <n v="19"/>
    <n v="7713.43"/>
    <n v="19"/>
    <n v="224.87099999999998"/>
    <n v="3597.9359999999997"/>
  </r>
  <r>
    <s v="ORD-2024-972999"/>
    <x v="292"/>
    <d v="2024-10-04T00:00:00"/>
    <n v="28"/>
    <s v="Q3-2024"/>
    <x v="1"/>
    <x v="1"/>
    <s v="Cape Town"/>
    <s v="Corporate"/>
    <x v="4"/>
    <x v="2"/>
    <x v="5"/>
    <s v="MON-3504"/>
    <n v="1174.17"/>
    <n v="1641.61"/>
    <n v="0.122"/>
    <n v="0.122"/>
    <n v="9"/>
    <n v="0.39810248941805682"/>
    <n v="12972.00222"/>
    <n v="10567.53"/>
    <n v="2404.4722199999997"/>
    <n v="0.18535860380079394"/>
    <s v="Medium"/>
    <n v="12972.00222"/>
    <n v="2404.4722199999997"/>
    <n v="33"/>
    <d v="2023-03-03T00:00:00"/>
    <d v="2023-03-31T00:00:00"/>
    <x v="1"/>
    <n v="273"/>
    <s v="False"/>
    <n v="12972.00222"/>
    <n v="10"/>
    <n v="16416.099999999999"/>
    <n v="10"/>
    <n v="1350.2954999999999"/>
    <n v="12152.6595"/>
  </r>
  <r>
    <s v="ORD-2024-862371"/>
    <x v="293"/>
    <d v="2024-09-07T00:00:00"/>
    <n v="0"/>
    <s v="Q3-2024"/>
    <x v="3"/>
    <x v="10"/>
    <s v="Mumbai"/>
    <s v="Education"/>
    <x v="0"/>
    <x v="0"/>
    <x v="4"/>
    <s v="NET-9835"/>
    <n v="1066.6500000000001"/>
    <n v="2569.77"/>
    <n v="0.13400000000000001"/>
    <n v="0.13400000000000001"/>
    <n v="9"/>
    <n v="1.4091970187034171"/>
    <n v="20028.787380000002"/>
    <n v="9599.85"/>
    <n v="10428.937380000001"/>
    <n v="0.52069739331368348"/>
    <s v="High"/>
    <n v="20028.787379999998"/>
    <n v="10428.937379999998"/>
    <n v="37"/>
    <d v="2023-03-03T00:00:00"/>
    <d v="2023-03-31T00:00:00"/>
    <x v="0"/>
    <n v="116"/>
    <s v="False"/>
    <n v="20028.787379999998"/>
    <n v="10"/>
    <n v="25697.7"/>
    <n v="10"/>
    <n v="1226.6475"/>
    <n v="11039.827499999999"/>
  </r>
  <r>
    <s v="ORD-2024-581530"/>
    <x v="293"/>
    <d v="2024-09-18T00:00:00"/>
    <n v="11"/>
    <s v="Q3-2024"/>
    <x v="3"/>
    <x v="3"/>
    <s v="Beijing"/>
    <s v="Consumer"/>
    <x v="0"/>
    <x v="5"/>
    <x v="4"/>
    <s v="NET-7998"/>
    <n v="181.74"/>
    <n v="190.84"/>
    <n v="0.214"/>
    <n v="0.214"/>
    <n v="13"/>
    <n v="5.0071530758226006E-2"/>
    <n v="1950.0031200000001"/>
    <n v="2362.62"/>
    <n v="-412.61687999999981"/>
    <n v="-0.21159806144310159"/>
    <s v="Low"/>
    <n v="1950.0031200000003"/>
    <n v="-412.61687999999958"/>
    <n v="30"/>
    <d v="2023-03-03T00:00:00"/>
    <d v="2023-03-31T00:00:00"/>
    <x v="1"/>
    <n v="274"/>
    <s v="True"/>
    <n v="1950.0031200000003"/>
    <n v="15"/>
    <n v="2862.6"/>
    <n v="15"/>
    <n v="209.001"/>
    <n v="2717.0129999999999"/>
  </r>
  <r>
    <s v="ORD-2024-728474"/>
    <x v="294"/>
    <d v="2024-09-13T00:00:00"/>
    <n v="4"/>
    <s v="Q3-2024"/>
    <x v="2"/>
    <x v="6"/>
    <s v="London"/>
    <s v="Consumer"/>
    <x v="4"/>
    <x v="7"/>
    <x v="4"/>
    <s v="NET-1145"/>
    <n v="1133.08"/>
    <n v="2164.1828"/>
    <n v="4.2000000000000003E-2"/>
    <n v="4.2000000000000003E-2"/>
    <n v="27"/>
    <n v="0.91000000000000014"/>
    <n v="55978.7523048"/>
    <n v="30593.159999999996"/>
    <n v="25385.592304800004"/>
    <n v="0.45348621145711515"/>
    <s v="High"/>
    <n v="55978.7523048"/>
    <n v="25385.592304800004"/>
    <n v="32"/>
    <d v="2023-03-03T00:00:00"/>
    <d v="2023-03-31T00:00:00"/>
    <x v="0"/>
    <n v="117"/>
    <s v="False"/>
    <n v="55978.7523048"/>
    <n v="32"/>
    <n v="69253.849600000001"/>
    <n v="32"/>
    <n v="1303.0419999999999"/>
    <n v="35182.133999999998"/>
  </r>
  <r>
    <s v="ORD-2024-500890"/>
    <x v="294"/>
    <d v="2024-10-08T00:00:00"/>
    <n v="29"/>
    <s v="Q3-2024"/>
    <x v="0"/>
    <x v="9"/>
    <s v="São Paulo"/>
    <s v="Education"/>
    <x v="2"/>
    <x v="13"/>
    <x v="6"/>
    <s v="CMP-3093"/>
    <n v="1010.33"/>
    <n v="2492.14"/>
    <n v="5.0999999999999997E-2"/>
    <n v="5.0999999999999997E-2"/>
    <n v="11"/>
    <n v="1.4666594083121356"/>
    <n v="26015.449459999996"/>
    <n v="11113.630000000001"/>
    <n v="14901.819459999995"/>
    <n v="0.57280653493656752"/>
    <s v="High"/>
    <n v="26015.449459999996"/>
    <n v="14901.819459999995"/>
    <n v="37"/>
    <d v="2023-03-03T00:00:00"/>
    <d v="2023-03-31T00:00:00"/>
    <x v="1"/>
    <n v="276"/>
    <s v="False"/>
    <n v="26015.449459999996"/>
    <n v="13"/>
    <n v="32397.82"/>
    <n v="13"/>
    <n v="1161.8795"/>
    <n v="12780.674500000001"/>
  </r>
  <r>
    <s v="ORD-2024-988736"/>
    <x v="294"/>
    <d v="2024-10-01T00:00:00"/>
    <n v="22"/>
    <s v="Q3-2024"/>
    <x v="3"/>
    <x v="3"/>
    <s v="Shenzhen"/>
    <s v="Consumer"/>
    <x v="2"/>
    <x v="9"/>
    <x v="1"/>
    <s v="PRN-3014"/>
    <n v="1166.18"/>
    <n v="1335.02"/>
    <n v="0.128"/>
    <n v="0.128"/>
    <n v="6"/>
    <n v="0.1447803941072561"/>
    <n v="6984.8246399999998"/>
    <n v="6997.08"/>
    <n v="-12.25536000000011"/>
    <n v="-1.7545694604582242E-3"/>
    <s v="Low"/>
    <n v="6984.8246399999998"/>
    <n v="-12.25536000000011"/>
    <n v="31"/>
    <d v="2023-03-03T00:00:00"/>
    <d v="2023-03-31T00:00:00"/>
    <x v="1"/>
    <n v="277"/>
    <s v="False"/>
    <n v="6984.8246399999998"/>
    <n v="7"/>
    <n v="9345.14"/>
    <n v="7"/>
    <n v="1341.107"/>
    <n v="8046.6419999999998"/>
  </r>
  <r>
    <s v="ORD-2024-687100"/>
    <x v="295"/>
    <d v="2024-10-07T00:00:00"/>
    <n v="27"/>
    <s v="Q3-2024"/>
    <x v="1"/>
    <x v="7"/>
    <s v="Kisumu"/>
    <s v="Consumer"/>
    <x v="3"/>
    <x v="9"/>
    <x v="1"/>
    <s v="PRN-6068"/>
    <n v="1248.3900000000001"/>
    <n v="1805.11"/>
    <n v="0.20300000000000001"/>
    <n v="0.20300000000000001"/>
    <n v="11"/>
    <n v="0.44595038409471377"/>
    <n v="15825.399369999997"/>
    <n v="13732.29"/>
    <n v="2093.1093699999965"/>
    <n v="0.13226265707820786"/>
    <s v="Medium"/>
    <n v="15825.399369999997"/>
    <n v="2093.1093699999965"/>
    <n v="38"/>
    <d v="2023-03-03T00:00:00"/>
    <d v="2023-03-31T00:00:00"/>
    <x v="1"/>
    <n v="278"/>
    <s v="True"/>
    <n v="15825.399369999997"/>
    <n v="13"/>
    <n v="23466.43"/>
    <n v="13"/>
    <n v="1435.6485"/>
    <n v="15792.1335"/>
  </r>
  <r>
    <s v="ORD-2024-805860"/>
    <x v="296"/>
    <d v="2024-10-02T00:00:00"/>
    <n v="19"/>
    <s v="Q3-2024"/>
    <x v="1"/>
    <x v="7"/>
    <s v="Mombasa"/>
    <s v="Small Business"/>
    <x v="3"/>
    <x v="3"/>
    <x v="2"/>
    <s v="PHN-8804"/>
    <n v="1338.99"/>
    <n v="1765.76"/>
    <n v="0.126"/>
    <n v="0.126"/>
    <n v="24"/>
    <n v="0.31872530788131354"/>
    <n v="37038.581760000001"/>
    <n v="32135.760000000002"/>
    <n v="4902.8217599999989"/>
    <n v="0.1323706666677725"/>
    <s v="Medium"/>
    <n v="37038.581760000001"/>
    <n v="4902.8217599999989"/>
    <n v="38"/>
    <d v="2023-03-03T00:00:00"/>
    <d v="2023-03-31T00:00:00"/>
    <x v="1"/>
    <n v="279"/>
    <s v="False"/>
    <n v="37038.581760000001"/>
    <n v="28"/>
    <n v="49441.279999999999"/>
    <n v="28"/>
    <n v="1539.8384999999998"/>
    <n v="36956.123999999996"/>
  </r>
  <r>
    <s v="ORD-2024-771210"/>
    <x v="297"/>
    <d v="2024-10-05T00:00:00"/>
    <n v="21"/>
    <s v="Q3-2024"/>
    <x v="3"/>
    <x v="3"/>
    <s v="Shanghai"/>
    <s v="Small Business"/>
    <x v="1"/>
    <x v="4"/>
    <x v="0"/>
    <s v="LAP-5150"/>
    <n v="1405.56"/>
    <n v="2968.87"/>
    <n v="0.16900000000000001"/>
    <n v="0.16900000000000001"/>
    <n v="5"/>
    <n v="1.1122328466945559"/>
    <n v="12335.654849999999"/>
    <n v="7027.7999999999993"/>
    <n v="5307.8548499999997"/>
    <n v="0.4302856163327235"/>
    <s v="High"/>
    <n v="12335.654849999999"/>
    <n v="5307.8548499999997"/>
    <n v="32"/>
    <d v="2023-03-03T00:00:00"/>
    <d v="2023-03-31T00:00:00"/>
    <x v="1"/>
    <n v="280"/>
    <s v="False"/>
    <n v="12335.654849999999"/>
    <n v="6"/>
    <n v="17813.22"/>
    <n v="6"/>
    <n v="1616.3939999999998"/>
    <n v="8081.9699999999993"/>
  </r>
  <r>
    <s v="ORD-2024-777623"/>
    <x v="298"/>
    <d v="2024-10-14T00:00:00"/>
    <n v="25"/>
    <s v="Q3-2024"/>
    <x v="0"/>
    <x v="9"/>
    <s v="Rio de Janeiro"/>
    <s v="Small Business"/>
    <x v="3"/>
    <x v="10"/>
    <x v="1"/>
    <s v="PRN-2749"/>
    <n v="386.96"/>
    <n v="937.46"/>
    <n v="0.26600000000000001"/>
    <n v="0.25"/>
    <n v="41"/>
    <n v="1.4226276617738269"/>
    <n v="28211.92124"/>
    <n v="15865.359999999999"/>
    <n v="12346.561240000001"/>
    <n v="0.43763631462626335"/>
    <s v="High"/>
    <n v="28211.92124"/>
    <n v="12346.561240000001"/>
    <n v="39"/>
    <d v="2023-03-03T00:00:00"/>
    <d v="2023-03-31T00:00:00"/>
    <x v="1"/>
    <n v="281"/>
    <s v="True"/>
    <n v="28826.895"/>
    <n v="49"/>
    <n v="45935.54"/>
    <n v="49"/>
    <n v="445.00399999999996"/>
    <n v="18245.163999999997"/>
  </r>
  <r>
    <s v="ORD-2024-444710"/>
    <x v="299"/>
    <d v="2024-10-01T00:00:00"/>
    <n v="9"/>
    <s v="Q3-2024"/>
    <x v="0"/>
    <x v="9"/>
    <s v="São Paulo"/>
    <s v="Non-Profit"/>
    <x v="1"/>
    <x v="10"/>
    <x v="5"/>
    <s v="MON-6341"/>
    <n v="1378.8"/>
    <n v="1952.04"/>
    <n v="0.159"/>
    <n v="0.159"/>
    <n v="19"/>
    <n v="0.41575282854656226"/>
    <n v="31191.64716"/>
    <n v="26197.200000000001"/>
    <n v="4994.4471599999997"/>
    <n v="0.16012130216723058"/>
    <s v="Medium"/>
    <n v="31191.64716"/>
    <n v="4994.4471599999997"/>
    <n v="39"/>
    <d v="2023-03-03T00:00:00"/>
    <d v="2023-03-31T00:00:00"/>
    <x v="1"/>
    <n v="282"/>
    <s v="False"/>
    <n v="31191.64716"/>
    <n v="22"/>
    <n v="42944.88"/>
    <n v="22"/>
    <n v="1585.62"/>
    <n v="30126.78"/>
  </r>
  <r>
    <s v="ORD-2024-438404"/>
    <x v="300"/>
    <d v="2024-10-18T00:00:00"/>
    <n v="25"/>
    <s v="Q3-2024"/>
    <x v="0"/>
    <x v="0"/>
    <s v="Vancouver"/>
    <s v="Small Business"/>
    <x v="1"/>
    <x v="8"/>
    <x v="2"/>
    <s v="PHN-4568"/>
    <n v="1297"/>
    <n v="2411.52"/>
    <n v="2.1000000000000001E-2"/>
    <n v="2.1000000000000001E-2"/>
    <n v="18"/>
    <n v="0.85930609097918276"/>
    <n v="42495.805439999996"/>
    <n v="23346"/>
    <n v="19149.805439999996"/>
    <n v="0.45062813239385913"/>
    <s v="High"/>
    <n v="42495.805439999996"/>
    <n v="19149.805439999996"/>
    <n v="27"/>
    <d v="2023-03-03T00:00:00"/>
    <d v="2023-03-31T00:00:00"/>
    <x v="1"/>
    <n v="283"/>
    <s v="False"/>
    <n v="42495.805439999996"/>
    <n v="21"/>
    <n v="50641.919999999998"/>
    <n v="21"/>
    <n v="1491.55"/>
    <n v="26847.899999999998"/>
  </r>
  <r>
    <s v="ORD-2024-510520"/>
    <x v="301"/>
    <d v="2024-10-03T00:00:00"/>
    <n v="8"/>
    <s v="Q3-2024"/>
    <x v="0"/>
    <x v="0"/>
    <s v="Toronto"/>
    <s v="Consumer"/>
    <x v="1"/>
    <x v="14"/>
    <x v="1"/>
    <s v="PRN-9557"/>
    <n v="558.19000000000005"/>
    <n v="1031.6400000000001"/>
    <n v="0"/>
    <n v="0"/>
    <n v="21"/>
    <n v="0.84818789301134023"/>
    <n v="21664.440000000002"/>
    <n v="11721.990000000002"/>
    <n v="9942.4500000000007"/>
    <n v="0.45892947152107322"/>
    <s v="High"/>
    <n v="21664.440000000002"/>
    <n v="9942.4500000000007"/>
    <n v="27"/>
    <d v="2023-03-03T00:00:00"/>
    <d v="2023-03-31T00:00:00"/>
    <x v="1"/>
    <n v="284"/>
    <s v="False"/>
    <n v="21664.440000000002"/>
    <n v="25"/>
    <n v="25791.000000000004"/>
    <n v="25"/>
    <n v="641.91849999999999"/>
    <n v="13480.288500000001"/>
  </r>
  <r>
    <s v="ORD-2024-686712"/>
    <x v="302"/>
    <d v="2024-10-23T00:00:00"/>
    <n v="21"/>
    <s v="Q4-2024"/>
    <x v="1"/>
    <x v="1"/>
    <s v="Durban"/>
    <s v="Corporate"/>
    <x v="4"/>
    <x v="1"/>
    <x v="6"/>
    <s v="CMP-3978"/>
    <n v="1095.6099999999999"/>
    <n v="2366.5100000000002"/>
    <n v="0.152"/>
    <n v="0.152"/>
    <n v="9"/>
    <n v="1.159993063225053"/>
    <n v="18061.204320000004"/>
    <n v="9860.49"/>
    <n v="8200.7143200000046"/>
    <n v="0.4540513564158607"/>
    <s v="High"/>
    <n v="18061.204320000001"/>
    <n v="8200.714320000001"/>
    <n v="34"/>
    <d v="2023-03-03T00:00:00"/>
    <d v="2023-03-31T00:00:00"/>
    <x v="1"/>
    <n v="285"/>
    <s v="False"/>
    <n v="18061.204320000001"/>
    <n v="10"/>
    <n v="23665.100000000002"/>
    <n v="10"/>
    <n v="1259.9514999999999"/>
    <n v="11339.563499999998"/>
  </r>
  <r>
    <s v="ORD-2024-237478"/>
    <x v="303"/>
    <d v="2024-10-11T00:00:00"/>
    <n v="8"/>
    <s v="Q4-2024"/>
    <x v="3"/>
    <x v="3"/>
    <s v="Beijing"/>
    <s v="Enterprise"/>
    <x v="2"/>
    <x v="0"/>
    <x v="2"/>
    <s v="PHN-7488"/>
    <n v="1132.6099999999999"/>
    <n v="2206.63"/>
    <n v="6.3E-2"/>
    <n v="6.3E-2"/>
    <n v="20"/>
    <n v="0.94826992521697695"/>
    <n v="41352.246200000009"/>
    <n v="22652.199999999997"/>
    <n v="18700.046200000012"/>
    <n v="0.45221355351671338"/>
    <s v="High"/>
    <n v="41352.246200000009"/>
    <n v="18700.046200000012"/>
    <n v="33"/>
    <d v="2023-03-03T00:00:00"/>
    <d v="2023-03-31T00:00:00"/>
    <x v="1"/>
    <n v="286"/>
    <s v="False"/>
    <n v="41352.246200000009"/>
    <n v="24"/>
    <n v="52959.12"/>
    <n v="24"/>
    <n v="1302.5014999999999"/>
    <n v="26050.03"/>
  </r>
  <r>
    <s v="ORD-2024-997336"/>
    <x v="304"/>
    <d v="2024-11-02T00:00:00"/>
    <n v="29"/>
    <s v="Q4-2024"/>
    <x v="1"/>
    <x v="5"/>
    <s v="Abuja"/>
    <s v="Corporate"/>
    <x v="0"/>
    <x v="7"/>
    <x v="3"/>
    <s v="ACC-9038"/>
    <n v="412.09"/>
    <n v="968.94"/>
    <n v="9.9000000000000005E-2"/>
    <n v="9.9000000000000005E-2"/>
    <n v="23"/>
    <n v="1.3512824868354005"/>
    <n v="20079.343620000003"/>
    <n v="9478.07"/>
    <n v="10601.273620000004"/>
    <n v="0.52796913189137418"/>
    <s v="High"/>
    <n v="20079.34362"/>
    <n v="10601.27362"/>
    <n v="27"/>
    <d v="2023-03-03T00:00:00"/>
    <d v="2023-03-31T00:00:00"/>
    <x v="1"/>
    <n v="286"/>
    <s v="False"/>
    <n v="20079.34362"/>
    <n v="27"/>
    <n v="26161.38"/>
    <n v="27"/>
    <n v="473.90349999999995"/>
    <n v="10899.780499999999"/>
  </r>
  <r>
    <s v="ORD-2024-500511"/>
    <x v="305"/>
    <d v="2024-10-08T00:00:00"/>
    <n v="0"/>
    <s v="Q4-2024"/>
    <x v="2"/>
    <x v="6"/>
    <s v="London"/>
    <s v="Corporate"/>
    <x v="1"/>
    <x v="14"/>
    <x v="5"/>
    <s v="MON-9733"/>
    <n v="1108.1099999999999"/>
    <n v="2503.79"/>
    <n v="0.184"/>
    <n v="0.184"/>
    <n v="19"/>
    <n v="1.2595139471713099"/>
    <n v="38818.760160000005"/>
    <n v="21054.089999999997"/>
    <n v="17764.670160000009"/>
    <n v="0.45763105485025896"/>
    <s v="High"/>
    <n v="38818.760159999998"/>
    <n v="17764.670160000001"/>
    <n v="34"/>
    <d v="2023-03-03T00:00:00"/>
    <d v="2023-03-31T00:00:00"/>
    <x v="0"/>
    <n v="118"/>
    <s v="False"/>
    <n v="38818.760159999998"/>
    <n v="22"/>
    <n v="55083.38"/>
    <n v="22"/>
    <n v="1274.3264999999999"/>
    <n v="24212.2035"/>
  </r>
  <r>
    <s v="ORD-2024-942981"/>
    <x v="306"/>
    <d v="2024-11-08T00:00:00"/>
    <n v="30"/>
    <s v="Q4-2024"/>
    <x v="2"/>
    <x v="6"/>
    <s v="Manchester"/>
    <s v="Small Business"/>
    <x v="0"/>
    <x v="13"/>
    <x v="6"/>
    <s v="CMP-1072"/>
    <n v="343.85"/>
    <n v="538.04"/>
    <n v="0.13900000000000001"/>
    <n v="0.13900000000000001"/>
    <n v="5"/>
    <n v="0.56475207212447265"/>
    <n v="2316.2621999999997"/>
    <n v="1719.25"/>
    <n v="597.01219999999967"/>
    <n v="0.25774810813732563"/>
    <s v="Medium"/>
    <n v="2316.2622000000001"/>
    <n v="597.01220000000012"/>
    <n v="35"/>
    <d v="2023-03-03T00:00:00"/>
    <d v="2023-03-31T00:00:00"/>
    <x v="1"/>
    <n v="287"/>
    <s v="False"/>
    <n v="2316.2622000000001"/>
    <n v="6"/>
    <n v="3228.24"/>
    <n v="6"/>
    <n v="395.42750000000001"/>
    <n v="1977.1375"/>
  </r>
  <r>
    <s v="ORD-2024-964950"/>
    <x v="307"/>
    <d v="2024-10-11T00:00:00"/>
    <n v="1"/>
    <s v="Q4-2024"/>
    <x v="2"/>
    <x v="6"/>
    <s v="Manchester"/>
    <s v="Non-Profit"/>
    <x v="0"/>
    <x v="9"/>
    <x v="6"/>
    <s v="CMP-8127"/>
    <n v="1389.46"/>
    <n v="1784.7"/>
    <n v="0.14599999999999999"/>
    <n v="0.14599999999999999"/>
    <n v="33"/>
    <n v="0.28445583176197947"/>
    <n v="50296.415399999998"/>
    <n v="45852.18"/>
    <n v="4444.2353999999978"/>
    <n v="8.8360877503011831E-2"/>
    <s v="Medium"/>
    <n v="50296.415400000005"/>
    <n v="4444.235400000005"/>
    <n v="35"/>
    <d v="2023-03-03T00:00:00"/>
    <d v="2023-03-31T00:00:00"/>
    <x v="0"/>
    <n v="119"/>
    <s v="False"/>
    <n v="50296.415400000005"/>
    <n v="39"/>
    <n v="69603.3"/>
    <n v="39"/>
    <n v="1597.8789999999999"/>
    <n v="52730.006999999998"/>
  </r>
  <r>
    <s v="ORD-2024-720756"/>
    <x v="308"/>
    <d v="2024-11-09T00:00:00"/>
    <n v="29"/>
    <s v="Q4-2024"/>
    <x v="3"/>
    <x v="3"/>
    <s v="Shanghai"/>
    <s v="Non-Profit"/>
    <x v="1"/>
    <x v="7"/>
    <x v="1"/>
    <s v="PRN-5666"/>
    <n v="391.64"/>
    <n v="504.76"/>
    <n v="4.0000000000000001E-3"/>
    <n v="4.0000000000000001E-3"/>
    <n v="13"/>
    <n v="0.28883668675314067"/>
    <n v="6535.6324800000002"/>
    <n v="5091.32"/>
    <n v="1444.3124800000005"/>
    <n v="0.22099046793402319"/>
    <s v="Medium"/>
    <n v="6535.6324799999993"/>
    <n v="1444.3124799999996"/>
    <n v="34"/>
    <d v="2023-03-03T00:00:00"/>
    <d v="2023-03-31T00:00:00"/>
    <x v="1"/>
    <n v="289"/>
    <s v="False"/>
    <n v="6535.6324799999993"/>
    <n v="15"/>
    <n v="7571.4"/>
    <n v="15"/>
    <n v="450.38599999999997"/>
    <n v="5855.018"/>
  </r>
  <r>
    <s v="ORD-2024-756884"/>
    <x v="309"/>
    <d v="2024-10-24T00:00:00"/>
    <n v="11"/>
    <s v="Q4-2024"/>
    <x v="2"/>
    <x v="2"/>
    <s v="Paris"/>
    <s v="Education"/>
    <x v="0"/>
    <x v="7"/>
    <x v="6"/>
    <s v="CMP-5006"/>
    <n v="816.7"/>
    <n v="1010.75"/>
    <n v="4.7E-2"/>
    <n v="4.7E-2"/>
    <n v="43"/>
    <n v="0.23760254683482299"/>
    <n v="41419.524249999995"/>
    <n v="35118.1"/>
    <n v="6301.4242499999964"/>
    <n v="0.15213656757537472"/>
    <s v="Low"/>
    <n v="41419.524249999995"/>
    <n v="6301.4242499999964"/>
    <n v="32"/>
    <d v="2023-03-03T00:00:00"/>
    <d v="2023-03-31T00:00:00"/>
    <x v="1"/>
    <n v="290"/>
    <s v="False"/>
    <n v="41419.524249999995"/>
    <n v="51"/>
    <n v="51548.25"/>
    <n v="51"/>
    <n v="939.20499999999993"/>
    <n v="40385.814999999995"/>
  </r>
  <r>
    <s v="ORD-2024-966651"/>
    <x v="310"/>
    <d v="2024-11-08T00:00:00"/>
    <n v="25"/>
    <s v="Q4-2024"/>
    <x v="1"/>
    <x v="5"/>
    <s v="Lagos"/>
    <s v="Enterprise"/>
    <x v="1"/>
    <x v="5"/>
    <x v="4"/>
    <s v="NET-5268"/>
    <n v="859.35"/>
    <n v="1825.61"/>
    <n v="0.187"/>
    <n v="0.187"/>
    <n v="24"/>
    <n v="1.1244079827776807"/>
    <n v="35621.302319999995"/>
    <n v="20624.400000000001"/>
    <n v="14996.902319999994"/>
    <n v="0.42100937762681989"/>
    <s v="High"/>
    <n v="35621.302319999995"/>
    <n v="14996.902319999994"/>
    <n v="28"/>
    <d v="2023-03-03T00:00:00"/>
    <d v="2023-03-31T00:00:00"/>
    <x v="1"/>
    <n v="291"/>
    <s v="False"/>
    <n v="35621.302319999995"/>
    <n v="28"/>
    <n v="51117.079999999994"/>
    <n v="28"/>
    <n v="988.25249999999994"/>
    <n v="23718.059999999998"/>
  </r>
  <r>
    <s v="ORD-2024-792558"/>
    <x v="311"/>
    <d v="2024-11-08T00:00:00"/>
    <n v="23"/>
    <s v="Q4-2024"/>
    <x v="3"/>
    <x v="11"/>
    <s v="Osaka"/>
    <s v="Small Business"/>
    <x v="3"/>
    <x v="13"/>
    <x v="4"/>
    <s v="NET-6387"/>
    <n v="82.14"/>
    <n v="166.04"/>
    <n v="0"/>
    <n v="0"/>
    <n v="10"/>
    <n v="1.021426832237643"/>
    <n v="1660.3999999999999"/>
    <n v="821.4"/>
    <n v="838.99999999999989"/>
    <n v="0.50529992772825827"/>
    <s v="High"/>
    <n v="1660.3999999999999"/>
    <n v="838.99999999999989"/>
    <n v="35"/>
    <d v="2023-03-03T00:00:00"/>
    <d v="2023-03-31T00:00:00"/>
    <x v="1"/>
    <n v="292"/>
    <s v="False"/>
    <n v="1660.3999999999999"/>
    <n v="12"/>
    <n v="1992.48"/>
    <n v="12"/>
    <n v="94.460999999999999"/>
    <n v="944.61"/>
  </r>
  <r>
    <s v="ORD-2024-260775"/>
    <x v="312"/>
    <d v="2024-11-06T00:00:00"/>
    <n v="20"/>
    <s v="Q4-2024"/>
    <x v="3"/>
    <x v="10"/>
    <s v="Bengaluru"/>
    <s v="Enterprise"/>
    <x v="0"/>
    <x v="5"/>
    <x v="5"/>
    <s v="MON-4330"/>
    <n v="72.94"/>
    <n v="106.3"/>
    <n v="0.29499999999999998"/>
    <n v="0.25"/>
    <n v="8"/>
    <n v="0.45736221551960515"/>
    <n v="599.53200000000004"/>
    <n v="583.52"/>
    <n v="16.012000000000057"/>
    <n v="2.6707498515508857E-2"/>
    <s v="Medium"/>
    <n v="599.53200000000004"/>
    <n v="16.012000000000057"/>
    <n v="38"/>
    <d v="2023-03-03T00:00:00"/>
    <d v="2023-03-31T00:00:00"/>
    <x v="1"/>
    <n v="293"/>
    <s v="True"/>
    <n v="637.79999999999995"/>
    <n v="9"/>
    <n v="956.69999999999993"/>
    <n v="9"/>
    <n v="83.880999999999986"/>
    <n v="671.04799999999989"/>
  </r>
  <r>
    <s v="ORD-2024-741404"/>
    <x v="313"/>
    <d v="2024-11-06T00:00:00"/>
    <n v="18"/>
    <s v="Q4-2024"/>
    <x v="0"/>
    <x v="4"/>
    <s v="Chicago"/>
    <s v="Education"/>
    <x v="4"/>
    <x v="11"/>
    <x v="5"/>
    <s v="MON-8129"/>
    <n v="942.02"/>
    <n v="1028.46"/>
    <n v="0"/>
    <n v="0"/>
    <n v="9"/>
    <n v="9.1760259867094171E-2"/>
    <n v="9256.14"/>
    <n v="8478.18"/>
    <n v="777.95999999999913"/>
    <n v="8.4047994088248354E-2"/>
    <s v="Low"/>
    <n v="9256.14"/>
    <n v="777.95999999999913"/>
    <n v="39"/>
    <d v="2023-03-03T00:00:00"/>
    <d v="2023-03-31T00:00:00"/>
    <x v="1"/>
    <n v="293"/>
    <s v="False"/>
    <n v="9256.14"/>
    <n v="10"/>
    <n v="10284.6"/>
    <n v="10"/>
    <n v="1083.3229999999999"/>
    <n v="9749.9069999999992"/>
  </r>
  <r>
    <s v="ORD-2024-358795"/>
    <x v="314"/>
    <d v="2024-10-23T00:00:00"/>
    <n v="1"/>
    <s v="Q4-2024"/>
    <x v="1"/>
    <x v="5"/>
    <s v="Port Harcourt"/>
    <s v="Education"/>
    <x v="1"/>
    <x v="13"/>
    <x v="1"/>
    <s v="PRN-9322"/>
    <n v="1084.3900000000001"/>
    <n v="1702.4922999999999"/>
    <n v="0.23699999999999999"/>
    <n v="0.23699999999999999"/>
    <n v="31"/>
    <n v="0.56999999999999973"/>
    <n v="40269.050371899997"/>
    <n v="33616.090000000004"/>
    <n v="6652.9603718999933"/>
    <n v="0.16521274553180107"/>
    <s v="Medium"/>
    <n v="40269.050371899997"/>
    <n v="6652.9603718999933"/>
    <n v="30"/>
    <d v="2023-03-03T00:00:00"/>
    <d v="2023-03-31T00:00:00"/>
    <x v="0"/>
    <n v="121"/>
    <s v="True"/>
    <n v="40269.050371899997"/>
    <n v="37"/>
    <n v="62992.215099999994"/>
    <n v="37"/>
    <n v="1247.0485000000001"/>
    <n v="38658.503500000006"/>
  </r>
  <r>
    <s v="ORD-2024-640340"/>
    <x v="314"/>
    <d v="2024-10-29T00:00:00"/>
    <n v="7"/>
    <s v="Q4-2024"/>
    <x v="1"/>
    <x v="5"/>
    <s v="Port Harcourt"/>
    <s v="Enterprise"/>
    <x v="0"/>
    <x v="3"/>
    <x v="5"/>
    <s v="MON-8758"/>
    <n v="1023.06"/>
    <n v="1355.61"/>
    <n v="0.153"/>
    <n v="0.153"/>
    <n v="23"/>
    <n v="0.3250542490176529"/>
    <n v="26408.63841"/>
    <n v="23530.379999999997"/>
    <n v="2878.2584100000022"/>
    <n v="0.10898927711888809"/>
    <s v="Medium"/>
    <n v="26408.63841"/>
    <n v="2878.2584100000022"/>
    <n v="30"/>
    <d v="2023-03-03T00:00:00"/>
    <d v="2023-03-31T00:00:00"/>
    <x v="0"/>
    <n v="121"/>
    <s v="False"/>
    <n v="26408.63841"/>
    <n v="27"/>
    <n v="36601.469999999994"/>
    <n v="27"/>
    <n v="1176.5189999999998"/>
    <n v="27059.936999999994"/>
  </r>
  <r>
    <s v="ORD-2024-668926"/>
    <x v="315"/>
    <d v="2024-11-14T00:00:00"/>
    <n v="22"/>
    <s v="Q4-2024"/>
    <x v="3"/>
    <x v="11"/>
    <s v="Osaka"/>
    <s v="Non-Profit"/>
    <x v="2"/>
    <x v="0"/>
    <x v="2"/>
    <s v="PHN-9789"/>
    <n v="1406.4"/>
    <n v="1564.76"/>
    <n v="0.185"/>
    <n v="0.185"/>
    <n v="17"/>
    <n v="0.11259954493742882"/>
    <n v="21679.749799999998"/>
    <n v="23908.800000000003"/>
    <n v="-2229.0502000000051"/>
    <n v="-0.10281715520536151"/>
    <s v="Low"/>
    <n v="21679.749799999998"/>
    <n v="-2229.0502000000051"/>
    <n v="36"/>
    <d v="2023-03-03T00:00:00"/>
    <d v="2023-03-31T00:00:00"/>
    <x v="1"/>
    <n v="294"/>
    <s v="False"/>
    <n v="21679.749799999998"/>
    <n v="20"/>
    <n v="31295.200000000001"/>
    <n v="20"/>
    <n v="1617.36"/>
    <n v="27495.119999999999"/>
  </r>
  <r>
    <s v="ORD-2024-732543"/>
    <x v="316"/>
    <d v="2024-10-28T00:00:00"/>
    <n v="4"/>
    <s v="Q4-2024"/>
    <x v="3"/>
    <x v="3"/>
    <s v="Shanghai"/>
    <s v="Small Business"/>
    <x v="0"/>
    <x v="12"/>
    <x v="4"/>
    <s v="NET-3728"/>
    <n v="1331.77"/>
    <n v="2606.11"/>
    <n v="0.02"/>
    <n v="0.02"/>
    <n v="6"/>
    <n v="0.95687693821005138"/>
    <n v="15323.926799999999"/>
    <n v="7990.62"/>
    <n v="7333.3067999999994"/>
    <n v="0.47855271665745619"/>
    <s v="High"/>
    <n v="15323.926799999999"/>
    <n v="7333.3067999999994"/>
    <n v="35"/>
    <d v="2023-03-03T00:00:00"/>
    <d v="2023-03-31T00:00:00"/>
    <x v="0"/>
    <n v="122"/>
    <s v="False"/>
    <n v="15323.926799999999"/>
    <n v="7"/>
    <n v="18242.77"/>
    <n v="7"/>
    <n v="1531.5355"/>
    <n v="9189.2129999999997"/>
  </r>
  <r>
    <s v="ORD-2024-998320"/>
    <x v="317"/>
    <d v="2024-11-14T00:00:00"/>
    <n v="20"/>
    <s v="Q4-2024"/>
    <x v="1"/>
    <x v="7"/>
    <s v="Mombasa"/>
    <s v="Corporate"/>
    <x v="2"/>
    <x v="4"/>
    <x v="1"/>
    <s v="PRN-3143"/>
    <n v="1396.48"/>
    <n v="3204.5"/>
    <n v="0.14000000000000001"/>
    <n v="0.14000000000000001"/>
    <n v="14"/>
    <n v="1.2946980980751603"/>
    <n v="38582.18"/>
    <n v="19550.72"/>
    <n v="19031.46"/>
    <n v="0.4932707275742324"/>
    <s v="High"/>
    <n v="38582.18"/>
    <n v="19031.46"/>
    <n v="39"/>
    <d v="2023-03-03T00:00:00"/>
    <d v="2023-03-31T00:00:00"/>
    <x v="1"/>
    <n v="296"/>
    <s v="False"/>
    <n v="38582.18"/>
    <n v="16"/>
    <n v="51272"/>
    <n v="16"/>
    <n v="1605.952"/>
    <n v="22483.328000000001"/>
  </r>
  <r>
    <s v="ORD-2024-250862"/>
    <x v="317"/>
    <d v="2024-11-05T00:00:00"/>
    <n v="11"/>
    <s v="Q4-2024"/>
    <x v="0"/>
    <x v="4"/>
    <s v="New York"/>
    <s v="Corporate"/>
    <x v="0"/>
    <x v="8"/>
    <x v="6"/>
    <s v="CMP-9498"/>
    <n v="446.66"/>
    <n v="527.64"/>
    <n v="0.14499999999999999"/>
    <n v="0.14499999999999999"/>
    <n v="15"/>
    <n v="0.18130121345094694"/>
    <n v="6766.9829999999993"/>
    <n v="6699.9000000000005"/>
    <n v="67.082999999998719"/>
    <n v="9.9132804087137105E-3"/>
    <s v="Low"/>
    <n v="6766.9829999999993"/>
    <n v="67.082999999998719"/>
    <n v="40"/>
    <d v="2023-03-03T00:00:00"/>
    <d v="2023-03-31T00:00:00"/>
    <x v="1"/>
    <n v="297"/>
    <s v="False"/>
    <n v="6766.9829999999993"/>
    <n v="18"/>
    <n v="9497.52"/>
    <n v="18"/>
    <n v="513.65899999999999"/>
    <n v="7704.8850000000002"/>
  </r>
  <r>
    <s v="ORD-2024-350100"/>
    <x v="318"/>
    <d v="2024-11-20T00:00:00"/>
    <n v="24"/>
    <s v="Q4-2024"/>
    <x v="3"/>
    <x v="11"/>
    <s v="Nagoya"/>
    <s v="Non-Profit"/>
    <x v="1"/>
    <x v="4"/>
    <x v="5"/>
    <s v="MON-8939"/>
    <n v="317.25"/>
    <n v="758.92"/>
    <n v="5.2999999999999999E-2"/>
    <n v="5.2999999999999999E-2"/>
    <n v="9"/>
    <n v="1.3921828211189913"/>
    <n v="6468.2751599999992"/>
    <n v="2855.25"/>
    <n v="3613.0251599999992"/>
    <n v="0.5585762928489888"/>
    <s v="High"/>
    <n v="6468.2751599999992"/>
    <n v="3613.0251599999992"/>
    <n v="37"/>
    <d v="2023-03-03T00:00:00"/>
    <d v="2023-03-31T00:00:00"/>
    <x v="1"/>
    <n v="297"/>
    <s v="False"/>
    <n v="6468.2751599999992"/>
    <n v="10"/>
    <n v="7589.2"/>
    <n v="10"/>
    <n v="364.83749999999998"/>
    <n v="3283.5374999999999"/>
  </r>
  <r>
    <s v="ORD-2024-333192"/>
    <x v="319"/>
    <d v="2024-11-04T00:00:00"/>
    <n v="6"/>
    <s v="Q4-2024"/>
    <x v="1"/>
    <x v="7"/>
    <s v="Nairobi"/>
    <s v="Corporate"/>
    <x v="0"/>
    <x v="3"/>
    <x v="1"/>
    <s v="PRN-4893"/>
    <n v="805.81"/>
    <n v="1823.04"/>
    <n v="0"/>
    <n v="0"/>
    <n v="11"/>
    <n v="1.2623695412069844"/>
    <n v="20053.439999999999"/>
    <n v="8863.91"/>
    <n v="11189.529999999999"/>
    <n v="0.55798556257679477"/>
    <s v="High"/>
    <n v="20053.439999999999"/>
    <n v="11189.529999999999"/>
    <n v="40"/>
    <d v="2023-03-03T00:00:00"/>
    <d v="2023-03-31T00:00:00"/>
    <x v="0"/>
    <n v="123"/>
    <s v="False"/>
    <n v="20053.439999999999"/>
    <n v="13"/>
    <n v="23699.52"/>
    <n v="13"/>
    <n v="926.68149999999991"/>
    <n v="10193.496499999999"/>
  </r>
  <r>
    <s v="ORD-2024-357368"/>
    <x v="320"/>
    <d v="2024-11-24T00:00:00"/>
    <n v="25"/>
    <s v="Q4-2024"/>
    <x v="3"/>
    <x v="3"/>
    <s v="Shenzhen"/>
    <s v="Small Business"/>
    <x v="1"/>
    <x v="14"/>
    <x v="6"/>
    <s v="CMP-4610"/>
    <n v="811.05"/>
    <n v="1217.71"/>
    <n v="7.1999999999999995E-2"/>
    <n v="7.1999999999999995E-2"/>
    <n v="5"/>
    <n v="0.50139942050428465"/>
    <n v="5650.1744000000008"/>
    <n v="4055.25"/>
    <n v="1594.9244000000008"/>
    <n v="0.28227879125288602"/>
    <s v="Medium"/>
    <n v="5650.1744000000008"/>
    <n v="1594.9244000000008"/>
    <n v="36"/>
    <d v="2023-03-03T00:00:00"/>
    <d v="2023-03-31T00:00:00"/>
    <x v="1"/>
    <n v="299"/>
    <s v="False"/>
    <n v="5650.1744000000008"/>
    <n v="6"/>
    <n v="7306.26"/>
    <n v="6"/>
    <n v="932.70749999999987"/>
    <n v="4663.5374999999995"/>
  </r>
  <r>
    <s v="ORD-2024-381197"/>
    <x v="321"/>
    <d v="2024-11-12T00:00:00"/>
    <n v="11"/>
    <s v="Q4-2024"/>
    <x v="2"/>
    <x v="8"/>
    <s v="Frankfurt"/>
    <s v="Consumer"/>
    <x v="1"/>
    <x v="0"/>
    <x v="1"/>
    <s v="PRN-2409"/>
    <n v="599.84"/>
    <n v="1330.85"/>
    <n v="0.115"/>
    <n v="0.115"/>
    <n v="11"/>
    <n v="1.218674979994665"/>
    <n v="12955.824749999998"/>
    <n v="6598.2400000000007"/>
    <n v="6357.5847499999973"/>
    <n v="0.49071246892252063"/>
    <s v="High"/>
    <n v="12955.82475"/>
    <n v="6357.5847499999991"/>
    <n v="34"/>
    <d v="2023-03-03T00:00:00"/>
    <d v="2023-03-31T00:00:00"/>
    <x v="1"/>
    <n v="300"/>
    <s v="False"/>
    <n v="12955.82475"/>
    <n v="13"/>
    <n v="17301.05"/>
    <n v="13"/>
    <n v="689.81600000000003"/>
    <n v="7587.9760000000006"/>
  </r>
  <r>
    <s v="ORD-2024-247979"/>
    <x v="322"/>
    <d v="2024-11-18T00:00:00"/>
    <n v="16"/>
    <s v="Q4-2024"/>
    <x v="3"/>
    <x v="10"/>
    <s v="Mumbai"/>
    <s v="Small Business"/>
    <x v="0"/>
    <x v="5"/>
    <x v="5"/>
    <s v="MON-5188"/>
    <n v="1233.58"/>
    <n v="1912.51"/>
    <n v="0.255"/>
    <n v="0.25"/>
    <n v="51"/>
    <n v="0.55037370904197547"/>
    <n v="72665.817450000002"/>
    <n v="62912.579999999994"/>
    <n v="9753.2374500000078"/>
    <n v="0.134220432553601"/>
    <s v="Medium"/>
    <n v="72665.817450000002"/>
    <n v="9753.2374500000078"/>
    <n v="39"/>
    <d v="2023-03-03T00:00:00"/>
    <d v="2023-03-31T00:00:00"/>
    <x v="1"/>
    <n v="301"/>
    <s v="True"/>
    <n v="73153.507499999992"/>
    <n v="61"/>
    <n v="116663.11"/>
    <n v="61"/>
    <n v="1418.6169999999997"/>
    <n v="72349.46699999999"/>
  </r>
  <r>
    <s v="ORD-2024-588972"/>
    <x v="322"/>
    <d v="2024-11-29T00:00:00"/>
    <n v="27"/>
    <s v="Q4-2024"/>
    <x v="0"/>
    <x v="9"/>
    <s v="Brasília"/>
    <s v="Small Business"/>
    <x v="2"/>
    <x v="12"/>
    <x v="4"/>
    <s v="NET-8561"/>
    <n v="1363.51"/>
    <n v="1433.9"/>
    <n v="5.7000000000000002E-2"/>
    <n v="5.7000000000000002E-2"/>
    <n v="8"/>
    <n v="5.1624117168190993E-2"/>
    <n v="10817.3416"/>
    <n v="10908.08"/>
    <n v="-90.738400000000183"/>
    <n v="-8.3882346842037592E-3"/>
    <s v="Low"/>
    <n v="10817.3416"/>
    <n v="-90.738400000000183"/>
    <n v="40"/>
    <d v="2023-03-03T00:00:00"/>
    <d v="2023-03-31T00:00:00"/>
    <x v="1"/>
    <n v="301"/>
    <s v="False"/>
    <n v="10817.3416"/>
    <n v="9"/>
    <n v="12905.1"/>
    <n v="9"/>
    <n v="1568.0364999999999"/>
    <n v="12544.291999999999"/>
  </r>
  <r>
    <s v="ORD-2024-925626"/>
    <x v="323"/>
    <d v="2024-11-05T00:00:00"/>
    <n v="1"/>
    <s v="Q4-2024"/>
    <x v="2"/>
    <x v="6"/>
    <s v="London"/>
    <s v="Corporate"/>
    <x v="3"/>
    <x v="3"/>
    <x v="1"/>
    <s v="PRN-2293"/>
    <n v="840.68"/>
    <n v="1493.53"/>
    <n v="0"/>
    <n v="0"/>
    <n v="27"/>
    <n v="0.77657372603130803"/>
    <n v="40325.31"/>
    <n v="22698.359999999997"/>
    <n v="17626.95"/>
    <n v="0.43711877230454027"/>
    <s v="High"/>
    <n v="40325.31"/>
    <n v="17626.95"/>
    <n v="36"/>
    <d v="2023-03-03T00:00:00"/>
    <d v="2023-03-31T00:00:00"/>
    <x v="0"/>
    <n v="125"/>
    <s v="False"/>
    <n v="40325.31"/>
    <n v="32"/>
    <n v="47792.959999999999"/>
    <n v="32"/>
    <n v="966.78199999999981"/>
    <n v="26103.113999999994"/>
  </r>
  <r>
    <s v="ORD-2024-766980"/>
    <x v="323"/>
    <d v="2024-11-07T00:00:00"/>
    <n v="3"/>
    <s v="Q4-2024"/>
    <x v="2"/>
    <x v="2"/>
    <s v="Lyon"/>
    <s v="Corporate"/>
    <x v="1"/>
    <x v="5"/>
    <x v="5"/>
    <s v="MON-1118"/>
    <n v="740.68"/>
    <n v="1837.19"/>
    <n v="0.19700000000000001"/>
    <n v="0.19700000000000001"/>
    <n v="17"/>
    <n v="1.4804098936112766"/>
    <n v="25079.480689999997"/>
    <n v="12591.56"/>
    <n v="12487.920689999997"/>
    <n v="0.4979337827748298"/>
    <s v="High"/>
    <n v="25079.480689999997"/>
    <n v="12487.920689999997"/>
    <n v="33"/>
    <d v="2023-03-03T00:00:00"/>
    <d v="2023-03-31T00:00:00"/>
    <x v="0"/>
    <n v="126"/>
    <s v="False"/>
    <n v="25079.480689999997"/>
    <n v="20"/>
    <n v="36743.800000000003"/>
    <n v="20"/>
    <n v="851.78199999999993"/>
    <n v="14480.293999999998"/>
  </r>
  <r>
    <s v="ORD-2024-170021"/>
    <x v="324"/>
    <d v="2024-11-08T00:00:00"/>
    <n v="3"/>
    <s v="Q4-2024"/>
    <x v="0"/>
    <x v="0"/>
    <s v="Toronto"/>
    <s v="Education"/>
    <x v="4"/>
    <x v="5"/>
    <x v="6"/>
    <s v="CMP-2015"/>
    <n v="1020.4"/>
    <n v="1184.71"/>
    <n v="0.106"/>
    <n v="0.106"/>
    <n v="16"/>
    <n v="0.16102508820070566"/>
    <n v="16946.091840000001"/>
    <n v="16326.4"/>
    <n v="619.69184000000132"/>
    <n v="3.6568422138328345E-2"/>
    <s v="Low"/>
    <n v="16946.091840000001"/>
    <n v="619.69184000000132"/>
    <n v="29"/>
    <d v="2023-03-03T00:00:00"/>
    <d v="2023-03-31T00:00:00"/>
    <x v="0"/>
    <n v="126"/>
    <s v="False"/>
    <n v="16946.091840000001"/>
    <n v="19"/>
    <n v="22509.49"/>
    <n v="19"/>
    <n v="1173.4599999999998"/>
    <n v="18775.359999999997"/>
  </r>
  <r>
    <s v="ORD-2024-468501"/>
    <x v="325"/>
    <d v="2024-11-22T00:00:00"/>
    <n v="16"/>
    <s v="Q4-2024"/>
    <x v="0"/>
    <x v="0"/>
    <s v="Toronto"/>
    <s v="Non-Profit"/>
    <x v="0"/>
    <x v="2"/>
    <x v="3"/>
    <s v="ACC-6348"/>
    <n v="1454.11"/>
    <n v="2629.75"/>
    <n v="0.29199999999999998"/>
    <n v="0.25"/>
    <n v="8"/>
    <n v="0.80849454305382684"/>
    <n v="14894.903999999999"/>
    <n v="11632.88"/>
    <n v="3262.0239999999994"/>
    <n v="0.21900268709351867"/>
    <s v="High"/>
    <n v="14894.903999999999"/>
    <n v="3262.0239999999994"/>
    <n v="29"/>
    <d v="2023-03-03T00:00:00"/>
    <d v="2023-03-31T00:00:00"/>
    <x v="1"/>
    <n v="303"/>
    <s v="True"/>
    <n v="15778.5"/>
    <n v="9"/>
    <n v="23667.75"/>
    <n v="9"/>
    <n v="1672.2264999999998"/>
    <n v="13377.811999999998"/>
  </r>
  <r>
    <s v="ORD-2024-225829"/>
    <x v="326"/>
    <d v="2024-11-26T00:00:00"/>
    <n v="19"/>
    <s v="Q4-2024"/>
    <x v="0"/>
    <x v="9"/>
    <s v="Rio de Janeiro"/>
    <s v="Non-Profit"/>
    <x v="0"/>
    <x v="13"/>
    <x v="1"/>
    <s v="PRN-9960"/>
    <n v="55.35"/>
    <n v="128.68"/>
    <n v="0.128"/>
    <n v="0.128"/>
    <n v="10"/>
    <n v="1.3248419150858177"/>
    <n v="1122.0896000000002"/>
    <n v="553.5"/>
    <n v="568.58960000000025"/>
    <n v="0.50672388372550647"/>
    <s v="High"/>
    <n v="1122.0896"/>
    <n v="568.58960000000002"/>
    <n v="41"/>
    <d v="2023-03-03T00:00:00"/>
    <d v="2023-03-31T00:00:00"/>
    <x v="1"/>
    <n v="303"/>
    <s v="False"/>
    <n v="1122.0896"/>
    <n v="12"/>
    <n v="1544.16"/>
    <n v="12"/>
    <n v="63.652499999999996"/>
    <n v="636.52499999999998"/>
  </r>
  <r>
    <s v="ORD-2024-320972"/>
    <x v="327"/>
    <d v="2024-11-08T00:00:00"/>
    <n v="0"/>
    <s v="Q4-2024"/>
    <x v="1"/>
    <x v="7"/>
    <s v="Nakuru"/>
    <s v="Enterprise"/>
    <x v="4"/>
    <x v="3"/>
    <x v="4"/>
    <s v="NET-2628"/>
    <n v="803.28"/>
    <n v="1009"/>
    <n v="0.11"/>
    <n v="0.11"/>
    <n v="4"/>
    <n v="0.25609999004083261"/>
    <n v="3592.04"/>
    <n v="3213.12"/>
    <n v="378.92000000000007"/>
    <n v="0.10548880302001093"/>
    <s v="Medium"/>
    <n v="3592.04"/>
    <n v="378.92000000000007"/>
    <n v="41"/>
    <d v="2023-03-03T00:00:00"/>
    <d v="2023-03-31T00:00:00"/>
    <x v="0"/>
    <n v="127"/>
    <s v="False"/>
    <n v="3592.04"/>
    <n v="4"/>
    <n v="4036"/>
    <n v="4"/>
    <n v="923.77199999999993"/>
    <n v="3695.0879999999997"/>
  </r>
  <r>
    <s v="ORD-2024-496601"/>
    <x v="328"/>
    <d v="2024-11-24T00:00:00"/>
    <n v="13"/>
    <s v="Q4-2024"/>
    <x v="2"/>
    <x v="6"/>
    <s v="London"/>
    <s v="Corporate"/>
    <x v="3"/>
    <x v="14"/>
    <x v="4"/>
    <s v="NET-2932"/>
    <n v="164.53"/>
    <n v="327.72"/>
    <n v="6.7000000000000004E-2"/>
    <n v="6.7000000000000004E-2"/>
    <n v="14"/>
    <n v="0.99185558864644763"/>
    <n v="4280.6786400000001"/>
    <n v="2303.42"/>
    <n v="1977.25864"/>
    <n v="0.46190307805960412"/>
    <s v="High"/>
    <n v="4280.6786400000001"/>
    <n v="1977.25864"/>
    <n v="37"/>
    <d v="2023-03-03T00:00:00"/>
    <d v="2023-03-31T00:00:00"/>
    <x v="1"/>
    <n v="305"/>
    <s v="False"/>
    <n v="4280.6786400000001"/>
    <n v="16"/>
    <n v="5243.52"/>
    <n v="16"/>
    <n v="189.20949999999999"/>
    <n v="2648.933"/>
  </r>
  <r>
    <s v="ORD-2024-776337"/>
    <x v="329"/>
    <d v="2024-11-21T00:00:00"/>
    <n v="9"/>
    <s v="Q4-2024"/>
    <x v="3"/>
    <x v="10"/>
    <s v="Mumbai"/>
    <s v="Corporate"/>
    <x v="2"/>
    <x v="4"/>
    <x v="0"/>
    <s v="LAP-5078"/>
    <n v="903.41"/>
    <n v="1860.41"/>
    <n v="0.108"/>
    <n v="0.108"/>
    <n v="5"/>
    <n v="1.0593196887349046"/>
    <n v="8297.4286000000011"/>
    <n v="4517.05"/>
    <n v="3780.3786000000009"/>
    <n v="0.455608451996803"/>
    <s v="High"/>
    <n v="8297.4286000000011"/>
    <n v="3780.3786000000009"/>
    <n v="40"/>
    <d v="2023-03-03T00:00:00"/>
    <d v="2023-03-31T00:00:00"/>
    <x v="1"/>
    <n v="306"/>
    <s v="False"/>
    <n v="8297.4286000000011"/>
    <n v="6"/>
    <n v="11162.460000000001"/>
    <n v="6"/>
    <n v="1038.9214999999999"/>
    <n v="5194.6075000000001"/>
  </r>
  <r>
    <s v="ORD-2024-371409"/>
    <x v="330"/>
    <d v="2024-11-28T00:00:00"/>
    <n v="11"/>
    <s v="Q4-2024"/>
    <x v="0"/>
    <x v="0"/>
    <s v="Toronto"/>
    <s v="Consumer"/>
    <x v="0"/>
    <x v="1"/>
    <x v="1"/>
    <s v="PRN-1371"/>
    <n v="1008.16"/>
    <n v="2077.5"/>
    <n v="7.3999999999999996E-2"/>
    <n v="7.3999999999999996E-2"/>
    <n v="15"/>
    <n v="1.0606848119346137"/>
    <n v="28856.475000000002"/>
    <n v="15122.4"/>
    <n v="13734.075000000003"/>
    <n v="0.47594430712691005"/>
    <s v="High"/>
    <n v="28856.475000000002"/>
    <n v="13734.075000000003"/>
    <n v="30"/>
    <d v="2023-03-03T00:00:00"/>
    <d v="2023-03-31T00:00:00"/>
    <x v="1"/>
    <n v="307"/>
    <s v="False"/>
    <n v="28856.475000000002"/>
    <n v="18"/>
    <n v="37395"/>
    <n v="18"/>
    <n v="1159.3839999999998"/>
    <n v="17390.759999999998"/>
  </r>
  <r>
    <s v="ORD-2024-783321"/>
    <x v="331"/>
    <d v="2024-12-15T00:00:00"/>
    <n v="25"/>
    <s v="Q4-2024"/>
    <x v="2"/>
    <x v="2"/>
    <s v="Paris"/>
    <s v="Corporate"/>
    <x v="1"/>
    <x v="6"/>
    <x v="1"/>
    <s v="PRN-4911"/>
    <n v="1203.58"/>
    <n v="1856.16"/>
    <n v="0.129"/>
    <n v="0.129"/>
    <n v="22"/>
    <n v="0.5421991060004322"/>
    <n v="35567.737920000007"/>
    <n v="26478.76"/>
    <n v="9088.9779200000085"/>
    <n v="0.25553994860295032"/>
    <s v="Medium"/>
    <n v="35567.73792"/>
    <n v="9088.9779200000012"/>
    <n v="35"/>
    <d v="2023-03-03T00:00:00"/>
    <d v="2023-03-31T00:00:00"/>
    <x v="1"/>
    <n v="308"/>
    <s v="False"/>
    <n v="35567.73792"/>
    <n v="26"/>
    <n v="48260.160000000003"/>
    <n v="26"/>
    <n v="1384.1169999999997"/>
    <n v="30450.573999999993"/>
  </r>
  <r>
    <s v="ORD-2024-192263"/>
    <x v="332"/>
    <d v="2024-12-21T00:00:00"/>
    <n v="30"/>
    <s v="Q4-2024"/>
    <x v="2"/>
    <x v="2"/>
    <s v="Marseille"/>
    <s v="Small Business"/>
    <x v="2"/>
    <x v="12"/>
    <x v="5"/>
    <s v="MON-7943"/>
    <n v="1122.68"/>
    <n v="1997.19"/>
    <n v="0.186"/>
    <n v="0.186"/>
    <n v="3"/>
    <n v="0.77894858730893923"/>
    <n v="4877.1379800000004"/>
    <n v="3368.04"/>
    <n v="1509.0979800000005"/>
    <n v="0.30942285951073306"/>
    <s v="High"/>
    <n v="4877.1379800000004"/>
    <n v="1509.0979800000005"/>
    <n v="35"/>
    <d v="2023-03-03T00:00:00"/>
    <d v="2023-03-31T00:00:00"/>
    <x v="1"/>
    <n v="309"/>
    <s v="False"/>
    <n v="4877.1379800000004"/>
    <n v="3"/>
    <n v="5991.57"/>
    <n v="3"/>
    <n v="1291.0819999999999"/>
    <n v="3873.2459999999996"/>
  </r>
  <r>
    <s v="ORD-2024-508213"/>
    <x v="333"/>
    <d v="2024-12-15T00:00:00"/>
    <n v="23"/>
    <s v="Q4-2024"/>
    <x v="1"/>
    <x v="7"/>
    <s v="Mombasa"/>
    <s v="Non-Profit"/>
    <x v="0"/>
    <x v="11"/>
    <x v="6"/>
    <s v="CMP-3938"/>
    <n v="1335.76"/>
    <n v="2665.91"/>
    <n v="0.21099999999999999"/>
    <n v="0.21099999999999999"/>
    <n v="40"/>
    <n v="0.99580014373839598"/>
    <n v="84136.119600000005"/>
    <n v="53430.400000000001"/>
    <n v="30705.719600000004"/>
    <n v="0.36495288522909253"/>
    <s v="High"/>
    <n v="84136.119600000005"/>
    <n v="30705.719600000004"/>
    <n v="42"/>
    <d v="2023-03-03T00:00:00"/>
    <d v="2023-03-31T00:00:00"/>
    <x v="1"/>
    <n v="310"/>
    <s v="True"/>
    <n v="84136.119600000005"/>
    <n v="48"/>
    <n v="127963.68"/>
    <n v="48"/>
    <n v="1536.1239999999998"/>
    <n v="61444.959999999992"/>
  </r>
  <r>
    <s v="ORD-2024-961756"/>
    <x v="334"/>
    <d v="2024-12-07T00:00:00"/>
    <n v="12"/>
    <s v="Q4-2024"/>
    <x v="3"/>
    <x v="3"/>
    <s v="Shanghai"/>
    <s v="Corporate"/>
    <x v="0"/>
    <x v="1"/>
    <x v="3"/>
    <s v="ACC-7047"/>
    <n v="769.9"/>
    <n v="814.36"/>
    <n v="0"/>
    <n v="0"/>
    <n v="5"/>
    <n v="5.7747759449279179E-2"/>
    <n v="4071.8"/>
    <n v="3849.5"/>
    <n v="222.30000000000018"/>
    <n v="5.4595019401738831E-2"/>
    <s v="Low"/>
    <n v="4071.8"/>
    <n v="222.30000000000018"/>
    <n v="37"/>
    <d v="2023-03-03T00:00:00"/>
    <d v="2023-03-31T00:00:00"/>
    <x v="1"/>
    <n v="311"/>
    <s v="False"/>
    <n v="4071.8"/>
    <n v="6"/>
    <n v="4886.16"/>
    <n v="6"/>
    <n v="885.38499999999988"/>
    <n v="4426.9249999999993"/>
  </r>
  <r>
    <s v="ORD-2024-266562"/>
    <x v="335"/>
    <d v="2024-12-24T00:00:00"/>
    <n v="27"/>
    <s v="Q4-2024"/>
    <x v="1"/>
    <x v="7"/>
    <s v="Mombasa"/>
    <s v="Corporate"/>
    <x v="0"/>
    <x v="0"/>
    <x v="1"/>
    <s v="PRN-5569"/>
    <n v="143.33000000000001"/>
    <n v="233.51"/>
    <n v="0.16300000000000001"/>
    <n v="0.16300000000000001"/>
    <n v="14"/>
    <n v="0.62917742273076094"/>
    <n v="2736.27018"/>
    <n v="2006.6200000000001"/>
    <n v="729.65017999999986"/>
    <n v="0.26665867476580835"/>
    <s v="Medium"/>
    <n v="2736.27018"/>
    <n v="729.65017999999986"/>
    <n v="44"/>
    <d v="2023-03-03T00:00:00"/>
    <d v="2023-03-31T00:00:00"/>
    <x v="1"/>
    <n v="312"/>
    <s v="False"/>
    <n v="2736.27018"/>
    <n v="16"/>
    <n v="3736.16"/>
    <n v="16"/>
    <n v="164.8295"/>
    <n v="2307.6129999999998"/>
  </r>
  <r>
    <s v="ORD-2024-331226"/>
    <x v="336"/>
    <d v="2024-12-19T00:00:00"/>
    <n v="19"/>
    <s v="Q4-2024"/>
    <x v="1"/>
    <x v="7"/>
    <s v="Kisumu"/>
    <s v="Corporate"/>
    <x v="1"/>
    <x v="9"/>
    <x v="2"/>
    <s v="PHN-1919"/>
    <n v="1195.98"/>
    <n v="1841.9"/>
    <n v="5.5E-2"/>
    <n v="5.5E-2"/>
    <n v="19"/>
    <n v="0.54007592100202351"/>
    <n v="33071.3145"/>
    <n v="22723.62"/>
    <n v="10347.694500000001"/>
    <n v="0.31289032977506842"/>
    <s v="Medium"/>
    <n v="33071.3145"/>
    <n v="10347.694500000001"/>
    <n v="44"/>
    <d v="2023-03-03T00:00:00"/>
    <d v="2023-03-31T00:00:00"/>
    <x v="1"/>
    <n v="313"/>
    <s v="False"/>
    <n v="33071.3145"/>
    <n v="22"/>
    <n v="40521.800000000003"/>
    <n v="22"/>
    <n v="1375.377"/>
    <n v="26132.163"/>
  </r>
  <r>
    <s v="ORD-2024-655710"/>
    <x v="336"/>
    <d v="2024-12-10T00:00:00"/>
    <n v="10"/>
    <s v="Q4-2024"/>
    <x v="3"/>
    <x v="10"/>
    <s v="Hyderabad"/>
    <s v="Small Business"/>
    <x v="3"/>
    <x v="7"/>
    <x v="3"/>
    <s v="ACC-1075"/>
    <n v="851.49"/>
    <n v="901.79"/>
    <n v="0.245"/>
    <n v="0.245"/>
    <n v="16"/>
    <n v="5.9072919235692675E-2"/>
    <n v="10893.6232"/>
    <n v="13623.84"/>
    <n v="-2730.2168000000001"/>
    <n v="-0.25062522816100341"/>
    <s v="Low"/>
    <n v="10893.6232"/>
    <n v="-2730.2168000000001"/>
    <n v="41"/>
    <d v="2023-03-03T00:00:00"/>
    <d v="2023-03-31T00:00:00"/>
    <x v="1"/>
    <n v="314"/>
    <s v="True"/>
    <n v="10893.6232"/>
    <n v="19"/>
    <n v="17134.009999999998"/>
    <n v="19"/>
    <n v="979.21349999999995"/>
    <n v="15667.415999999999"/>
  </r>
  <r>
    <s v="ORD-2024-788105"/>
    <x v="336"/>
    <d v="2024-12-30T00:00:00"/>
    <n v="30"/>
    <s v="Q4-2024"/>
    <x v="2"/>
    <x v="2"/>
    <s v="Marseille"/>
    <s v="Consumer"/>
    <x v="4"/>
    <x v="7"/>
    <x v="1"/>
    <s v="PRN-4170"/>
    <n v="117.64"/>
    <n v="175.67"/>
    <n v="0"/>
    <n v="0"/>
    <n v="10"/>
    <n v="0.49328459707582445"/>
    <n v="1756.6999999999998"/>
    <n v="1176.4000000000001"/>
    <n v="580.29999999999973"/>
    <n v="0.33033528775545046"/>
    <s v="Medium"/>
    <n v="1756.6999999999998"/>
    <n v="580.29999999999973"/>
    <n v="36"/>
    <d v="2023-03-03T00:00:00"/>
    <d v="2023-03-31T00:00:00"/>
    <x v="1"/>
    <n v="315"/>
    <s v="False"/>
    <n v="1756.6999999999998"/>
    <n v="12"/>
    <n v="2108.04"/>
    <n v="12"/>
    <n v="135.286"/>
    <n v="1352.8600000000001"/>
  </r>
  <r>
    <s v="ORD-2024-866535"/>
    <x v="337"/>
    <d v="2024-12-12T00:00:00"/>
    <n v="8"/>
    <s v="Q4-2024"/>
    <x v="2"/>
    <x v="8"/>
    <s v="Frankfurt"/>
    <s v="Enterprise"/>
    <x v="4"/>
    <x v="0"/>
    <x v="1"/>
    <s v="PRN-5492"/>
    <n v="72.06"/>
    <n v="122.74"/>
    <n v="0.23799999999999999"/>
    <n v="0.23799999999999999"/>
    <n v="8"/>
    <n v="0.7033028032195392"/>
    <n v="748.22303999999997"/>
    <n v="576.48"/>
    <n v="171.74303999999995"/>
    <n v="0.22953455162246802"/>
    <s v="Medium"/>
    <n v="748.22303999999997"/>
    <n v="171.74303999999995"/>
    <n v="35"/>
    <d v="2023-03-03T00:00:00"/>
    <d v="2023-03-31T00:00:00"/>
    <x v="1"/>
    <n v="316"/>
    <s v="True"/>
    <n v="748.22303999999997"/>
    <n v="9"/>
    <n v="1104.6599999999999"/>
    <n v="9"/>
    <n v="82.869"/>
    <n v="662.952"/>
  </r>
  <r>
    <s v="ORD-2024-478165"/>
    <x v="338"/>
    <d v="2024-12-28T00:00:00"/>
    <n v="23"/>
    <s v="Q4-2024"/>
    <x v="0"/>
    <x v="0"/>
    <s v="Vancouver"/>
    <s v="Corporate"/>
    <x v="2"/>
    <x v="7"/>
    <x v="3"/>
    <s v="ACC-2386"/>
    <n v="107.03"/>
    <n v="242.29"/>
    <n v="0.18"/>
    <n v="0.18"/>
    <n v="30"/>
    <n v="1.2637578249089039"/>
    <n v="5960.3340000000007"/>
    <n v="3210.9"/>
    <n v="2749.4340000000007"/>
    <n v="0.46128857879440988"/>
    <s v="High"/>
    <n v="5960.3340000000007"/>
    <n v="2749.4340000000007"/>
    <n v="31"/>
    <d v="2023-03-03T00:00:00"/>
    <d v="2023-03-31T00:00:00"/>
    <x v="1"/>
    <n v="317"/>
    <s v="False"/>
    <n v="5960.3340000000007"/>
    <n v="36"/>
    <n v="8722.44"/>
    <n v="36"/>
    <n v="123.08449999999999"/>
    <n v="3692.5349999999999"/>
  </r>
  <r>
    <s v="ORD-2024-140633"/>
    <x v="339"/>
    <d v="2024-12-26T00:00:00"/>
    <n v="19"/>
    <s v="Q4-2024"/>
    <x v="2"/>
    <x v="6"/>
    <s v="London"/>
    <s v="Enterprise"/>
    <x v="1"/>
    <x v="2"/>
    <x v="4"/>
    <s v="NET-4491"/>
    <n v="1035.24"/>
    <n v="2383.41"/>
    <n v="0.17"/>
    <n v="0.17"/>
    <n v="15"/>
    <n v="1.3022777326996637"/>
    <n v="29673.454499999993"/>
    <n v="15528.6"/>
    <n v="14144.854499999992"/>
    <n v="0.47668378145860962"/>
    <s v="High"/>
    <n v="29673.454499999996"/>
    <n v="14144.854499999996"/>
    <n v="38"/>
    <d v="2023-03-03T00:00:00"/>
    <d v="2023-03-31T00:00:00"/>
    <x v="1"/>
    <n v="317"/>
    <s v="False"/>
    <n v="29673.454499999996"/>
    <n v="18"/>
    <n v="42901.38"/>
    <n v="18"/>
    <n v="1190.5259999999998"/>
    <n v="17857.89"/>
  </r>
  <r>
    <s v="ORD-2024-382152"/>
    <x v="340"/>
    <d v="2024-12-08T00:00:00"/>
    <n v="0"/>
    <s v="Q4-2024"/>
    <x v="2"/>
    <x v="2"/>
    <s v="Lyon"/>
    <s v="Enterprise"/>
    <x v="3"/>
    <x v="4"/>
    <x v="6"/>
    <s v="CMP-2335"/>
    <n v="257.44"/>
    <n v="290.33"/>
    <n v="9.1999999999999998E-2"/>
    <n v="9.1999999999999998E-2"/>
    <n v="23"/>
    <n v="0.12775792417650708"/>
    <n v="6063.2517199999993"/>
    <n v="5921.12"/>
    <n v="142.1317199999994"/>
    <n v="2.3441500792581216E-2"/>
    <s v="Low"/>
    <n v="6063.2517200000002"/>
    <n v="142.13172000000031"/>
    <n v="38"/>
    <d v="2023-03-03T00:00:00"/>
    <d v="2023-03-31T00:00:00"/>
    <x v="0"/>
    <n v="128"/>
    <s v="False"/>
    <n v="6063.2517200000002"/>
    <n v="27"/>
    <n v="7838.91"/>
    <n v="27"/>
    <n v="296.05599999999998"/>
    <n v="6809.2879999999996"/>
  </r>
  <r>
    <s v="ORD-2024-206081"/>
    <x v="341"/>
    <d v="2025-01-08T00:00:00"/>
    <n v="29"/>
    <s v="Q4-2024"/>
    <x v="2"/>
    <x v="2"/>
    <s v="Marseille"/>
    <s v="Small Business"/>
    <x v="3"/>
    <x v="10"/>
    <x v="1"/>
    <s v="PRN-6791"/>
    <n v="891.08"/>
    <n v="1040.0999999999999"/>
    <n v="0.109"/>
    <n v="0.109"/>
    <n v="28"/>
    <n v="0.16723526507159836"/>
    <n v="25948.414799999995"/>
    <n v="24950.240000000002"/>
    <n v="998.17479999999341"/>
    <n v="3.8467660074556598E-2"/>
    <s v="Low"/>
    <n v="25948.414799999999"/>
    <n v="998.17479999999705"/>
    <n v="38"/>
    <d v="2023-03-03T00:00:00"/>
    <d v="2023-03-31T00:00:00"/>
    <x v="1"/>
    <n v="319"/>
    <s v="False"/>
    <n v="25948.414799999999"/>
    <n v="33"/>
    <n v="34323.299999999996"/>
    <n v="33"/>
    <n v="1024.742"/>
    <n v="28692.775999999998"/>
  </r>
  <r>
    <s v="ORD-2024-837651"/>
    <x v="341"/>
    <d v="2024-12-19T00:00:00"/>
    <n v="9"/>
    <s v="Q4-2024"/>
    <x v="1"/>
    <x v="5"/>
    <s v="Lagos"/>
    <s v="Corporate"/>
    <x v="3"/>
    <x v="5"/>
    <x v="5"/>
    <s v="MON-4789"/>
    <n v="488.68"/>
    <n v="984.36"/>
    <n v="5.8999999999999997E-2"/>
    <n v="5.8999999999999997E-2"/>
    <n v="14"/>
    <n v="1.01432430220185"/>
    <n v="12967.958640000001"/>
    <n v="6841.52"/>
    <n v="6126.4386400000003"/>
    <n v="0.47242891576649876"/>
    <s v="High"/>
    <n v="12967.958640000001"/>
    <n v="6126.4386400000003"/>
    <n v="31"/>
    <d v="2023-03-03T00:00:00"/>
    <d v="2023-03-31T00:00:00"/>
    <x v="1"/>
    <n v="320"/>
    <s v="False"/>
    <n v="12967.958640000001"/>
    <n v="16"/>
    <n v="15749.76"/>
    <n v="16"/>
    <n v="561.98199999999997"/>
    <n v="7867.7479999999996"/>
  </r>
  <r>
    <s v="ORD-2024-102866"/>
    <x v="342"/>
    <d v="2024-12-20T00:00:00"/>
    <n v="8"/>
    <s v="Q4-2024"/>
    <x v="3"/>
    <x v="11"/>
    <s v="Tokyo"/>
    <s v="Corporate"/>
    <x v="3"/>
    <x v="0"/>
    <x v="0"/>
    <s v="LAP-8347"/>
    <n v="1202.47"/>
    <n v="1444.72"/>
    <n v="0.24099999999999999"/>
    <n v="0.24099999999999999"/>
    <n v="17"/>
    <n v="0.20146032749257778"/>
    <n v="18641.222160000001"/>
    <n v="20441.990000000002"/>
    <n v="-1800.7678400000004"/>
    <n v="-9.6601382921343834E-2"/>
    <s v="Low"/>
    <n v="18641.222160000001"/>
    <n v="-1800.7678400000004"/>
    <n v="38"/>
    <d v="2023-03-03T00:00:00"/>
    <d v="2023-03-31T00:00:00"/>
    <x v="1"/>
    <n v="321"/>
    <s v="True"/>
    <n v="18641.222160000001"/>
    <n v="20"/>
    <n v="28894.400000000001"/>
    <n v="20"/>
    <n v="1382.8405"/>
    <n v="23508.288499999999"/>
  </r>
  <r>
    <s v="ORD-2024-836421"/>
    <x v="343"/>
    <d v="2025-01-12T00:00:00"/>
    <n v="29"/>
    <s v="Q4-2024"/>
    <x v="3"/>
    <x v="3"/>
    <s v="Shenzhen"/>
    <s v="Education"/>
    <x v="1"/>
    <x v="13"/>
    <x v="6"/>
    <s v="CMP-3720"/>
    <n v="1412.15"/>
    <n v="1631.04"/>
    <n v="8.9999999999999993E-3"/>
    <n v="8.9999999999999993E-3"/>
    <n v="6"/>
    <n v="0.15500477994547313"/>
    <n v="9698.1638399999993"/>
    <n v="8472.9000000000015"/>
    <n v="1225.2638399999978"/>
    <n v="0.12633977526203535"/>
    <s v="Low"/>
    <n v="9698.1638399999993"/>
    <n v="1225.2638399999978"/>
    <n v="39"/>
    <d v="2023-03-03T00:00:00"/>
    <d v="2023-03-31T00:00:00"/>
    <x v="1"/>
    <n v="321"/>
    <s v="False"/>
    <n v="9698.1638399999993"/>
    <n v="7"/>
    <n v="11417.279999999999"/>
    <n v="7"/>
    <n v="1623.9725000000001"/>
    <n v="9743.8350000000009"/>
  </r>
  <r>
    <s v="ORD-2024-800947"/>
    <x v="344"/>
    <d v="2024-12-20T00:00:00"/>
    <n v="5"/>
    <s v="Q4-2024"/>
    <x v="3"/>
    <x v="3"/>
    <s v="Shenzhen"/>
    <s v="Small Business"/>
    <x v="2"/>
    <x v="13"/>
    <x v="4"/>
    <s v="NET-1846"/>
    <n v="717.55"/>
    <n v="1305.9409999999998"/>
    <n v="4.7E-2"/>
    <n v="4.7E-2"/>
    <n v="18"/>
    <n v="0.81999999999999984"/>
    <n v="22402.111913999994"/>
    <n v="12915.9"/>
    <n v="9486.2119139999941"/>
    <n v="0.42345167948525753"/>
    <s v="High"/>
    <n v="22402.111913999994"/>
    <n v="9486.2119139999941"/>
    <n v="39"/>
    <d v="2023-03-03T00:00:00"/>
    <d v="2023-03-31T00:00:00"/>
    <x v="0"/>
    <n v="129"/>
    <s v="False"/>
    <n v="22402.111913999994"/>
    <n v="21"/>
    <n v="27424.760999999995"/>
    <n v="21"/>
    <n v="825.18249999999989"/>
    <n v="14853.284999999998"/>
  </r>
  <r>
    <s v="ORD-2024-930679"/>
    <x v="345"/>
    <d v="2025-01-16T00:00:00"/>
    <n v="30"/>
    <s v="Q4-2024"/>
    <x v="2"/>
    <x v="6"/>
    <s v="Manchester"/>
    <s v="Corporate"/>
    <x v="3"/>
    <x v="2"/>
    <x v="5"/>
    <s v="MON-4215"/>
    <n v="722.87"/>
    <n v="1619.2288000000001"/>
    <n v="0.10199999999999999"/>
    <n v="0.10199999999999999"/>
    <n v="28"/>
    <n v="1.2400000000000002"/>
    <n v="40713.888947200001"/>
    <n v="20240.36"/>
    <n v="20473.5289472"/>
    <n v="0.50286350620426346"/>
    <s v="High"/>
    <n v="40713.888947200001"/>
    <n v="20473.5289472"/>
    <n v="39"/>
    <d v="2023-03-03T00:00:00"/>
    <d v="2023-03-31T00:00:00"/>
    <x v="1"/>
    <n v="322"/>
    <s v="False"/>
    <n v="40713.888947200001"/>
    <n v="33"/>
    <n v="53434.5504"/>
    <n v="33"/>
    <n v="831.30049999999994"/>
    <n v="23276.413999999997"/>
  </r>
  <r>
    <s v="ORD-2024-289089"/>
    <x v="345"/>
    <d v="2024-12-18T00:00:00"/>
    <n v="1"/>
    <s v="Q4-2024"/>
    <x v="2"/>
    <x v="8"/>
    <s v="Munich"/>
    <s v="Education"/>
    <x v="3"/>
    <x v="9"/>
    <x v="3"/>
    <s v="ACC-5780"/>
    <n v="346.82"/>
    <n v="701.95"/>
    <n v="0.14699999999999999"/>
    <n v="0.14699999999999999"/>
    <n v="8"/>
    <n v="1.0239605559079639"/>
    <n v="4790.1068000000005"/>
    <n v="2774.56"/>
    <n v="2015.5468000000005"/>
    <n v="0.42077283120284509"/>
    <s v="High"/>
    <n v="4790.1068000000005"/>
    <n v="2015.5468000000005"/>
    <n v="36"/>
    <d v="2023-03-03T00:00:00"/>
    <d v="2023-03-31T00:00:00"/>
    <x v="0"/>
    <n v="130"/>
    <s v="False"/>
    <n v="4790.1068000000005"/>
    <n v="9"/>
    <n v="6317.55"/>
    <n v="9"/>
    <n v="398.84299999999996"/>
    <n v="3190.7439999999997"/>
  </r>
  <r>
    <s v="ORD-2024-390951"/>
    <x v="346"/>
    <d v="2025-01-14T00:00:00"/>
    <n v="25"/>
    <s v="Q4-2024"/>
    <x v="3"/>
    <x v="10"/>
    <s v="Delhi"/>
    <s v="Small Business"/>
    <x v="3"/>
    <x v="3"/>
    <x v="1"/>
    <s v="PRN-9378"/>
    <n v="1361.34"/>
    <n v="1737.9"/>
    <n v="7.6999999999999999E-2"/>
    <n v="7.6999999999999999E-2"/>
    <n v="14"/>
    <n v="0.27660981092159209"/>
    <n v="22457.143800000002"/>
    <n v="19058.759999999998"/>
    <n v="3398.3838000000032"/>
    <n v="0.15132751654731813"/>
    <s v="Medium"/>
    <n v="22457.143800000002"/>
    <n v="3398.3838000000032"/>
    <n v="42"/>
    <d v="2023-03-03T00:00:00"/>
    <d v="2023-03-31T00:00:00"/>
    <x v="1"/>
    <n v="323"/>
    <s v="False"/>
    <n v="22457.143800000002"/>
    <n v="16"/>
    <n v="27806.400000000001"/>
    <n v="16"/>
    <n v="1565.5409999999997"/>
    <n v="21917.573999999997"/>
  </r>
  <r>
    <s v="ORD-2024-164288"/>
    <x v="347"/>
    <d v="2024-12-26T00:00:00"/>
    <n v="5"/>
    <s v="Q4-2024"/>
    <x v="0"/>
    <x v="4"/>
    <s v="San Francisco"/>
    <s v="Consumer"/>
    <x v="4"/>
    <x v="3"/>
    <x v="1"/>
    <s v="PRN-4788"/>
    <n v="699.57"/>
    <n v="1140.2991"/>
    <n v="0.192"/>
    <n v="0.192"/>
    <n v="26"/>
    <n v="0.62999999999999978"/>
    <n v="23955.4034928"/>
    <n v="18188.82"/>
    <n v="5766.5834928000004"/>
    <n v="0.24072161817408735"/>
    <s v="Medium"/>
    <n v="23955.4034928"/>
    <n v="5766.5834928000004"/>
    <n v="41"/>
    <d v="2023-03-03T00:00:00"/>
    <d v="2023-03-31T00:00:00"/>
    <x v="0"/>
    <n v="131"/>
    <s v="False"/>
    <n v="23955.4034928"/>
    <n v="31"/>
    <n v="35349.272100000002"/>
    <n v="31"/>
    <n v="804.50549999999998"/>
    <n v="20917.143"/>
  </r>
  <r>
    <s v="ORD-2024-902741"/>
    <x v="348"/>
    <d v="2025-01-11T00:00:00"/>
    <n v="19"/>
    <s v="Q4-2024"/>
    <x v="2"/>
    <x v="8"/>
    <s v="Berlin"/>
    <s v="Education"/>
    <x v="3"/>
    <x v="10"/>
    <x v="2"/>
    <s v="PHN-8057"/>
    <n v="501.81"/>
    <n v="921.62"/>
    <n v="0.01"/>
    <n v="0.01"/>
    <n v="9"/>
    <n v="0.83659153863015878"/>
    <n v="8211.6342000000004"/>
    <n v="4516.29"/>
    <n v="3695.3442000000005"/>
    <n v="0.45001325071202031"/>
    <s v="High"/>
    <n v="8211.6342000000004"/>
    <n v="3695.3442000000005"/>
    <n v="37"/>
    <d v="2023-03-03T00:00:00"/>
    <d v="2023-03-31T00:00:00"/>
    <x v="1"/>
    <n v="325"/>
    <s v="False"/>
    <n v="8211.6342000000004"/>
    <n v="10"/>
    <n v="9216.2000000000007"/>
    <n v="10"/>
    <n v="577.08150000000001"/>
    <n v="5193.7335000000003"/>
  </r>
  <r>
    <s v="ORD-2024-972318"/>
    <x v="349"/>
    <d v="2025-01-13T00:00:00"/>
    <n v="20"/>
    <s v="Q4-2024"/>
    <x v="3"/>
    <x v="10"/>
    <s v="Bengaluru"/>
    <s v="Corporate"/>
    <x v="4"/>
    <x v="2"/>
    <x v="4"/>
    <s v="NET-9832"/>
    <n v="126.15"/>
    <n v="284.23"/>
    <n v="0.113"/>
    <n v="0.113"/>
    <n v="22"/>
    <n v="1.2531113753468095"/>
    <n v="5546.4642200000008"/>
    <n v="2775.3"/>
    <n v="2771.1642200000006"/>
    <n v="0.49962716968541088"/>
    <s v="High"/>
    <n v="5546.4642200000008"/>
    <n v="2771.1642200000006"/>
    <n v="43"/>
    <d v="2023-03-03T00:00:00"/>
    <d v="2023-03-31T00:00:00"/>
    <x v="1"/>
    <n v="325"/>
    <s v="False"/>
    <n v="5546.4642200000008"/>
    <n v="26"/>
    <n v="7389.9800000000005"/>
    <n v="26"/>
    <n v="145.07249999999999"/>
    <n v="3191.5949999999998"/>
  </r>
  <r>
    <s v="ORD-2024-474999"/>
    <x v="350"/>
    <d v="2025-01-02T00:00:00"/>
    <n v="6"/>
    <s v="Q4-2024"/>
    <x v="2"/>
    <x v="8"/>
    <s v="Frankfurt"/>
    <s v="Education"/>
    <x v="2"/>
    <x v="7"/>
    <x v="0"/>
    <s v="LAP-8214"/>
    <n v="1391.99"/>
    <n v="3469.7"/>
    <n v="0.184"/>
    <n v="0.184"/>
    <n v="23"/>
    <n v="1.4926184814546082"/>
    <n v="65119.329599999997"/>
    <n v="32015.77"/>
    <n v="33103.559599999993"/>
    <n v="0.50835227886006973"/>
    <s v="High"/>
    <n v="65119.329599999997"/>
    <n v="33103.559599999993"/>
    <n v="38"/>
    <d v="2023-03-03T00:00:00"/>
    <d v="2023-03-31T00:00:00"/>
    <x v="0"/>
    <n v="133"/>
    <s v="False"/>
    <n v="65119.329599999997"/>
    <n v="27"/>
    <n v="93681.9"/>
    <n v="27"/>
    <n v="1600.7884999999999"/>
    <n v="36818.135499999997"/>
  </r>
  <r>
    <s v="ORD-2024-257550"/>
    <x v="350"/>
    <d v="2024-12-29T00:00:00"/>
    <n v="2"/>
    <s v="Q4-2024"/>
    <x v="0"/>
    <x v="0"/>
    <s v="Vancouver"/>
    <s v="Enterprise"/>
    <x v="4"/>
    <x v="11"/>
    <x v="3"/>
    <s v="ACC-8620"/>
    <n v="1146.72"/>
    <n v="2074.34"/>
    <n v="0.111"/>
    <n v="0.111"/>
    <n v="8"/>
    <n v="0.80893330542765463"/>
    <n v="14752.706080000002"/>
    <n v="9173.76"/>
    <n v="5578.9460800000015"/>
    <n v="0.37816425337472737"/>
    <s v="High"/>
    <n v="14752.706080000002"/>
    <n v="5578.9460800000015"/>
    <n v="32"/>
    <d v="2023-03-03T00:00:00"/>
    <d v="2023-03-31T00:00:00"/>
    <x v="0"/>
    <n v="133"/>
    <s v="False"/>
    <n v="14752.706080000002"/>
    <n v="9"/>
    <n v="18669.060000000001"/>
    <n v="9"/>
    <n v="1318.7279999999998"/>
    <n v="10549.823999999999"/>
  </r>
  <r>
    <s v="ORD-2024-170313"/>
    <x v="350"/>
    <d v="2025-01-15T00:00:00"/>
    <n v="19"/>
    <s v="Q4-2024"/>
    <x v="3"/>
    <x v="10"/>
    <s v="Delhi"/>
    <s v="Non-Profit"/>
    <x v="0"/>
    <x v="6"/>
    <x v="6"/>
    <s v="CMP-6919"/>
    <n v="495.59"/>
    <n v="631.78"/>
    <n v="8.6999999999999994E-2"/>
    <n v="8.6999999999999994E-2"/>
    <n v="17"/>
    <n v="0.27480376924473859"/>
    <n v="9805.8573800000013"/>
    <n v="8425.0299999999988"/>
    <n v="1380.8273800000024"/>
    <n v="0.14081658813601899"/>
    <s v="Medium"/>
    <n v="9805.8573800000013"/>
    <n v="1380.8273800000024"/>
    <n v="45"/>
    <d v="2023-03-03T00:00:00"/>
    <d v="2023-03-31T00:00:00"/>
    <x v="1"/>
    <n v="327"/>
    <s v="False"/>
    <n v="9805.8573800000013"/>
    <n v="20"/>
    <n v="12635.599999999999"/>
    <n v="20"/>
    <n v="569.92849999999987"/>
    <n v="9688.7844999999979"/>
  </r>
  <r>
    <s v="ORD-2024-336584"/>
    <x v="350"/>
    <d v="2025-01-14T00:00:00"/>
    <n v="18"/>
    <s v="Q4-2024"/>
    <x v="3"/>
    <x v="10"/>
    <s v="Bengaluru"/>
    <s v="Small Business"/>
    <x v="4"/>
    <x v="14"/>
    <x v="5"/>
    <s v="MON-8629"/>
    <n v="586.07000000000005"/>
    <n v="845.97"/>
    <n v="0.14699999999999999"/>
    <n v="0.14699999999999999"/>
    <n v="4"/>
    <n v="0.44346238503932972"/>
    <n v="2886.4496399999998"/>
    <n v="2344.2800000000002"/>
    <n v="542.16963999999962"/>
    <n v="0.18783270370862928"/>
    <s v="Medium"/>
    <n v="2886.4496399999998"/>
    <n v="542.16963999999962"/>
    <n v="45"/>
    <d v="2023-03-03T00:00:00"/>
    <d v="2023-03-31T00:00:00"/>
    <x v="1"/>
    <n v="328"/>
    <s v="False"/>
    <n v="2886.4496399999998"/>
    <n v="4"/>
    <n v="3383.88"/>
    <n v="4"/>
    <n v="673.98050000000001"/>
    <n v="2695.922"/>
  </r>
  <r>
    <s v="ORD-2024-651852"/>
    <x v="351"/>
    <d v="2025-01-08T00:00:00"/>
    <n v="11"/>
    <s v="Q4-2024"/>
    <x v="3"/>
    <x v="3"/>
    <s v="Shenzhen"/>
    <s v="Enterprise"/>
    <x v="1"/>
    <x v="10"/>
    <x v="0"/>
    <s v="LAP-8825"/>
    <n v="1201.31"/>
    <n v="2764.65"/>
    <n v="0"/>
    <n v="0"/>
    <n v="21"/>
    <n v="1.301362679075343"/>
    <n v="58057.65"/>
    <n v="25227.51"/>
    <n v="32830.14"/>
    <n v="0.56547483406579491"/>
    <s v="High"/>
    <n v="58057.65"/>
    <n v="32830.14"/>
    <n v="40"/>
    <d v="2023-03-03T00:00:00"/>
    <d v="2023-03-31T00:00:00"/>
    <x v="1"/>
    <n v="329"/>
    <s v="False"/>
    <n v="58057.65"/>
    <n v="25"/>
    <n v="69116.25"/>
    <n v="25"/>
    <n v="1381.5064999999997"/>
    <n v="29011.636499999993"/>
  </r>
  <r>
    <s v="ORD-2024-165942"/>
    <x v="352"/>
    <d v="2025-01-12T00:00:00"/>
    <n v="14"/>
    <s v="Q4-2024"/>
    <x v="2"/>
    <x v="6"/>
    <s v="Manchester"/>
    <s v="Corporate"/>
    <x v="2"/>
    <x v="0"/>
    <x v="5"/>
    <s v="MON-6310"/>
    <n v="1399.72"/>
    <n v="3149.21"/>
    <n v="0.185"/>
    <n v="0.185"/>
    <n v="12"/>
    <n v="1.2498856914239991"/>
    <n v="30799.273800000003"/>
    <n v="16796.64"/>
    <n v="14002.633800000003"/>
    <n v="0.45464168703873797"/>
    <s v="High"/>
    <n v="30799.273800000003"/>
    <n v="14002.633800000003"/>
    <n v="40"/>
    <d v="2023-03-03T00:00:00"/>
    <d v="2023-03-31T00:00:00"/>
    <x v="1"/>
    <n v="330"/>
    <s v="False"/>
    <n v="30799.273800000003"/>
    <n v="14"/>
    <n v="44088.94"/>
    <n v="14"/>
    <n v="1609.6779999999999"/>
    <n v="19316.135999999999"/>
  </r>
  <r>
    <s v="ORD-2025-515515"/>
    <x v="353"/>
    <d v="2025-01-23T00:00:00"/>
    <n v="20"/>
    <s v="Q1-2025"/>
    <x v="3"/>
    <x v="11"/>
    <s v="Osaka"/>
    <s v="Corporate"/>
    <x v="0"/>
    <x v="7"/>
    <x v="2"/>
    <s v="PHN-7019"/>
    <n v="908.6"/>
    <n v="1680.91"/>
    <n v="0.25"/>
    <n v="0.25"/>
    <n v="20"/>
    <n v="0.85000000000000009"/>
    <n v="25213.65"/>
    <n v="18172"/>
    <n v="7041.6500000000015"/>
    <n v="0.27927927927927931"/>
    <s v="High"/>
    <n v="25213.65"/>
    <n v="7041.6500000000015"/>
    <n v="39"/>
    <d v="2023-03-03T00:00:00"/>
    <d v="2023-03-31T00:00:00"/>
    <x v="1"/>
    <n v="330"/>
    <s v="True"/>
    <n v="25213.65"/>
    <n v="24"/>
    <n v="40341.840000000004"/>
    <n v="24"/>
    <n v="1044.8899999999999"/>
    <n v="20897.799999999996"/>
  </r>
  <r>
    <s v="ORD-2025-137394"/>
    <x v="354"/>
    <d v="2025-01-05T00:00:00"/>
    <n v="1"/>
    <s v="Q1-2025"/>
    <x v="3"/>
    <x v="10"/>
    <s v="Delhi"/>
    <s v="Education"/>
    <x v="3"/>
    <x v="12"/>
    <x v="6"/>
    <s v="CMP-1156"/>
    <n v="1428.33"/>
    <n v="3028.05"/>
    <n v="0"/>
    <n v="0"/>
    <n v="11"/>
    <n v="1.1199932788641282"/>
    <n v="33308.550000000003"/>
    <n v="15711.63"/>
    <n v="17596.920000000006"/>
    <n v="0.52830039134096207"/>
    <s v="High"/>
    <n v="33308.550000000003"/>
    <n v="17596.920000000006"/>
    <n v="46"/>
    <d v="2023-03-03T00:00:00"/>
    <d v="2023-03-31T00:00:00"/>
    <x v="0"/>
    <n v="134"/>
    <s v="False"/>
    <n v="33308.550000000003"/>
    <n v="13"/>
    <n v="39364.65"/>
    <n v="13"/>
    <n v="1642.5794999999998"/>
    <n v="18068.374499999998"/>
  </r>
  <r>
    <s v="ORD-2025-636162"/>
    <x v="355"/>
    <d v="2025-01-20T00:00:00"/>
    <n v="13"/>
    <s v="Q1-2025"/>
    <x v="1"/>
    <x v="1"/>
    <s v="Cape Town"/>
    <s v="Corporate"/>
    <x v="2"/>
    <x v="10"/>
    <x v="4"/>
    <s v="NET-7901"/>
    <n v="432.13"/>
    <n v="1034.6600000000001"/>
    <n v="9.1999999999999998E-2"/>
    <n v="9.1999999999999998E-2"/>
    <n v="7"/>
    <n v="1.3943257815935022"/>
    <n v="6576.298960000001"/>
    <n v="3024.91"/>
    <n v="3551.3889600000011"/>
    <n v="0.54002851476204794"/>
    <s v="High"/>
    <n v="6576.298960000001"/>
    <n v="3551.3889600000011"/>
    <n v="35"/>
    <d v="2023-03-03T00:00:00"/>
    <d v="2023-03-31T00:00:00"/>
    <x v="1"/>
    <n v="331"/>
    <s v="False"/>
    <n v="6576.298960000001"/>
    <n v="8"/>
    <n v="8277.2800000000007"/>
    <n v="8"/>
    <n v="496.94949999999994"/>
    <n v="3478.6464999999998"/>
  </r>
  <r>
    <s v="ORD-2025-354346"/>
    <x v="356"/>
    <d v="2025-01-15T00:00:00"/>
    <n v="6"/>
    <s v="Q1-2025"/>
    <x v="3"/>
    <x v="3"/>
    <s v="Beijing"/>
    <s v="Education"/>
    <x v="1"/>
    <x v="11"/>
    <x v="2"/>
    <s v="PHN-2875"/>
    <n v="304.77999999999997"/>
    <n v="537.27"/>
    <n v="0.187"/>
    <n v="0.187"/>
    <n v="8"/>
    <n v="0.76281252050659498"/>
    <n v="3494.4040799999998"/>
    <n v="2438.2399999999998"/>
    <n v="1056.16408"/>
    <n v="0.3022444044307549"/>
    <s v="High"/>
    <n v="3494.4040799999998"/>
    <n v="1056.16408"/>
    <n v="41"/>
    <d v="2023-03-03T00:00:00"/>
    <d v="2023-03-31T00:00:00"/>
    <x v="0"/>
    <n v="135"/>
    <s v="False"/>
    <n v="3494.4040799999998"/>
    <n v="9"/>
    <n v="4835.43"/>
    <n v="9"/>
    <n v="350.49699999999996"/>
    <n v="2803.9759999999997"/>
  </r>
  <r>
    <s v="ORD-2025-149156"/>
    <x v="357"/>
    <d v="2025-02-06T00:00:00"/>
    <n v="27"/>
    <s v="Q1-2025"/>
    <x v="0"/>
    <x v="9"/>
    <s v="Brasília"/>
    <s v="Non-Profit"/>
    <x v="3"/>
    <x v="0"/>
    <x v="0"/>
    <s v="LAP-7353"/>
    <n v="725.62"/>
    <n v="1559.19"/>
    <n v="0.19"/>
    <n v="0.19"/>
    <n v="12"/>
    <n v="1.1487693282985585"/>
    <n v="15155.326800000001"/>
    <n v="8707.44"/>
    <n v="6447.8868000000002"/>
    <n v="0.42545349797405885"/>
    <s v="High"/>
    <n v="15155.326800000003"/>
    <n v="6447.886800000002"/>
    <n v="42"/>
    <d v="2023-03-03T00:00:00"/>
    <d v="2023-03-31T00:00:00"/>
    <x v="1"/>
    <n v="333"/>
    <s v="False"/>
    <n v="15155.326800000003"/>
    <n v="14"/>
    <n v="21828.66"/>
    <n v="14"/>
    <n v="834.46299999999997"/>
    <n v="10013.556"/>
  </r>
  <r>
    <s v="ORD-2025-653781"/>
    <x v="358"/>
    <d v="2025-01-23T00:00:00"/>
    <n v="12"/>
    <s v="Q1-2025"/>
    <x v="0"/>
    <x v="4"/>
    <s v="Austin"/>
    <s v="Consumer"/>
    <x v="0"/>
    <x v="4"/>
    <x v="2"/>
    <s v="PHN-6307"/>
    <n v="100.69"/>
    <n v="226.14"/>
    <n v="6.5000000000000002E-2"/>
    <n v="6.5000000000000002E-2"/>
    <n v="12"/>
    <n v="1.2459032674545634"/>
    <n v="2537.2908000000002"/>
    <n v="1208.28"/>
    <n v="1329.0108000000002"/>
    <n v="0.52379128162999689"/>
    <s v="High"/>
    <n v="2537.2907999999998"/>
    <n v="1329.0107999999998"/>
    <n v="42"/>
    <d v="2023-03-03T00:00:00"/>
    <d v="2023-03-31T00:00:00"/>
    <x v="1"/>
    <n v="334"/>
    <s v="False"/>
    <n v="2537.2907999999998"/>
    <n v="14"/>
    <n v="3165.96"/>
    <n v="14"/>
    <n v="115.79349999999999"/>
    <n v="1389.5219999999999"/>
  </r>
  <r>
    <s v="ORD-2025-542939"/>
    <x v="359"/>
    <d v="2025-02-08T00:00:00"/>
    <n v="26"/>
    <s v="Q1-2025"/>
    <x v="2"/>
    <x v="2"/>
    <s v="Paris"/>
    <s v="Non-Profit"/>
    <x v="2"/>
    <x v="14"/>
    <x v="5"/>
    <s v="MON-1593"/>
    <n v="594.74"/>
    <n v="1020.69"/>
    <n v="0.21099999999999999"/>
    <n v="0.21099999999999999"/>
    <n v="6"/>
    <n v="0.71619531223728017"/>
    <n v="4831.9464600000001"/>
    <n v="3568.44"/>
    <n v="1263.5064600000001"/>
    <n v="0.26149016146176424"/>
    <s v="Medium"/>
    <n v="4831.9464600000001"/>
    <n v="1263.5064600000001"/>
    <n v="39"/>
    <d v="2023-03-03T00:00:00"/>
    <d v="2023-03-31T00:00:00"/>
    <x v="1"/>
    <n v="334"/>
    <s v="True"/>
    <n v="4831.9464600000001"/>
    <n v="7"/>
    <n v="7144.83"/>
    <n v="7"/>
    <n v="683.95099999999991"/>
    <n v="4103.7059999999992"/>
  </r>
  <r>
    <s v="ORD-2025-649239"/>
    <x v="360"/>
    <d v="2025-01-24T00:00:00"/>
    <n v="7"/>
    <s v="Q1-2025"/>
    <x v="0"/>
    <x v="4"/>
    <s v="Austin"/>
    <s v="Enterprise"/>
    <x v="1"/>
    <x v="6"/>
    <x v="3"/>
    <s v="ACC-4511"/>
    <n v="142.09"/>
    <n v="218.5"/>
    <n v="0.11899999999999999"/>
    <n v="0.11899999999999999"/>
    <n v="11"/>
    <n v="0.5377577591667253"/>
    <n v="2117.4834999999998"/>
    <n v="1562.99"/>
    <n v="554.49349999999981"/>
    <n v="0.26186437816398561"/>
    <s v="Medium"/>
    <n v="2117.4835000000003"/>
    <n v="554.49350000000027"/>
    <n v="43"/>
    <d v="2023-03-03T00:00:00"/>
    <d v="2023-03-31T00:00:00"/>
    <x v="0"/>
    <n v="136"/>
    <s v="False"/>
    <n v="2117.4835000000003"/>
    <n v="13"/>
    <n v="2840.5"/>
    <n v="13"/>
    <n v="163.40349999999998"/>
    <n v="1797.4384999999997"/>
  </r>
  <r>
    <s v="ORD-2025-909340"/>
    <x v="361"/>
    <d v="2025-02-03T00:00:00"/>
    <n v="14"/>
    <s v="Q1-2025"/>
    <x v="0"/>
    <x v="9"/>
    <s v="Brasília"/>
    <s v="Enterprise"/>
    <x v="4"/>
    <x v="7"/>
    <x v="6"/>
    <s v="CMP-8658"/>
    <n v="974.11"/>
    <n v="2035.8898999999999"/>
    <n v="0.111"/>
    <n v="0.111"/>
    <n v="10"/>
    <n v="1.0900000000000001"/>
    <n v="18099.061210999997"/>
    <n v="9741.1"/>
    <n v="8357.9612109999962"/>
    <n v="0.46178976431773766"/>
    <s v="High"/>
    <n v="18099.061211"/>
    <n v="8357.9612109999998"/>
    <n v="43"/>
    <d v="2023-03-03T00:00:00"/>
    <d v="2023-03-31T00:00:00"/>
    <x v="1"/>
    <n v="336"/>
    <s v="False"/>
    <n v="18099.061211"/>
    <n v="12"/>
    <n v="24430.678799999998"/>
    <n v="12"/>
    <n v="1120.2265"/>
    <n v="11202.264999999999"/>
  </r>
  <r>
    <s v="ORD-2025-146850"/>
    <x v="362"/>
    <d v="2025-02-14T00:00:00"/>
    <n v="24"/>
    <s v="Q1-2025"/>
    <x v="1"/>
    <x v="7"/>
    <s v="Nairobi"/>
    <s v="Small Business"/>
    <x v="3"/>
    <x v="13"/>
    <x v="3"/>
    <s v="ACC-1659"/>
    <n v="1030.44"/>
    <n v="2562.84"/>
    <n v="0.14799999999999999"/>
    <n v="0.14799999999999999"/>
    <n v="13"/>
    <n v="1.4871317107255153"/>
    <n v="28386.015839999996"/>
    <n v="13395.720000000001"/>
    <n v="14990.295839999995"/>
    <n v="0.52808734852027039"/>
    <s v="High"/>
    <n v="28386.01584"/>
    <n v="14990.295839999999"/>
    <n v="45"/>
    <d v="2023-03-03T00:00:00"/>
    <d v="2023-03-31T00:00:00"/>
    <x v="1"/>
    <n v="337"/>
    <s v="False"/>
    <n v="28386.01584"/>
    <n v="15"/>
    <n v="38442.600000000006"/>
    <n v="15"/>
    <n v="1185.0059999999999"/>
    <n v="15405.077999999998"/>
  </r>
  <r>
    <s v="ORD-2025-578007"/>
    <x v="362"/>
    <d v="2025-02-16T00:00:00"/>
    <n v="26"/>
    <s v="Q1-2025"/>
    <x v="2"/>
    <x v="2"/>
    <s v="Lyon"/>
    <s v="Corporate"/>
    <x v="0"/>
    <x v="5"/>
    <x v="0"/>
    <s v="LAP-3779"/>
    <n v="204.11"/>
    <n v="236.87"/>
    <n v="0.182"/>
    <n v="0.182"/>
    <n v="13"/>
    <n v="0.16050169026505309"/>
    <n v="2518.8755800000004"/>
    <n v="2653.4300000000003"/>
    <n v="-134.55441999999994"/>
    <n v="-5.3418446337075494E-2"/>
    <s v="Low"/>
    <n v="2518.8755800000004"/>
    <n v="-134.55441999999994"/>
    <n v="41"/>
    <d v="2023-03-03T00:00:00"/>
    <d v="2023-03-31T00:00:00"/>
    <x v="1"/>
    <n v="337"/>
    <s v="False"/>
    <n v="2518.8755800000004"/>
    <n v="15"/>
    <n v="3553.05"/>
    <n v="15"/>
    <n v="234.72649999999999"/>
    <n v="3051.4444999999996"/>
  </r>
  <r>
    <s v="ORD-2025-939953"/>
    <x v="363"/>
    <d v="2025-01-22T00:00:00"/>
    <n v="0"/>
    <s v="Q1-2025"/>
    <x v="2"/>
    <x v="2"/>
    <s v="Lyon"/>
    <s v="Small Business"/>
    <x v="1"/>
    <x v="0"/>
    <x v="3"/>
    <s v="ACC-5422"/>
    <n v="591.72"/>
    <n v="1029.5928000000001"/>
    <n v="0"/>
    <n v="0"/>
    <n v="22"/>
    <n v="0.7400000000000001"/>
    <n v="22651.041600000004"/>
    <n v="13017.84"/>
    <n v="9633.201600000004"/>
    <n v="0.42528735632183917"/>
    <s v="Medium"/>
    <n v="22651.041600000004"/>
    <n v="9633.201600000004"/>
    <n v="41"/>
    <d v="2023-03-03T00:00:00"/>
    <d v="2023-03-31T00:00:00"/>
    <x v="0"/>
    <n v="137"/>
    <s v="False"/>
    <n v="22651.041600000004"/>
    <n v="26"/>
    <n v="26769.412800000002"/>
    <n v="26"/>
    <n v="680.47799999999995"/>
    <n v="14970.516"/>
  </r>
  <r>
    <s v="ORD-2025-415018"/>
    <x v="363"/>
    <d v="2025-02-04T00:00:00"/>
    <n v="13"/>
    <s v="Q1-2025"/>
    <x v="3"/>
    <x v="11"/>
    <s v="Tokyo"/>
    <s v="Small Business"/>
    <x v="0"/>
    <x v="9"/>
    <x v="1"/>
    <s v="PRN-2991"/>
    <n v="122.29"/>
    <n v="224.95"/>
    <n v="0.153"/>
    <n v="0.153"/>
    <n v="28"/>
    <n v="0.83947992476899158"/>
    <n v="5334.9141999999993"/>
    <n v="3424.1200000000003"/>
    <n v="1910.7941999999989"/>
    <n v="0.3581677471026618"/>
    <s v="High"/>
    <n v="5334.9141999999993"/>
    <n v="1910.7941999999989"/>
    <n v="40"/>
    <d v="2023-03-03T00:00:00"/>
    <d v="2023-03-31T00:00:00"/>
    <x v="1"/>
    <n v="339"/>
    <s v="False"/>
    <n v="5334.9141999999993"/>
    <n v="33"/>
    <n v="7423.3499999999995"/>
    <n v="33"/>
    <n v="140.6335"/>
    <n v="3937.7379999999998"/>
  </r>
  <r>
    <s v="ORD-2025-328504"/>
    <x v="364"/>
    <d v="2025-02-15T00:00:00"/>
    <n v="19"/>
    <s v="Q1-2025"/>
    <x v="3"/>
    <x v="3"/>
    <s v="Shenzhen"/>
    <s v="Non-Profit"/>
    <x v="2"/>
    <x v="9"/>
    <x v="2"/>
    <s v="PHN-8368"/>
    <n v="1253.22"/>
    <n v="3104.71"/>
    <n v="0"/>
    <n v="0"/>
    <n v="17"/>
    <n v="1.4773862530122404"/>
    <n v="52780.07"/>
    <n v="21304.74"/>
    <n v="31475.329999999998"/>
    <n v="0.59634877331538205"/>
    <s v="High"/>
    <n v="52780.07"/>
    <n v="31475.329999999998"/>
    <n v="42"/>
    <d v="2023-03-03T00:00:00"/>
    <d v="2023-03-31T00:00:00"/>
    <x v="1"/>
    <n v="340"/>
    <s v="False"/>
    <n v="52780.07"/>
    <n v="20"/>
    <n v="62094.2"/>
    <n v="20"/>
    <n v="1441.203"/>
    <n v="24500.451000000001"/>
  </r>
  <r>
    <s v="ORD-2025-564184"/>
    <x v="365"/>
    <d v="2025-02-06T00:00:00"/>
    <n v="8"/>
    <s v="Q1-2025"/>
    <x v="1"/>
    <x v="7"/>
    <s v="Kisumu"/>
    <s v="Education"/>
    <x v="3"/>
    <x v="0"/>
    <x v="2"/>
    <s v="PHN-1671"/>
    <n v="1445.27"/>
    <n v="2691.45"/>
    <n v="0"/>
    <n v="0"/>
    <n v="9"/>
    <n v="0.86224719256609483"/>
    <n v="24223.05"/>
    <n v="13007.43"/>
    <n v="11215.619999999999"/>
    <n v="0.46301436028906351"/>
    <s v="High"/>
    <n v="24223.05"/>
    <n v="11215.619999999999"/>
    <n v="46"/>
    <d v="2023-03-03T00:00:00"/>
    <d v="2023-03-31T00:00:00"/>
    <x v="1"/>
    <n v="341"/>
    <s v="False"/>
    <n v="24223.05"/>
    <n v="10"/>
    <n v="26914.5"/>
    <n v="10"/>
    <n v="1662.0604999999998"/>
    <n v="14958.544499999998"/>
  </r>
  <r>
    <s v="ORD-2025-192876"/>
    <x v="366"/>
    <d v="2025-02-17T00:00:00"/>
    <n v="17"/>
    <s v="Q1-2025"/>
    <x v="2"/>
    <x v="6"/>
    <s v="London"/>
    <s v="Enterprise"/>
    <x v="3"/>
    <x v="4"/>
    <x v="6"/>
    <s v="CMP-5820"/>
    <n v="378.26"/>
    <n v="541.55999999999995"/>
    <n v="0.16300000000000001"/>
    <n v="0.16300000000000001"/>
    <n v="25"/>
    <n v="0.43171363612330133"/>
    <n v="11332.142999999998"/>
    <n v="9456.5"/>
    <n v="1875.6429999999982"/>
    <n v="0.16551529573885526"/>
    <s v="Medium"/>
    <n v="11332.142999999998"/>
    <n v="1875.6429999999982"/>
    <n v="41"/>
    <d v="2023-03-03T00:00:00"/>
    <d v="2023-03-31T00:00:00"/>
    <x v="1"/>
    <n v="342"/>
    <s v="False"/>
    <n v="11332.142999999998"/>
    <n v="30"/>
    <n v="16246.8"/>
    <n v="30"/>
    <n v="434.99899999999997"/>
    <n v="10874.974999999999"/>
  </r>
  <r>
    <s v="ORD-2025-898843"/>
    <x v="367"/>
    <d v="2025-03-04T00:00:00"/>
    <n v="30"/>
    <s v="Q1-2025"/>
    <x v="3"/>
    <x v="11"/>
    <s v="Osaka"/>
    <s v="Education"/>
    <x v="0"/>
    <x v="9"/>
    <x v="3"/>
    <s v="ACC-9591"/>
    <n v="766.59"/>
    <n v="1912.8"/>
    <n v="0.19600000000000001"/>
    <n v="0.19600000000000001"/>
    <n v="5"/>
    <n v="1.4952060423433648"/>
    <n v="7689.4560000000001"/>
    <n v="3832.9500000000003"/>
    <n v="3856.5059999999999"/>
    <n v="0.50153170783472845"/>
    <s v="High"/>
    <n v="7689.4560000000001"/>
    <n v="3856.5059999999999"/>
    <n v="41"/>
    <d v="2023-03-03T00:00:00"/>
    <d v="2023-03-31T00:00:00"/>
    <x v="1"/>
    <n v="343"/>
    <s v="False"/>
    <n v="7689.4560000000001"/>
    <n v="6"/>
    <n v="11476.8"/>
    <n v="6"/>
    <n v="881.57849999999996"/>
    <n v="4407.8924999999999"/>
  </r>
  <r>
    <s v="ORD-2025-964661"/>
    <x v="368"/>
    <d v="2025-02-25T00:00:00"/>
    <n v="21"/>
    <s v="Q1-2025"/>
    <x v="2"/>
    <x v="6"/>
    <s v="Birmingham"/>
    <s v="Corporate"/>
    <x v="4"/>
    <x v="2"/>
    <x v="5"/>
    <s v="MON-4959"/>
    <n v="1016.32"/>
    <n v="2253.42"/>
    <n v="5.5E-2"/>
    <n v="5.5E-2"/>
    <n v="12"/>
    <n v="1.2172347292191434"/>
    <n v="25553.782800000001"/>
    <n v="12195.84"/>
    <n v="13357.942800000001"/>
    <n v="0.52273837124419797"/>
    <s v="High"/>
    <n v="25553.782799999997"/>
    <n v="13357.942799999997"/>
    <n v="43"/>
    <d v="2023-03-03T00:00:00"/>
    <d v="2023-03-31T00:00:00"/>
    <x v="1"/>
    <n v="343"/>
    <s v="False"/>
    <n v="25553.782799999997"/>
    <n v="14"/>
    <n v="31547.88"/>
    <n v="14"/>
    <n v="1168.768"/>
    <n v="14025.216"/>
  </r>
  <r>
    <s v="ORD-2025-659650"/>
    <x v="368"/>
    <d v="2025-02-08T00:00:00"/>
    <n v="4"/>
    <s v="Q1-2025"/>
    <x v="2"/>
    <x v="6"/>
    <s v="Manchester"/>
    <s v="Enterprise"/>
    <x v="4"/>
    <x v="9"/>
    <x v="4"/>
    <s v="NET-2502"/>
    <n v="586.21"/>
    <n v="727.22"/>
    <n v="6.8000000000000005E-2"/>
    <n v="6.8000000000000005E-2"/>
    <n v="15"/>
    <n v="0.24054519711366232"/>
    <n v="10166.535600000001"/>
    <n v="8793.1500000000015"/>
    <n v="1373.3855999999996"/>
    <n v="0.13508884973559721"/>
    <s v="Low"/>
    <n v="10166.535600000001"/>
    <n v="1373.3855999999996"/>
    <n v="43"/>
    <d v="2023-03-03T00:00:00"/>
    <d v="2023-03-31T00:00:00"/>
    <x v="0"/>
    <n v="138"/>
    <s v="False"/>
    <n v="10166.535600000001"/>
    <n v="18"/>
    <n v="13089.960000000001"/>
    <n v="18"/>
    <n v="674.14149999999995"/>
    <n v="10112.122499999999"/>
  </r>
  <r>
    <s v="ORD-2025-915869"/>
    <x v="369"/>
    <d v="2025-02-15T00:00:00"/>
    <n v="9"/>
    <s v="Q1-2025"/>
    <x v="0"/>
    <x v="9"/>
    <s v="São Paulo"/>
    <s v="Non-Profit"/>
    <x v="0"/>
    <x v="7"/>
    <x v="4"/>
    <s v="NET-5482"/>
    <n v="837.39"/>
    <n v="1905.42"/>
    <n v="3.2000000000000001E-2"/>
    <n v="3.2000000000000001E-2"/>
    <n v="18"/>
    <n v="1.2754272202916206"/>
    <n v="33200.038079999998"/>
    <n v="15073.02"/>
    <n v="18127.018079999998"/>
    <n v="0.54599389423350919"/>
    <s v="High"/>
    <n v="33200.038079999998"/>
    <n v="18127.018079999998"/>
    <n v="44"/>
    <d v="2023-03-03T00:00:00"/>
    <d v="2023-03-31T00:00:00"/>
    <x v="1"/>
    <n v="345"/>
    <s v="False"/>
    <n v="33200.038079999998"/>
    <n v="21"/>
    <n v="40013.82"/>
    <n v="21"/>
    <n v="962.99849999999992"/>
    <n v="17333.972999999998"/>
  </r>
  <r>
    <s v="ORD-2025-460466"/>
    <x v="370"/>
    <d v="2025-02-16T00:00:00"/>
    <n v="9"/>
    <s v="Q1-2025"/>
    <x v="1"/>
    <x v="5"/>
    <s v="Lagos"/>
    <s v="Small Business"/>
    <x v="0"/>
    <x v="11"/>
    <x v="1"/>
    <s v="PRN-1882"/>
    <n v="90.68"/>
    <n v="118.17"/>
    <n v="0.13500000000000001"/>
    <n v="0.13500000000000001"/>
    <n v="21"/>
    <n v="0.30315394794883099"/>
    <n v="2146.5580500000001"/>
    <n v="1904.2800000000002"/>
    <n v="242.27804999999989"/>
    <n v="0.11286815653552899"/>
    <s v="Medium"/>
    <n v="2146.5580500000001"/>
    <n v="242.27804999999989"/>
    <n v="32"/>
    <d v="2023-03-03T00:00:00"/>
    <d v="2023-03-31T00:00:00"/>
    <x v="1"/>
    <n v="346"/>
    <s v="False"/>
    <n v="2146.5580500000001"/>
    <n v="25"/>
    <n v="2954.25"/>
    <n v="25"/>
    <n v="104.282"/>
    <n v="2189.922"/>
  </r>
  <r>
    <s v="ORD-2025-931538"/>
    <x v="371"/>
    <d v="2025-03-01T00:00:00"/>
    <n v="20"/>
    <s v="Q1-2025"/>
    <x v="0"/>
    <x v="9"/>
    <s v="São Paulo"/>
    <s v="Corporate"/>
    <x v="0"/>
    <x v="0"/>
    <x v="0"/>
    <s v="LAP-6989"/>
    <n v="1154.6400000000001"/>
    <n v="2794.13"/>
    <n v="3.5000000000000003E-2"/>
    <n v="3.5000000000000003E-2"/>
    <n v="11"/>
    <n v="1.419914432203977"/>
    <n v="29659.68995"/>
    <n v="12701.04"/>
    <n v="16958.649949999999"/>
    <n v="0.57177435025749479"/>
    <s v="High"/>
    <n v="29659.68995"/>
    <n v="16958.649949999999"/>
    <n v="46"/>
    <d v="2023-03-03T00:00:00"/>
    <d v="2023-03-31T00:00:00"/>
    <x v="1"/>
    <n v="347"/>
    <s v="False"/>
    <n v="29659.68995"/>
    <n v="13"/>
    <n v="36323.69"/>
    <n v="13"/>
    <n v="1327.836"/>
    <n v="14606.196"/>
  </r>
  <r>
    <s v="ORD-2025-650719"/>
    <x v="372"/>
    <d v="2025-02-28T00:00:00"/>
    <n v="16"/>
    <s v="Q1-2025"/>
    <x v="0"/>
    <x v="9"/>
    <s v="São Paulo"/>
    <s v="Non-Profit"/>
    <x v="2"/>
    <x v="0"/>
    <x v="5"/>
    <s v="MON-5179"/>
    <n v="414.95"/>
    <n v="1027.73"/>
    <n v="6.3E-2"/>
    <n v="6.3E-2"/>
    <n v="8"/>
    <n v="1.4767562356910471"/>
    <n v="7703.8640800000003"/>
    <n v="3319.6"/>
    <n v="4384.2640800000008"/>
    <n v="0.56909935513815568"/>
    <s v="High"/>
    <n v="7703.8640800000003"/>
    <n v="4384.2640800000008"/>
    <n v="46"/>
    <d v="2023-03-03T00:00:00"/>
    <d v="2023-03-31T00:00:00"/>
    <x v="1"/>
    <n v="348"/>
    <s v="False"/>
    <n v="7703.8640800000003"/>
    <n v="9"/>
    <n v="9249.57"/>
    <n v="9"/>
    <n v="477.19249999999994"/>
    <n v="3817.5399999999995"/>
  </r>
  <r>
    <s v="ORD-2025-332931"/>
    <x v="373"/>
    <d v="2025-03-01T00:00:00"/>
    <n v="14"/>
    <s v="Q1-2025"/>
    <x v="1"/>
    <x v="7"/>
    <s v="Mombasa"/>
    <s v="Education"/>
    <x v="2"/>
    <x v="9"/>
    <x v="3"/>
    <s v="ACC-5144"/>
    <n v="1162.8599999999999"/>
    <n v="1447.68"/>
    <n v="8.6999999999999994E-2"/>
    <n v="8.6999999999999994E-2"/>
    <n v="12"/>
    <n v="0.24493060213611284"/>
    <n v="15860.782080000001"/>
    <n v="13954.32"/>
    <n v="1906.4620800000012"/>
    <n v="0.12019975247021369"/>
    <s v="Low"/>
    <n v="15860.782080000001"/>
    <n v="1906.4620800000012"/>
    <n v="47"/>
    <d v="2023-03-03T00:00:00"/>
    <d v="2023-03-31T00:00:00"/>
    <x v="1"/>
    <n v="349"/>
    <s v="False"/>
    <n v="15860.782080000001"/>
    <n v="14"/>
    <n v="20267.52"/>
    <n v="14"/>
    <n v="1337.2889999999998"/>
    <n v="16047.467999999997"/>
  </r>
  <r>
    <s v="ORD-2025-281062"/>
    <x v="373"/>
    <d v="2025-02-27T00:00:00"/>
    <n v="12"/>
    <s v="Q1-2025"/>
    <x v="2"/>
    <x v="2"/>
    <s v="Lyon"/>
    <s v="Non-Profit"/>
    <x v="2"/>
    <x v="10"/>
    <x v="3"/>
    <s v="ACC-1604"/>
    <n v="1027.26"/>
    <n v="2200.41"/>
    <n v="8.7999999999999995E-2"/>
    <n v="8.7999999999999995E-2"/>
    <n v="6"/>
    <n v="1.1420185736814437"/>
    <n v="12040.64352"/>
    <n v="6163.5599999999995"/>
    <n v="5877.0835200000001"/>
    <n v="0.48810377204822358"/>
    <s v="High"/>
    <n v="12040.64352"/>
    <n v="5877.0835200000001"/>
    <n v="42"/>
    <d v="2023-03-03T00:00:00"/>
    <d v="2023-03-31T00:00:00"/>
    <x v="1"/>
    <n v="349"/>
    <s v="False"/>
    <n v="12040.64352"/>
    <n v="7"/>
    <n v="15402.869999999999"/>
    <n v="7"/>
    <n v="1181.3489999999999"/>
    <n v="7088.0939999999991"/>
  </r>
  <r>
    <s v="ORD-2025-766923"/>
    <x v="373"/>
    <d v="2025-02-15T00:00:00"/>
    <n v="0"/>
    <s v="Q1-2025"/>
    <x v="2"/>
    <x v="8"/>
    <s v="Frankfurt"/>
    <s v="Small Business"/>
    <x v="4"/>
    <x v="9"/>
    <x v="3"/>
    <s v="ACC-3989"/>
    <n v="815.83"/>
    <n v="1982.18"/>
    <n v="0.127"/>
    <n v="0.127"/>
    <n v="6"/>
    <n v="1.4296483335989114"/>
    <n v="10382.65884"/>
    <n v="4894.9800000000005"/>
    <n v="5487.6788399999996"/>
    <n v="0.52854272923408507"/>
    <s v="High"/>
    <n v="10382.65884"/>
    <n v="5487.6788399999996"/>
    <n v="39"/>
    <d v="2023-03-03T00:00:00"/>
    <d v="2023-03-31T00:00:00"/>
    <x v="0"/>
    <n v="140"/>
    <s v="False"/>
    <n v="10382.65884"/>
    <n v="7"/>
    <n v="13875.26"/>
    <n v="7"/>
    <n v="938.20449999999994"/>
    <n v="5629.2269999999999"/>
  </r>
  <r>
    <s v="ORD-2025-705398"/>
    <x v="373"/>
    <d v="2025-02-17T00:00:00"/>
    <n v="2"/>
    <s v="Q1-2025"/>
    <x v="0"/>
    <x v="0"/>
    <s v="Toronto"/>
    <s v="Small Business"/>
    <x v="3"/>
    <x v="2"/>
    <x v="6"/>
    <s v="CMP-5065"/>
    <n v="1133.47"/>
    <n v="1698.75"/>
    <n v="4.2999999999999997E-2"/>
    <n v="4.2999999999999997E-2"/>
    <n v="5"/>
    <n v="0.49871633126593556"/>
    <n v="8128.5187499999993"/>
    <n v="5667.35"/>
    <n v="2461.1687499999989"/>
    <n v="0.30278194904821976"/>
    <s v="Medium"/>
    <n v="8128.5187499999993"/>
    <n v="2461.1687499999989"/>
    <n v="33"/>
    <d v="2023-03-03T00:00:00"/>
    <d v="2023-03-31T00:00:00"/>
    <x v="0"/>
    <n v="140"/>
    <s v="False"/>
    <n v="8128.5187499999993"/>
    <n v="6"/>
    <n v="10192.5"/>
    <n v="6"/>
    <n v="1303.4904999999999"/>
    <n v="6517.4524999999994"/>
  </r>
  <r>
    <s v="ORD-2025-337268"/>
    <x v="374"/>
    <d v="2025-03-17T00:00:00"/>
    <n v="29"/>
    <s v="Q1-2025"/>
    <x v="2"/>
    <x v="8"/>
    <s v="Munich"/>
    <s v="Consumer"/>
    <x v="3"/>
    <x v="9"/>
    <x v="3"/>
    <s v="ACC-5150"/>
    <n v="730.42"/>
    <n v="956.7"/>
    <n v="4.2000000000000003E-2"/>
    <n v="4.2000000000000003E-2"/>
    <n v="22"/>
    <n v="0.30979436488595619"/>
    <n v="20163.409200000002"/>
    <n v="16069.24"/>
    <n v="4094.1692000000021"/>
    <n v="0.20304945256975698"/>
    <s v="Medium"/>
    <n v="20163.409199999998"/>
    <n v="4094.1691999999985"/>
    <n v="40"/>
    <d v="2023-03-03T00:00:00"/>
    <d v="2023-03-31T00:00:00"/>
    <x v="1"/>
    <n v="351"/>
    <s v="False"/>
    <n v="20163.409199999998"/>
    <n v="26"/>
    <n v="24874.2"/>
    <n v="26"/>
    <n v="839.98299999999983"/>
    <n v="18479.625999999997"/>
  </r>
  <r>
    <s v="ORD-2025-484073"/>
    <x v="375"/>
    <d v="2025-03-09T00:00:00"/>
    <n v="18"/>
    <s v="Q1-2025"/>
    <x v="3"/>
    <x v="10"/>
    <s v="Delhi"/>
    <s v="Small Business"/>
    <x v="2"/>
    <x v="5"/>
    <x v="5"/>
    <s v="MON-1436"/>
    <n v="325.87"/>
    <n v="538.79"/>
    <n v="0.17399999999999999"/>
    <n v="0.17399999999999999"/>
    <n v="16"/>
    <n v="0.65338938840641958"/>
    <n v="7120.6486400000003"/>
    <n v="5213.92"/>
    <n v="1906.7286400000003"/>
    <n v="0.26777457172778013"/>
    <s v="Medium"/>
    <n v="7120.6486400000003"/>
    <n v="1906.7286400000003"/>
    <n v="47"/>
    <d v="2023-03-03T00:00:00"/>
    <d v="2023-03-31T00:00:00"/>
    <x v="1"/>
    <n v="352"/>
    <s v="False"/>
    <n v="7120.6486400000003"/>
    <n v="19"/>
    <n v="10237.009999999998"/>
    <n v="19"/>
    <n v="374.75049999999999"/>
    <n v="5996.0079999999998"/>
  </r>
  <r>
    <s v="ORD-2025-881624"/>
    <x v="376"/>
    <d v="2025-03-21T00:00:00"/>
    <n v="28"/>
    <s v="Q1-2025"/>
    <x v="1"/>
    <x v="5"/>
    <s v="Abuja"/>
    <s v="Enterprise"/>
    <x v="4"/>
    <x v="12"/>
    <x v="2"/>
    <s v="PHN-5887"/>
    <n v="1437.39"/>
    <n v="2687.9193000000005"/>
    <n v="0.13800000000000001"/>
    <n v="0.13800000000000001"/>
    <n v="18"/>
    <n v="0.87000000000000022"/>
    <n v="41705.75585880001"/>
    <n v="25873.02"/>
    <n v="15832.73585880001"/>
    <n v="0.3796295147462066"/>
    <s v="High"/>
    <n v="41705.755858800003"/>
    <n v="15832.735858800002"/>
    <n v="33"/>
    <d v="2023-03-03T00:00:00"/>
    <d v="2023-03-31T00:00:00"/>
    <x v="1"/>
    <n v="353"/>
    <s v="False"/>
    <n v="41705.755858800003"/>
    <n v="21"/>
    <n v="56446.305300000007"/>
    <n v="21"/>
    <n v="1652.9984999999999"/>
    <n v="29753.972999999998"/>
  </r>
  <r>
    <s v="ORD-2025-276968"/>
    <x v="377"/>
    <d v="2025-03-17T00:00:00"/>
    <n v="20"/>
    <s v="Q1-2025"/>
    <x v="0"/>
    <x v="4"/>
    <s v="San Francisco"/>
    <s v="Non-Profit"/>
    <x v="4"/>
    <x v="4"/>
    <x v="2"/>
    <s v="PHN-1044"/>
    <n v="1205.26"/>
    <n v="1696.35"/>
    <n v="1.9E-2"/>
    <n v="1.9E-2"/>
    <n v="6"/>
    <n v="0.40745565272223416"/>
    <n v="9984.7160999999978"/>
    <n v="7231.5599999999995"/>
    <n v="2753.1560999999983"/>
    <n v="0.27573704374028213"/>
    <s v="Medium"/>
    <n v="9984.7160999999996"/>
    <n v="2753.1561000000002"/>
    <n v="44"/>
    <d v="2023-03-03T00:00:00"/>
    <d v="2023-03-31T00:00:00"/>
    <x v="1"/>
    <n v="354"/>
    <s v="False"/>
    <n v="9984.7160999999996"/>
    <n v="7"/>
    <n v="11874.449999999999"/>
    <n v="7"/>
    <n v="1386.049"/>
    <n v="8316.2939999999999"/>
  </r>
  <r>
    <s v="ORD-2025-728935"/>
    <x v="378"/>
    <d v="2025-03-10T00:00:00"/>
    <n v="10"/>
    <s v="Q1-2025"/>
    <x v="3"/>
    <x v="11"/>
    <s v="Osaka"/>
    <s v="Education"/>
    <x v="0"/>
    <x v="8"/>
    <x v="0"/>
    <s v="LAP-3017"/>
    <n v="51.86"/>
    <n v="88.161999999999992"/>
    <n v="0.17299999999999999"/>
    <n v="0.17299999999999999"/>
    <n v="7"/>
    <n v="0.69999999999999984"/>
    <n v="510.3698179999999"/>
    <n v="363.02"/>
    <n v="147.34981799999991"/>
    <n v="0.2887118571733408"/>
    <s v="Medium"/>
    <n v="510.36981799999995"/>
    <n v="147.34981799999997"/>
    <n v="42"/>
    <d v="2023-03-03T00:00:00"/>
    <d v="2023-03-31T00:00:00"/>
    <x v="1"/>
    <n v="355"/>
    <s v="False"/>
    <n v="510.36981799999995"/>
    <n v="8"/>
    <n v="705.29599999999994"/>
    <n v="8"/>
    <n v="59.638999999999996"/>
    <n v="417.47299999999996"/>
  </r>
  <r>
    <s v="ORD-2025-501927"/>
    <x v="379"/>
    <d v="2025-03-24T00:00:00"/>
    <n v="21"/>
    <s v="Q1-2025"/>
    <x v="1"/>
    <x v="5"/>
    <s v="Abuja"/>
    <s v="Enterprise"/>
    <x v="2"/>
    <x v="4"/>
    <x v="3"/>
    <s v="ACC-4056"/>
    <n v="555.95000000000005"/>
    <n v="1045.1859999999999"/>
    <n v="0.14199999999999999"/>
    <n v="0.14199999999999999"/>
    <n v="11"/>
    <n v="0.87999999999999967"/>
    <n v="9864.4654679999985"/>
    <n v="6115.4500000000007"/>
    <n v="3749.0154679999978"/>
    <n v="0.38005257154193306"/>
    <s v="High"/>
    <n v="9864.4654679999985"/>
    <n v="3749.0154679999978"/>
    <n v="34"/>
    <d v="2023-03-03T00:00:00"/>
    <d v="2023-03-31T00:00:00"/>
    <x v="1"/>
    <n v="356"/>
    <s v="False"/>
    <n v="9864.4654679999985"/>
    <n v="13"/>
    <n v="13587.418"/>
    <n v="13"/>
    <n v="639.34249999999997"/>
    <n v="7032.7674999999999"/>
  </r>
  <r>
    <s v="ORD-2025-487261"/>
    <x v="380"/>
    <d v="2025-03-31T00:00:00"/>
    <n v="25"/>
    <s v="Q1-2025"/>
    <x v="0"/>
    <x v="9"/>
    <s v="Brasília"/>
    <s v="Non-Profit"/>
    <x v="1"/>
    <x v="13"/>
    <x v="6"/>
    <s v="CMP-3693"/>
    <n v="331.57"/>
    <n v="548.4"/>
    <n v="9.4E-2"/>
    <n v="9.4E-2"/>
    <n v="10"/>
    <n v="0.65394939228518867"/>
    <n v="4968.5039999999999"/>
    <n v="3315.7"/>
    <n v="1652.8040000000001"/>
    <n v="0.33265626836568918"/>
    <s v="Medium"/>
    <n v="4968.5039999999999"/>
    <n v="1652.8040000000001"/>
    <n v="47"/>
    <d v="2023-03-03T00:00:00"/>
    <d v="2023-03-31T00:00:00"/>
    <x v="1"/>
    <n v="356"/>
    <s v="False"/>
    <n v="4968.5039999999999"/>
    <n v="12"/>
    <n v="6580.7999999999993"/>
    <n v="12"/>
    <n v="381.30549999999994"/>
    <n v="3813.0549999999994"/>
  </r>
  <r>
    <s v="ORD-2025-512310"/>
    <x v="381"/>
    <d v="2025-03-15T00:00:00"/>
    <n v="7"/>
    <s v="Q1-2025"/>
    <x v="3"/>
    <x v="10"/>
    <s v="Bengaluru"/>
    <s v="Corporate"/>
    <x v="0"/>
    <x v="10"/>
    <x v="0"/>
    <s v="LAP-8119"/>
    <n v="475.66"/>
    <n v="529.14"/>
    <n v="0.19600000000000001"/>
    <n v="0.19600000000000001"/>
    <n v="11"/>
    <n v="0.11243325064121422"/>
    <n v="4679.7141600000004"/>
    <n v="5232.26"/>
    <n v="-552.54583999999977"/>
    <n v="-0.11807256193613323"/>
    <s v="Low"/>
    <n v="4679.7141600000004"/>
    <n v="-552.54583999999977"/>
    <n v="48"/>
    <d v="2023-03-03T00:00:00"/>
    <d v="2023-03-31T00:00:00"/>
    <x v="0"/>
    <n v="141"/>
    <s v="False"/>
    <n v="4679.7141600000004"/>
    <n v="13"/>
    <n v="6878.82"/>
    <n v="13"/>
    <n v="547.00900000000001"/>
    <n v="6017.0990000000002"/>
  </r>
  <r>
    <s v="ORD-2025-680118"/>
    <x v="382"/>
    <d v="2025-03-27T00:00:00"/>
    <n v="17"/>
    <s v="Q1-2025"/>
    <x v="0"/>
    <x v="9"/>
    <s v="Rio de Janeiro"/>
    <s v="Enterprise"/>
    <x v="2"/>
    <x v="7"/>
    <x v="4"/>
    <s v="NET-6269"/>
    <n v="996.73"/>
    <n v="1217.43"/>
    <n v="7.0000000000000007E-2"/>
    <n v="7.0000000000000007E-2"/>
    <n v="9"/>
    <n v="0.22142405666529555"/>
    <n v="10189.8891"/>
    <n v="8970.57"/>
    <n v="1219.3191000000006"/>
    <n v="0.11965970267527255"/>
    <s v="Low"/>
    <n v="10189.8891"/>
    <n v="1219.3191000000006"/>
    <n v="48"/>
    <d v="2023-03-03T00:00:00"/>
    <d v="2023-03-31T00:00:00"/>
    <x v="1"/>
    <n v="358"/>
    <s v="False"/>
    <n v="10189.8891"/>
    <n v="10"/>
    <n v="12174.300000000001"/>
    <n v="10"/>
    <n v="1146.2394999999999"/>
    <n v="10316.155499999999"/>
  </r>
  <r>
    <s v="ORD-2025-683247"/>
    <x v="382"/>
    <d v="2025-04-04T00:00:00"/>
    <n v="25"/>
    <s v="Q1-2025"/>
    <x v="3"/>
    <x v="11"/>
    <s v="Osaka"/>
    <s v="Corporate"/>
    <x v="2"/>
    <x v="4"/>
    <x v="1"/>
    <s v="PRN-9867"/>
    <n v="783.72"/>
    <n v="1355.94"/>
    <n v="0.187"/>
    <n v="0.187"/>
    <n v="4"/>
    <n v="0.73013321084060634"/>
    <n v="4409.5168800000001"/>
    <n v="3134.88"/>
    <n v="1274.63688"/>
    <n v="0.28906497348525856"/>
    <s v="Medium"/>
    <n v="4409.5168800000001"/>
    <n v="1274.63688"/>
    <n v="44"/>
    <d v="2023-03-03T00:00:00"/>
    <d v="2023-03-31T00:00:00"/>
    <x v="1"/>
    <n v="359"/>
    <s v="False"/>
    <n v="4409.5168800000001"/>
    <n v="4"/>
    <n v="5423.76"/>
    <n v="4"/>
    <n v="901.27799999999991"/>
    <n v="3605.1119999999996"/>
  </r>
  <r>
    <s v="ORD-2025-532859"/>
    <x v="383"/>
    <d v="2025-03-27T00:00:00"/>
    <n v="16"/>
    <s v="Q1-2025"/>
    <x v="3"/>
    <x v="11"/>
    <s v="Tokyo"/>
    <s v="Enterprise"/>
    <x v="0"/>
    <x v="0"/>
    <x v="1"/>
    <s v="PRN-5264"/>
    <n v="1317.58"/>
    <n v="1897.74"/>
    <n v="8.1000000000000003E-2"/>
    <n v="8.1000000000000003E-2"/>
    <n v="6"/>
    <n v="0.44032240926547161"/>
    <n v="10464.138360000001"/>
    <n v="7905.48"/>
    <n v="2558.6583600000013"/>
    <n v="0.24451687009230266"/>
    <s v="Medium"/>
    <n v="10464.138360000001"/>
    <n v="2558.6583600000013"/>
    <n v="44"/>
    <d v="2023-03-03T00:00:00"/>
    <d v="2023-03-31T00:00:00"/>
    <x v="1"/>
    <n v="360"/>
    <s v="False"/>
    <n v="10464.138360000001"/>
    <n v="7"/>
    <n v="13284.18"/>
    <n v="7"/>
    <n v="1515.2169999999999"/>
    <n v="9091.3019999999997"/>
  </r>
  <r>
    <s v="ORD-2025-926547"/>
    <x v="383"/>
    <d v="2025-03-26T00:00:00"/>
    <n v="15"/>
    <s v="Q1-2025"/>
    <x v="2"/>
    <x v="8"/>
    <s v="Berlin"/>
    <s v="Small Business"/>
    <x v="1"/>
    <x v="12"/>
    <x v="2"/>
    <s v="PHN-3007"/>
    <n v="116.97"/>
    <n v="140.82"/>
    <n v="0.122"/>
    <n v="0.122"/>
    <n v="5"/>
    <n v="0.20389843549628106"/>
    <n v="618.19979999999987"/>
    <n v="584.85"/>
    <n v="33.349799999999846"/>
    <n v="5.3946636669891926E-2"/>
    <s v="Low"/>
    <n v="618.19979999999998"/>
    <n v="33.349799999999959"/>
    <n v="41"/>
    <d v="2023-03-03T00:00:00"/>
    <d v="2023-03-31T00:00:00"/>
    <x v="1"/>
    <n v="361"/>
    <s v="False"/>
    <n v="618.19979999999998"/>
    <n v="6"/>
    <n v="844.92"/>
    <n v="6"/>
    <n v="134.51549999999997"/>
    <n v="672.57749999999987"/>
  </r>
  <r>
    <s v="ORD-2025-685236"/>
    <x v="384"/>
    <d v="2025-03-29T00:00:00"/>
    <n v="15"/>
    <s v="Q1-2025"/>
    <x v="3"/>
    <x v="11"/>
    <s v="Tokyo"/>
    <s v="Non-Profit"/>
    <x v="2"/>
    <x v="4"/>
    <x v="4"/>
    <s v="NET-8430"/>
    <n v="1106.96"/>
    <n v="2726.62"/>
    <n v="0.09"/>
    <n v="0.09"/>
    <n v="7"/>
    <n v="1.4631603671316036"/>
    <n v="17368.5694"/>
    <n v="7748.72"/>
    <n v="9619.8493999999992"/>
    <n v="0.55386538628794602"/>
    <s v="High"/>
    <n v="17368.5694"/>
    <n v="9619.8493999999992"/>
    <n v="45"/>
    <d v="2023-03-03T00:00:00"/>
    <d v="2023-03-31T00:00:00"/>
    <x v="1"/>
    <n v="362"/>
    <s v="False"/>
    <n v="17368.5694"/>
    <n v="8"/>
    <n v="21812.959999999999"/>
    <n v="8"/>
    <n v="1273.0039999999999"/>
    <n v="8911.0279999999984"/>
  </r>
  <r>
    <s v="ORD-2025-222035"/>
    <x v="384"/>
    <d v="2025-04-08T00:00:00"/>
    <n v="25"/>
    <s v="Q1-2025"/>
    <x v="3"/>
    <x v="3"/>
    <s v="Shanghai"/>
    <s v="Corporate"/>
    <x v="0"/>
    <x v="2"/>
    <x v="1"/>
    <s v="PRN-5815"/>
    <n v="80.59"/>
    <n v="157.82"/>
    <n v="0.217"/>
    <n v="0.217"/>
    <n v="6"/>
    <n v="0.9583074823179053"/>
    <n v="741.43835999999999"/>
    <n v="483.54"/>
    <n v="257.89835999999997"/>
    <n v="0.34783519967863541"/>
    <s v="High"/>
    <n v="741.43835999999999"/>
    <n v="257.89835999999997"/>
    <n v="43"/>
    <d v="2023-03-03T00:00:00"/>
    <d v="2023-03-31T00:00:00"/>
    <x v="1"/>
    <n v="363"/>
    <s v="True"/>
    <n v="741.43835999999999"/>
    <n v="7"/>
    <n v="1104.74"/>
    <n v="7"/>
    <n v="92.6785"/>
    <n v="556.07100000000003"/>
  </r>
  <r>
    <s v="ORD-2025-624006"/>
    <x v="385"/>
    <d v="2025-03-29T00:00:00"/>
    <n v="14"/>
    <s v="Q1-2025"/>
    <x v="3"/>
    <x v="10"/>
    <s v="Mumbai"/>
    <s v="Enterprise"/>
    <x v="2"/>
    <x v="11"/>
    <x v="6"/>
    <s v="CMP-3259"/>
    <n v="935.83"/>
    <n v="2303.46"/>
    <n v="0.105"/>
    <n v="0.105"/>
    <n v="9"/>
    <n v="1.4614085891668358"/>
    <n v="18554.370299999999"/>
    <n v="8422.4700000000012"/>
    <n v="10131.900299999998"/>
    <n v="0.54606543559174292"/>
    <s v="High"/>
    <n v="18554.370300000002"/>
    <n v="10131.900300000001"/>
    <n v="49"/>
    <d v="2023-03-03T00:00:00"/>
    <d v="2023-03-31T00:00:00"/>
    <x v="1"/>
    <n v="364"/>
    <s v="False"/>
    <n v="18554.370300000002"/>
    <n v="10"/>
    <n v="23034.6"/>
    <n v="10"/>
    <n v="1076.2045000000001"/>
    <n v="9685.8405000000002"/>
  </r>
  <r>
    <s v="ORD-2025-125517"/>
    <x v="386"/>
    <d v="2025-04-09T00:00:00"/>
    <n v="19"/>
    <s v="Q1-2025"/>
    <x v="3"/>
    <x v="11"/>
    <s v="Tokyo"/>
    <s v="Small Business"/>
    <x v="0"/>
    <x v="14"/>
    <x v="6"/>
    <s v="CMP-7055"/>
    <n v="1055.45"/>
    <n v="1210.04"/>
    <n v="8.9999999999999993E-3"/>
    <n v="8.9999999999999993E-3"/>
    <n v="18"/>
    <n v="0.14646833104363061"/>
    <n v="21584.693520000001"/>
    <n v="18998.100000000002"/>
    <n v="2586.5935199999985"/>
    <n v="0.1198346188053727"/>
    <s v="Low"/>
    <n v="21584.693519999997"/>
    <n v="2586.5935199999949"/>
    <n v="46"/>
    <d v="2023-03-03T00:00:00"/>
    <d v="2023-03-31T00:00:00"/>
    <x v="1"/>
    <n v="365"/>
    <s v="False"/>
    <n v="21584.693519999997"/>
    <n v="21"/>
    <n v="25410.84"/>
    <n v="21"/>
    <n v="1213.7674999999999"/>
    <n v="21847.814999999999"/>
  </r>
  <r>
    <s v="ORD-2025-947929"/>
    <x v="387"/>
    <d v="2025-04-02T00:00:00"/>
    <n v="10"/>
    <s v="Q1-2025"/>
    <x v="2"/>
    <x v="8"/>
    <s v="Berlin"/>
    <s v="Enterprise"/>
    <x v="1"/>
    <x v="14"/>
    <x v="1"/>
    <s v="PRN-3159"/>
    <n v="663.61"/>
    <n v="1002.11"/>
    <n v="4.5999999999999999E-2"/>
    <n v="4.5999999999999999E-2"/>
    <n v="17"/>
    <n v="0.51008875695061862"/>
    <n v="16252.219979999998"/>
    <n v="11281.37"/>
    <n v="4970.8499799999972"/>
    <n v="0.30585667595670812"/>
    <s v="Medium"/>
    <n v="16252.21998"/>
    <n v="4970.8499799999991"/>
    <n v="42"/>
    <d v="2023-03-03T00:00:00"/>
    <d v="2023-03-31T00:00:00"/>
    <x v="1"/>
    <n v="365"/>
    <s v="False"/>
    <n v="16252.21998"/>
    <n v="20"/>
    <n v="20042.2"/>
    <n v="20"/>
    <n v="763.15149999999994"/>
    <n v="12973.575499999999"/>
  </r>
  <r>
    <s v="ORD-2025-331237"/>
    <x v="388"/>
    <d v="2025-03-25T00:00:00"/>
    <n v="1"/>
    <s v="Q1-2025"/>
    <x v="3"/>
    <x v="3"/>
    <s v="Beijing"/>
    <s v="Non-Profit"/>
    <x v="1"/>
    <x v="6"/>
    <x v="4"/>
    <s v="NET-8329"/>
    <n v="1133.03"/>
    <n v="1921.51"/>
    <n v="0.10100000000000001"/>
    <n v="0.10100000000000001"/>
    <n v="5"/>
    <n v="0.6959039036918705"/>
    <n v="8637.1874499999994"/>
    <n v="5665.15"/>
    <n v="2972.0374499999998"/>
    <n v="0.3440978289755654"/>
    <s v="Medium"/>
    <n v="8637.1874499999994"/>
    <n v="2972.0374499999998"/>
    <n v="44"/>
    <d v="2023-03-03T00:00:00"/>
    <d v="2023-03-31T00:00:00"/>
    <x v="0"/>
    <n v="142"/>
    <s v="False"/>
    <n v="8637.1874499999994"/>
    <n v="6"/>
    <n v="11529.06"/>
    <n v="6"/>
    <n v="1302.9844999999998"/>
    <n v="6514.9224999999988"/>
  </r>
  <r>
    <s v="ORD-2025-177994"/>
    <x v="388"/>
    <d v="2025-04-04T00:00:00"/>
    <n v="11"/>
    <s v="Q1-2025"/>
    <x v="3"/>
    <x v="10"/>
    <s v="Mumbai"/>
    <s v="Education"/>
    <x v="4"/>
    <x v="13"/>
    <x v="2"/>
    <s v="PHN-4395"/>
    <n v="23.83"/>
    <n v="47.29"/>
    <n v="6.4000000000000001E-2"/>
    <n v="6.4000000000000001E-2"/>
    <n v="19"/>
    <n v="0.98447335291649196"/>
    <n v="841.00536"/>
    <n v="452.77"/>
    <n v="388.23536000000001"/>
    <n v="0.46163244429262618"/>
    <s v="High"/>
    <n v="841.00535999999988"/>
    <n v="388.2353599999999"/>
    <n v="50"/>
    <d v="2023-03-03T00:00:00"/>
    <d v="2023-03-31T00:00:00"/>
    <x v="1"/>
    <n v="366"/>
    <s v="False"/>
    <n v="841.00535999999988"/>
    <n v="22"/>
    <n v="1040.3799999999999"/>
    <n v="22"/>
    <n v="27.404499999999995"/>
    <n v="520.68549999999993"/>
  </r>
  <r>
    <s v="ORD-2025-944081"/>
    <x v="389"/>
    <d v="2025-03-26T00:00:00"/>
    <n v="1"/>
    <s v="Q1-2025"/>
    <x v="1"/>
    <x v="5"/>
    <s v="Lagos"/>
    <s v="Education"/>
    <x v="0"/>
    <x v="6"/>
    <x v="3"/>
    <s v="ACC-9533"/>
    <n v="1450.43"/>
    <n v="1994.67"/>
    <n v="0.1"/>
    <n v="0.1"/>
    <n v="24"/>
    <n v="0.3752266569224299"/>
    <n v="43084.872000000003"/>
    <n v="34810.32"/>
    <n v="8274.5520000000033"/>
    <n v="0.19205237513529116"/>
    <s v="Medium"/>
    <n v="43084.872000000003"/>
    <n v="8274.5520000000033"/>
    <n v="35"/>
    <d v="2023-03-03T00:00:00"/>
    <d v="2023-03-31T00:00:00"/>
    <x v="0"/>
    <n v="143"/>
    <s v="False"/>
    <n v="43084.872000000003"/>
    <n v="28"/>
    <n v="55850.76"/>
    <n v="28"/>
    <n v="1667.9945"/>
    <n v="40031.868000000002"/>
  </r>
  <r>
    <s v="ORD-2025-330203"/>
    <x v="389"/>
    <d v="2025-04-17T00:00:00"/>
    <n v="23"/>
    <s v="Q1-2025"/>
    <x v="2"/>
    <x v="6"/>
    <s v="London"/>
    <s v="Consumer"/>
    <x v="3"/>
    <x v="4"/>
    <x v="4"/>
    <s v="NET-7166"/>
    <n v="1421.19"/>
    <n v="1808.26"/>
    <n v="0.104"/>
    <n v="0.104"/>
    <n v="13"/>
    <n v="0.2723562648203266"/>
    <n v="21062.61248"/>
    <n v="18475.47"/>
    <n v="2587.1424799999986"/>
    <n v="0.12283103449093123"/>
    <s v="Medium"/>
    <n v="21062.612480000003"/>
    <n v="2587.1424800000023"/>
    <n v="44"/>
    <d v="2023-03-03T00:00:00"/>
    <d v="2023-03-31T00:00:00"/>
    <x v="1"/>
    <n v="367"/>
    <s v="False"/>
    <n v="21062.612480000003"/>
    <n v="15"/>
    <n v="27123.9"/>
    <n v="15"/>
    <n v="1634.3685"/>
    <n v="21246.790499999999"/>
  </r>
  <r>
    <s v="ORD-2025-168148"/>
    <x v="390"/>
    <d v="2025-04-02T00:00:00"/>
    <n v="4"/>
    <s v="Q1-2025"/>
    <x v="1"/>
    <x v="5"/>
    <s v="Lagos"/>
    <s v="Non-Profit"/>
    <x v="4"/>
    <x v="6"/>
    <x v="2"/>
    <s v="PHN-4556"/>
    <n v="259.93"/>
    <n v="486.06910000000005"/>
    <n v="7.1999999999999995E-2"/>
    <n v="7.1999999999999995E-2"/>
    <n v="22"/>
    <n v="0.87000000000000011"/>
    <n v="9923.5867456000014"/>
    <n v="5718.46"/>
    <n v="4205.1267456000014"/>
    <n v="0.42375069149917027"/>
    <s v="High"/>
    <n v="9923.5867456000014"/>
    <n v="4205.1267456000014"/>
    <n v="36"/>
    <d v="2023-03-03T00:00:00"/>
    <d v="2023-03-31T00:00:00"/>
    <x v="0"/>
    <n v="144"/>
    <s v="False"/>
    <n v="9923.5867456000014"/>
    <n v="26"/>
    <n v="12637.796600000001"/>
    <n v="26"/>
    <n v="298.91949999999997"/>
    <n v="6576.2289999999994"/>
  </r>
  <r>
    <s v="ORD-2025-473192"/>
    <x v="391"/>
    <d v="2025-04-29T00:00:00"/>
    <n v="30"/>
    <s v="Q1-2025"/>
    <x v="1"/>
    <x v="1"/>
    <s v="Durban"/>
    <s v="Consumer"/>
    <x v="4"/>
    <x v="13"/>
    <x v="5"/>
    <s v="MON-7106"/>
    <n v="194.6"/>
    <n v="314.87"/>
    <n v="0.29299999999999998"/>
    <n v="0.25"/>
    <n v="25"/>
    <n v="0.61803699897225084"/>
    <n v="5565.3272500000003"/>
    <n v="4865"/>
    <n v="700.32725000000028"/>
    <n v="0.1258375686712763"/>
    <s v="Medium"/>
    <n v="5565.3272500000003"/>
    <n v="700.32725000000028"/>
    <n v="36"/>
    <d v="2023-03-03T00:00:00"/>
    <d v="2023-03-31T00:00:00"/>
    <x v="1"/>
    <n v="369"/>
    <s v="True"/>
    <n v="5903.8125"/>
    <n v="30"/>
    <n v="9446.1"/>
    <n v="30"/>
    <n v="223.78999999999996"/>
    <n v="5594.7499999999991"/>
  </r>
  <r>
    <s v="ORD-2025-752845"/>
    <x v="391"/>
    <d v="2025-04-07T00:00:00"/>
    <n v="8"/>
    <s v="Q1-2025"/>
    <x v="0"/>
    <x v="9"/>
    <s v="São Paulo"/>
    <s v="Non-Profit"/>
    <x v="2"/>
    <x v="9"/>
    <x v="1"/>
    <s v="PRN-8763"/>
    <n v="71.62"/>
    <n v="118.37"/>
    <n v="0.156"/>
    <n v="0.156"/>
    <n v="11"/>
    <n v="0.65275062831611275"/>
    <n v="1098.9470800000001"/>
    <n v="787.82"/>
    <n v="311.12708000000009"/>
    <n v="0.28311379652603474"/>
    <s v="Medium"/>
    <n v="1098.9470799999999"/>
    <n v="311.12707999999986"/>
    <n v="49"/>
    <d v="2023-03-03T00:00:00"/>
    <d v="2023-03-31T00:00:00"/>
    <x v="1"/>
    <n v="369"/>
    <s v="False"/>
    <n v="1098.9470799999999"/>
    <n v="13"/>
    <n v="1538.81"/>
    <n v="13"/>
    <n v="82.363"/>
    <n v="905.99299999999994"/>
  </r>
  <r>
    <s v="ORD-2025-662997"/>
    <x v="392"/>
    <d v="2025-04-04T00:00:00"/>
    <n v="4"/>
    <s v="Q1-2025"/>
    <x v="1"/>
    <x v="7"/>
    <s v="Nakuru"/>
    <s v="Corporate"/>
    <x v="2"/>
    <x v="11"/>
    <x v="0"/>
    <s v="LAP-7136"/>
    <n v="862.08"/>
    <n v="1952.83"/>
    <n v="0"/>
    <n v="0"/>
    <n v="7"/>
    <n v="1.2652538047512991"/>
    <n v="13669.81"/>
    <n v="6034.56"/>
    <n v="7635.2499999999991"/>
    <n v="0.5585483631447693"/>
    <s v="High"/>
    <n v="13669.81"/>
    <n v="7635.2499999999991"/>
    <n v="48"/>
    <d v="2023-03-03T00:00:00"/>
    <d v="2023-03-31T00:00:00"/>
    <x v="0"/>
    <n v="145"/>
    <s v="False"/>
    <n v="13669.81"/>
    <n v="8"/>
    <n v="15622.64"/>
    <n v="8"/>
    <n v="991.39199999999994"/>
    <n v="6939.7439999999997"/>
  </r>
  <r>
    <s v="ORD-2025-861401"/>
    <x v="393"/>
    <d v="2025-04-27T00:00:00"/>
    <n v="26"/>
    <s v="Q2-2025"/>
    <x v="0"/>
    <x v="4"/>
    <s v="San Francisco"/>
    <s v="Corporate"/>
    <x v="2"/>
    <x v="12"/>
    <x v="5"/>
    <s v="MON-9319"/>
    <n v="156.55000000000001"/>
    <n v="227.45"/>
    <n v="1.4E-2"/>
    <n v="1.4E-2"/>
    <n v="13"/>
    <n v="0.45289045033535597"/>
    <n v="2915.4540999999999"/>
    <n v="2035.15"/>
    <n v="880.30409999999983"/>
    <n v="0.3019440779396938"/>
    <s v="Medium"/>
    <n v="2915.4540999999999"/>
    <n v="880.30409999999983"/>
    <n v="45"/>
    <d v="2023-03-03T00:00:00"/>
    <d v="2023-03-31T00:00:00"/>
    <x v="1"/>
    <n v="370"/>
    <s v="False"/>
    <n v="2915.4540999999999"/>
    <n v="15"/>
    <n v="3411.75"/>
    <n v="15"/>
    <n v="180.0325"/>
    <n v="2340.4225000000001"/>
  </r>
  <r>
    <s v="ORD-2025-269934"/>
    <x v="394"/>
    <d v="2025-04-10T00:00:00"/>
    <n v="6"/>
    <s v="Q2-2025"/>
    <x v="2"/>
    <x v="6"/>
    <s v="Birmingham"/>
    <s v="Non-Profit"/>
    <x v="2"/>
    <x v="8"/>
    <x v="1"/>
    <s v="PRN-8657"/>
    <n v="290.14"/>
    <n v="490.33659999999998"/>
    <n v="3.4000000000000002E-2"/>
    <n v="3.4000000000000002E-2"/>
    <n v="17"/>
    <n v="0.69"/>
    <n v="8052.3076451999996"/>
    <n v="4932.38"/>
    <n v="3119.9276451999995"/>
    <n v="0.38745758143751452"/>
    <s v="Medium"/>
    <n v="8052.3076451999987"/>
    <n v="3119.9276451999986"/>
    <n v="45"/>
    <d v="2023-03-03T00:00:00"/>
    <d v="2023-03-31T00:00:00"/>
    <x v="0"/>
    <n v="146"/>
    <s v="False"/>
    <n v="8052.3076451999987"/>
    <n v="20"/>
    <n v="9806.732"/>
    <n v="20"/>
    <n v="333.66099999999994"/>
    <n v="5672.2369999999992"/>
  </r>
  <r>
    <s v="ORD-2025-541048"/>
    <x v="394"/>
    <d v="2025-04-13T00:00:00"/>
    <n v="9"/>
    <s v="Q2-2025"/>
    <x v="2"/>
    <x v="8"/>
    <s v="Munich"/>
    <s v="Consumer"/>
    <x v="4"/>
    <x v="7"/>
    <x v="2"/>
    <s v="PHN-3803"/>
    <n v="7.02"/>
    <n v="11.582999999999998"/>
    <n v="0.13400000000000001"/>
    <n v="0.13400000000000001"/>
    <n v="14"/>
    <n v="0.64999999999999991"/>
    <n v="140.43229199999999"/>
    <n v="98.28"/>
    <n v="42.152291999999989"/>
    <n v="0.30016096297851486"/>
    <s v="Medium"/>
    <n v="140.43229199999996"/>
    <n v="42.15229199999996"/>
    <n v="43"/>
    <d v="2023-03-03T00:00:00"/>
    <d v="2023-03-31T00:00:00"/>
    <x v="1"/>
    <n v="372"/>
    <s v="False"/>
    <n v="140.43229199999996"/>
    <n v="16"/>
    <n v="185.32799999999997"/>
    <n v="16"/>
    <n v="8.0729999999999986"/>
    <n v="113.02199999999998"/>
  </r>
  <r>
    <s v="ORD-2025-765220"/>
    <x v="395"/>
    <d v="2025-04-30T00:00:00"/>
    <n v="24"/>
    <s v="Q2-2025"/>
    <x v="0"/>
    <x v="9"/>
    <s v="Brasília"/>
    <s v="Education"/>
    <x v="1"/>
    <x v="10"/>
    <x v="5"/>
    <s v="MON-4925"/>
    <n v="855.78"/>
    <n v="977.38"/>
    <n v="0.14699999999999999"/>
    <n v="0.14699999999999999"/>
    <n v="38"/>
    <n v="0.1420925938909533"/>
    <n v="31680.795320000001"/>
    <n v="32519.64"/>
    <n v="-838.84467999999833"/>
    <n v="-2.6478018355506307E-2"/>
    <s v="Low"/>
    <n v="31680.795320000001"/>
    <n v="-838.84467999999833"/>
    <n v="50"/>
    <d v="2023-03-03T00:00:00"/>
    <d v="2023-03-31T00:00:00"/>
    <x v="1"/>
    <n v="372"/>
    <s v="False"/>
    <n v="31680.795320000001"/>
    <n v="45"/>
    <n v="43982.1"/>
    <n v="45"/>
    <n v="984.14699999999993"/>
    <n v="37397.585999999996"/>
  </r>
  <r>
    <s v="ORD-2025-548982"/>
    <x v="396"/>
    <d v="2025-04-11T00:00:00"/>
    <n v="4"/>
    <s v="Q2-2025"/>
    <x v="2"/>
    <x v="2"/>
    <s v="Lyon"/>
    <s v="Education"/>
    <x v="3"/>
    <x v="14"/>
    <x v="4"/>
    <s v="NET-9716"/>
    <n v="754.77"/>
    <n v="1666.18"/>
    <n v="0.13900000000000001"/>
    <n v="0.13900000000000001"/>
    <n v="14"/>
    <n v="1.2075334207771906"/>
    <n v="20084.133720000002"/>
    <n v="10566.779999999999"/>
    <n v="9517.3537200000028"/>
    <n v="0.47387424584424653"/>
    <s v="High"/>
    <n v="20084.133719999998"/>
    <n v="9517.3537199999992"/>
    <n v="43"/>
    <d v="2023-03-03T00:00:00"/>
    <d v="2023-03-31T00:00:00"/>
    <x v="0"/>
    <n v="147"/>
    <s v="False"/>
    <n v="20084.133719999998"/>
    <n v="16"/>
    <n v="26658.880000000001"/>
    <n v="16"/>
    <n v="867.98549999999989"/>
    <n v="12151.796999999999"/>
  </r>
  <r>
    <s v="ORD-2025-640677"/>
    <x v="397"/>
    <d v="2025-05-06T00:00:00"/>
    <n v="27"/>
    <s v="Q2-2025"/>
    <x v="0"/>
    <x v="9"/>
    <s v="Brasília"/>
    <s v="Enterprise"/>
    <x v="4"/>
    <x v="7"/>
    <x v="0"/>
    <s v="LAP-4517"/>
    <n v="264.19"/>
    <n v="620.92999999999995"/>
    <n v="0.14199999999999999"/>
    <n v="0.14199999999999999"/>
    <n v="12"/>
    <n v="1.3503160604110676"/>
    <n v="6393.0952799999995"/>
    <n v="3170.2799999999997"/>
    <n v="3222.8152799999998"/>
    <n v="0.50410875152794532"/>
    <s v="High"/>
    <n v="6393.0952799999995"/>
    <n v="3222.8152799999998"/>
    <n v="51"/>
    <d v="2023-03-03T00:00:00"/>
    <d v="2023-03-31T00:00:00"/>
    <x v="1"/>
    <n v="373"/>
    <s v="False"/>
    <n v="6393.0952799999995"/>
    <n v="14"/>
    <n v="8693.0199999999986"/>
    <n v="14"/>
    <n v="303.81849999999997"/>
    <n v="3645.8219999999997"/>
  </r>
  <r>
    <s v="ORD-2025-138578"/>
    <x v="397"/>
    <d v="2025-04-12T00:00:00"/>
    <n v="3"/>
    <s v="Q2-2025"/>
    <x v="2"/>
    <x v="2"/>
    <s v="Lyon"/>
    <s v="Small Business"/>
    <x v="0"/>
    <x v="4"/>
    <x v="5"/>
    <s v="MON-5276"/>
    <n v="86.68"/>
    <n v="213.32"/>
    <n v="3.7999999999999999E-2"/>
    <n v="3.7999999999999999E-2"/>
    <n v="8"/>
    <n v="1.4610059990770647"/>
    <n v="1641.7107199999998"/>
    <n v="693.44"/>
    <n v="948.27071999999976"/>
    <n v="0.57761133459614611"/>
    <s v="High"/>
    <n v="1641.7107199999998"/>
    <n v="948.27071999999976"/>
    <n v="44"/>
    <d v="2023-03-03T00:00:00"/>
    <d v="2023-03-31T00:00:00"/>
    <x v="0"/>
    <n v="148"/>
    <s v="False"/>
    <n v="1641.7107199999998"/>
    <n v="9"/>
    <n v="1919.8799999999999"/>
    <n v="9"/>
    <n v="99.682000000000002"/>
    <n v="797.45600000000002"/>
  </r>
  <r>
    <s v="ORD-2025-306251"/>
    <x v="398"/>
    <d v="2025-04-19T00:00:00"/>
    <n v="9"/>
    <s v="Q2-2025"/>
    <x v="1"/>
    <x v="1"/>
    <s v="Durban"/>
    <s v="Enterprise"/>
    <x v="0"/>
    <x v="6"/>
    <x v="4"/>
    <s v="NET-5270"/>
    <n v="113.74"/>
    <n v="165.7"/>
    <n v="0.124"/>
    <n v="0.124"/>
    <n v="13"/>
    <n v="0.45683136979075079"/>
    <n v="1886.9915999999998"/>
    <n v="1478.62"/>
    <n v="408.37159999999994"/>
    <n v="0.21641410592394794"/>
    <s v="Medium"/>
    <n v="1886.9916000000001"/>
    <n v="408.37160000000017"/>
    <n v="37"/>
    <d v="2023-03-03T00:00:00"/>
    <d v="2023-03-31T00:00:00"/>
    <x v="1"/>
    <n v="375"/>
    <s v="False"/>
    <n v="1886.9916000000001"/>
    <n v="15"/>
    <n v="2485.5"/>
    <n v="15"/>
    <n v="130.80099999999999"/>
    <n v="1700.4129999999998"/>
  </r>
  <r>
    <s v="ORD-2025-487025"/>
    <x v="399"/>
    <d v="2025-05-04T00:00:00"/>
    <n v="23"/>
    <s v="Q2-2025"/>
    <x v="3"/>
    <x v="11"/>
    <s v="Osaka"/>
    <s v="Small Business"/>
    <x v="1"/>
    <x v="3"/>
    <x v="6"/>
    <s v="CMP-3743"/>
    <n v="786.2"/>
    <n v="1075.3"/>
    <n v="0.08"/>
    <n v="0.08"/>
    <n v="9"/>
    <n v="0.3677181378784023"/>
    <n v="8903.4839999999986"/>
    <n v="7075.8"/>
    <n v="1827.6839999999984"/>
    <n v="0.20527739478163815"/>
    <s v="Medium"/>
    <n v="8903.4840000000004"/>
    <n v="1827.6840000000002"/>
    <n v="47"/>
    <d v="2023-03-03T00:00:00"/>
    <d v="2023-03-31T00:00:00"/>
    <x v="1"/>
    <n v="376"/>
    <s v="False"/>
    <n v="8903.4840000000004"/>
    <n v="10"/>
    <n v="10753"/>
    <n v="10"/>
    <n v="904.13"/>
    <n v="8137.17"/>
  </r>
  <r>
    <s v="ORD-2025-608069"/>
    <x v="400"/>
    <d v="2025-04-30T00:00:00"/>
    <n v="18"/>
    <s v="Q2-2025"/>
    <x v="1"/>
    <x v="7"/>
    <s v="Kisumu"/>
    <s v="Corporate"/>
    <x v="4"/>
    <x v="7"/>
    <x v="4"/>
    <s v="NET-3432"/>
    <n v="1119.04"/>
    <n v="1299.02"/>
    <n v="2.5000000000000001E-2"/>
    <n v="2.5000000000000001E-2"/>
    <n v="14"/>
    <n v="0.16083428653131257"/>
    <n v="17731.623"/>
    <n v="15666.56"/>
    <n v="2065.0630000000001"/>
    <n v="0.11646215352085933"/>
    <s v="Low"/>
    <n v="17731.623"/>
    <n v="2065.0630000000001"/>
    <n v="49"/>
    <d v="2023-03-03T00:00:00"/>
    <d v="2023-03-31T00:00:00"/>
    <x v="1"/>
    <n v="376"/>
    <s v="False"/>
    <n v="17731.623"/>
    <n v="16"/>
    <n v="20784.32"/>
    <n v="16"/>
    <n v="1286.896"/>
    <n v="18016.543999999998"/>
  </r>
  <r>
    <s v="ORD-2025-169093"/>
    <x v="401"/>
    <d v="2025-04-14T00:00:00"/>
    <n v="1"/>
    <s v="Q2-2025"/>
    <x v="3"/>
    <x v="11"/>
    <s v="Osaka"/>
    <s v="Enterprise"/>
    <x v="1"/>
    <x v="6"/>
    <x v="6"/>
    <s v="CMP-6495"/>
    <n v="138.9"/>
    <n v="289.92"/>
    <n v="2.9000000000000001E-2"/>
    <n v="2.9000000000000001E-2"/>
    <n v="12"/>
    <n v="1.087257019438445"/>
    <n v="3378.1478400000001"/>
    <n v="1666.8000000000002"/>
    <n v="1711.3478399999999"/>
    <n v="0.50659353025828491"/>
    <s v="High"/>
    <n v="3378.1478399999996"/>
    <n v="1711.3478399999995"/>
    <n v="48"/>
    <d v="2023-03-03T00:00:00"/>
    <d v="2023-03-31T00:00:00"/>
    <x v="0"/>
    <n v="149"/>
    <s v="False"/>
    <n v="3378.1478399999996"/>
    <n v="14"/>
    <n v="4058.88"/>
    <n v="14"/>
    <n v="159.73499999999999"/>
    <n v="1916.8199999999997"/>
  </r>
  <r>
    <s v="ORD-2025-845715"/>
    <x v="402"/>
    <d v="2025-05-04T00:00:00"/>
    <n v="20"/>
    <s v="Q2-2025"/>
    <x v="2"/>
    <x v="6"/>
    <s v="Birmingham"/>
    <s v="Enterprise"/>
    <x v="4"/>
    <x v="10"/>
    <x v="5"/>
    <s v="MON-6962"/>
    <n v="1413.87"/>
    <n v="3275"/>
    <n v="0.255"/>
    <n v="0.25"/>
    <n v="38"/>
    <n v="1.3163374284764513"/>
    <n v="92715.25"/>
    <n v="53727.06"/>
    <n v="38988.19"/>
    <n v="0.42051539525590453"/>
    <s v="High"/>
    <n v="92715.25"/>
    <n v="38988.19"/>
    <n v="46"/>
    <d v="2023-03-03T00:00:00"/>
    <d v="2023-03-31T00:00:00"/>
    <x v="1"/>
    <n v="378"/>
    <s v="True"/>
    <n v="93337.5"/>
    <n v="45"/>
    <n v="147375"/>
    <n v="45"/>
    <n v="1625.9504999999997"/>
    <n v="61786.118999999992"/>
  </r>
  <r>
    <s v="ORD-2025-440093"/>
    <x v="403"/>
    <d v="2025-04-26T00:00:00"/>
    <n v="10"/>
    <s v="Q2-2025"/>
    <x v="1"/>
    <x v="5"/>
    <s v="Port Harcourt"/>
    <s v="Enterprise"/>
    <x v="4"/>
    <x v="7"/>
    <x v="0"/>
    <s v="LAP-3490"/>
    <n v="1457.44"/>
    <n v="1996.81"/>
    <n v="0.126"/>
    <n v="0.126"/>
    <n v="23"/>
    <n v="0.37008041497420124"/>
    <n v="40139.874619999995"/>
    <n v="33521.120000000003"/>
    <n v="6618.7546199999924"/>
    <n v="0.16489225944672353"/>
    <s v="Medium"/>
    <n v="40139.874619999995"/>
    <n v="6618.7546199999924"/>
    <n v="37"/>
    <d v="2023-03-03T00:00:00"/>
    <d v="2023-03-31T00:00:00"/>
    <x v="1"/>
    <n v="379"/>
    <s v="False"/>
    <n v="40139.874619999995"/>
    <n v="27"/>
    <n v="53913.869999999995"/>
    <n v="27"/>
    <n v="1676.056"/>
    <n v="38549.288"/>
  </r>
  <r>
    <s v="ORD-2025-246470"/>
    <x v="403"/>
    <d v="2025-05-16T00:00:00"/>
    <n v="30"/>
    <s v="Q2-2025"/>
    <x v="0"/>
    <x v="0"/>
    <s v="Montreal"/>
    <s v="Enterprise"/>
    <x v="0"/>
    <x v="10"/>
    <x v="1"/>
    <s v="PRN-6178"/>
    <n v="763.32"/>
    <n v="1396.8756000000001"/>
    <n v="0.13100000000000001"/>
    <n v="0.13100000000000001"/>
    <n v="16"/>
    <n v="0.83"/>
    <n v="19422.158342400002"/>
    <n v="12213.12"/>
    <n v="7209.0383424000011"/>
    <n v="0.37117596383004148"/>
    <s v="High"/>
    <n v="19422.158342400002"/>
    <n v="7209.0383424000011"/>
    <n v="34"/>
    <d v="2023-03-03T00:00:00"/>
    <d v="2023-03-31T00:00:00"/>
    <x v="1"/>
    <n v="379"/>
    <s v="False"/>
    <n v="19422.158342400002"/>
    <n v="19"/>
    <n v="26540.636400000003"/>
    <n v="19"/>
    <n v="877.81799999999998"/>
    <n v="14045.088"/>
  </r>
  <r>
    <s v="ORD-2025-246692"/>
    <x v="404"/>
    <d v="2025-04-17T00:00:00"/>
    <n v="0"/>
    <s v="Q2-2025"/>
    <x v="0"/>
    <x v="9"/>
    <s v="São Paulo"/>
    <s v="Corporate"/>
    <x v="0"/>
    <x v="9"/>
    <x v="2"/>
    <s v="PHN-4566"/>
    <n v="719.41"/>
    <n v="1125.99"/>
    <n v="4.1000000000000002E-2"/>
    <n v="4.1000000000000002E-2"/>
    <n v="21"/>
    <n v="0.56515755966694936"/>
    <n v="22676.312610000001"/>
    <n v="15107.609999999999"/>
    <n v="7568.7026100000021"/>
    <n v="0.33377131194876403"/>
    <s v="Medium"/>
    <n v="22676.312609999997"/>
    <n v="7568.7026099999985"/>
    <n v="53"/>
    <d v="2023-03-03T00:00:00"/>
    <d v="2023-03-31T00:00:00"/>
    <x v="0"/>
    <n v="150"/>
    <s v="False"/>
    <n v="22676.312609999997"/>
    <n v="25"/>
    <n v="28149.75"/>
    <n v="25"/>
    <n v="827.3214999999999"/>
    <n v="17373.751499999998"/>
  </r>
  <r>
    <s v="ORD-2025-907040"/>
    <x v="404"/>
    <d v="2025-05-03T00:00:00"/>
    <n v="16"/>
    <s v="Q2-2025"/>
    <x v="0"/>
    <x v="9"/>
    <s v="Rio de Janeiro"/>
    <s v="Consumer"/>
    <x v="4"/>
    <x v="13"/>
    <x v="4"/>
    <s v="NET-8610"/>
    <n v="168.68"/>
    <n v="413.34"/>
    <n v="0.186"/>
    <n v="0.186"/>
    <n v="7"/>
    <n v="1.4504387004979842"/>
    <n v="2355.2113199999999"/>
    <n v="1180.76"/>
    <n v="1174.4513199999999"/>
    <n v="0.49866069767361682"/>
    <s v="High"/>
    <n v="2355.2113199999999"/>
    <n v="1174.4513199999999"/>
    <n v="53"/>
    <d v="2023-03-03T00:00:00"/>
    <d v="2023-03-31T00:00:00"/>
    <x v="1"/>
    <n v="381"/>
    <s v="False"/>
    <n v="2355.2113199999999"/>
    <n v="8"/>
    <n v="3306.72"/>
    <n v="8"/>
    <n v="193.982"/>
    <n v="1357.874"/>
  </r>
  <r>
    <s v="ORD-2025-946490"/>
    <x v="405"/>
    <d v="2025-05-02T00:00:00"/>
    <n v="10"/>
    <s v="Q2-2025"/>
    <x v="2"/>
    <x v="8"/>
    <s v="Berlin"/>
    <s v="Corporate"/>
    <x v="4"/>
    <x v="11"/>
    <x v="5"/>
    <s v="MON-2842"/>
    <n v="20.149999999999999"/>
    <n v="39.74"/>
    <n v="0.151"/>
    <n v="0.151"/>
    <n v="18"/>
    <n v="0.97220843672456603"/>
    <n v="607.30668000000003"/>
    <n v="362.7"/>
    <n v="244.60668000000004"/>
    <n v="0.4027729120318585"/>
    <s v="High"/>
    <n v="607.30668000000003"/>
    <n v="244.60668000000004"/>
    <n v="44"/>
    <d v="2023-03-03T00:00:00"/>
    <d v="2023-03-31T00:00:00"/>
    <x v="1"/>
    <n v="382"/>
    <s v="False"/>
    <n v="607.30668000000003"/>
    <n v="21"/>
    <n v="834.54000000000008"/>
    <n v="21"/>
    <n v="23.172499999999996"/>
    <n v="417.1049999999999"/>
  </r>
  <r>
    <s v="ORD-2025-778145"/>
    <x v="405"/>
    <d v="2025-05-12T00:00:00"/>
    <n v="20"/>
    <s v="Q2-2025"/>
    <x v="2"/>
    <x v="2"/>
    <s v="Lyon"/>
    <s v="Enterprise"/>
    <x v="4"/>
    <x v="10"/>
    <x v="5"/>
    <s v="MON-9216"/>
    <n v="59.51"/>
    <n v="67.040000000000006"/>
    <n v="0.114"/>
    <n v="0.114"/>
    <n v="9"/>
    <n v="0.12653335573853147"/>
    <n v="534.57695999999999"/>
    <n v="535.59"/>
    <n v="-1.0130400000000463"/>
    <n v="-1.8950311663264469E-3"/>
    <s v="Low"/>
    <n v="534.57695999999999"/>
    <n v="-1.0130400000000463"/>
    <n v="45"/>
    <d v="2023-03-03T00:00:00"/>
    <d v="2023-03-31T00:00:00"/>
    <x v="1"/>
    <n v="382"/>
    <s v="False"/>
    <n v="534.57695999999999"/>
    <n v="10"/>
    <n v="670.40000000000009"/>
    <n v="10"/>
    <n v="68.436499999999995"/>
    <n v="615.92849999999999"/>
  </r>
  <r>
    <s v="ORD-2025-488349"/>
    <x v="405"/>
    <d v="2025-04-23T00:00:00"/>
    <n v="1"/>
    <s v="Q2-2025"/>
    <x v="0"/>
    <x v="4"/>
    <s v="San Francisco"/>
    <s v="Non-Profit"/>
    <x v="0"/>
    <x v="2"/>
    <x v="5"/>
    <s v="MON-3371"/>
    <n v="23.24"/>
    <n v="44.57"/>
    <n v="0.215"/>
    <n v="0.215"/>
    <n v="15"/>
    <n v="0.91781411359724629"/>
    <n v="524.81174999999996"/>
    <n v="348.59999999999997"/>
    <n v="176.21174999999999"/>
    <n v="0.33576182316802167"/>
    <s v="High"/>
    <n v="524.81175000000007"/>
    <n v="176.21175000000011"/>
    <n v="46"/>
    <d v="2023-03-03T00:00:00"/>
    <d v="2023-03-31T00:00:00"/>
    <x v="0"/>
    <n v="151"/>
    <s v="True"/>
    <n v="524.81175000000007"/>
    <n v="18"/>
    <n v="802.26"/>
    <n v="18"/>
    <n v="26.725999999999996"/>
    <n v="400.88999999999993"/>
  </r>
  <r>
    <s v="ORD-2025-757957"/>
    <x v="406"/>
    <d v="2025-05-06T00:00:00"/>
    <n v="12"/>
    <s v="Q2-2025"/>
    <x v="0"/>
    <x v="9"/>
    <s v="Brasília"/>
    <s v="Consumer"/>
    <x v="1"/>
    <x v="11"/>
    <x v="2"/>
    <s v="PHN-2787"/>
    <n v="394.13"/>
    <n v="932.29"/>
    <n v="0.109"/>
    <n v="0.109"/>
    <n v="7"/>
    <n v="1.3654377997107552"/>
    <n v="5814.6927299999998"/>
    <n v="2758.91"/>
    <n v="3055.7827299999999"/>
    <n v="0.5255278089303268"/>
    <s v="High"/>
    <n v="5814.6927299999998"/>
    <n v="3055.7827299999999"/>
    <n v="54"/>
    <d v="2023-03-03T00:00:00"/>
    <d v="2023-03-31T00:00:00"/>
    <x v="1"/>
    <n v="384"/>
    <s v="False"/>
    <n v="5814.6927299999998"/>
    <n v="8"/>
    <n v="7458.32"/>
    <n v="8"/>
    <n v="453.24949999999995"/>
    <n v="3172.7464999999997"/>
  </r>
  <r>
    <s v="ORD-2025-474368"/>
    <x v="407"/>
    <d v="2025-05-17T00:00:00"/>
    <n v="20"/>
    <s v="Q2-2025"/>
    <x v="0"/>
    <x v="4"/>
    <s v="Austin"/>
    <s v="Corporate"/>
    <x v="2"/>
    <x v="8"/>
    <x v="2"/>
    <s v="PHN-8776"/>
    <n v="932.26"/>
    <n v="1624.67"/>
    <n v="0.23499999999999999"/>
    <n v="0.23499999999999999"/>
    <n v="28"/>
    <n v="0.7427219874283999"/>
    <n v="34800.431400000001"/>
    <n v="26103.279999999999"/>
    <n v="8697.1514000000025"/>
    <n v="0.24991504559337163"/>
    <s v="Medium"/>
    <n v="34800.431400000001"/>
    <n v="8697.1514000000025"/>
    <n v="47"/>
    <d v="2023-03-03T00:00:00"/>
    <d v="2023-03-31T00:00:00"/>
    <x v="1"/>
    <n v="385"/>
    <s v="True"/>
    <n v="34800.431400000001"/>
    <n v="33"/>
    <n v="53614.11"/>
    <n v="33"/>
    <n v="1072.0989999999999"/>
    <n v="30018.771999999997"/>
  </r>
  <r>
    <s v="ORD-2025-526650"/>
    <x v="407"/>
    <d v="2025-05-25T00:00:00"/>
    <n v="28"/>
    <s v="Q2-2025"/>
    <x v="2"/>
    <x v="2"/>
    <s v="Paris"/>
    <s v="Small Business"/>
    <x v="4"/>
    <x v="12"/>
    <x v="2"/>
    <s v="PHN-8350"/>
    <n v="603.45000000000005"/>
    <n v="1244.08"/>
    <n v="0.2"/>
    <n v="0.2"/>
    <n v="11"/>
    <n v="1.0616123953931558"/>
    <n v="10947.904"/>
    <n v="6637.9500000000007"/>
    <n v="4309.9539999999997"/>
    <n v="0.39367846119220623"/>
    <s v="High"/>
    <n v="10947.904"/>
    <n v="4309.9539999999997"/>
    <n v="46"/>
    <d v="2023-03-03T00:00:00"/>
    <d v="2023-03-31T00:00:00"/>
    <x v="1"/>
    <n v="386"/>
    <s v="False"/>
    <n v="10947.904"/>
    <n v="13"/>
    <n v="16173.039999999999"/>
    <n v="13"/>
    <n v="693.96749999999997"/>
    <n v="7633.6424999999999"/>
  </r>
  <r>
    <s v="ORD-2025-323492"/>
    <x v="407"/>
    <d v="2025-05-27T00:00:00"/>
    <n v="30"/>
    <s v="Q2-2025"/>
    <x v="3"/>
    <x v="10"/>
    <s v="Delhi"/>
    <s v="Enterprise"/>
    <x v="4"/>
    <x v="4"/>
    <x v="2"/>
    <s v="PHN-3854"/>
    <n v="481.32"/>
    <n v="1135.99"/>
    <n v="0.14499999999999999"/>
    <n v="0.14499999999999999"/>
    <n v="5"/>
    <n v="1.3601554059669245"/>
    <n v="4856.35725"/>
    <n v="2406.6"/>
    <n v="2449.7572500000001"/>
    <n v="0.50444337677175621"/>
    <s v="High"/>
    <n v="4856.35725"/>
    <n v="2449.7572500000001"/>
    <n v="51"/>
    <d v="2023-03-03T00:00:00"/>
    <d v="2023-03-31T00:00:00"/>
    <x v="1"/>
    <n v="387"/>
    <s v="False"/>
    <n v="4856.35725"/>
    <n v="6"/>
    <n v="6815.9400000000005"/>
    <n v="6"/>
    <n v="553.51799999999992"/>
    <n v="2767.5899999999997"/>
  </r>
  <r>
    <s v="ORD-2025-626047"/>
    <x v="408"/>
    <d v="2025-05-15T00:00:00"/>
    <n v="17"/>
    <s v="Q2-2025"/>
    <x v="3"/>
    <x v="11"/>
    <s v="Nagoya"/>
    <s v="Education"/>
    <x v="2"/>
    <x v="8"/>
    <x v="4"/>
    <s v="NET-1966"/>
    <n v="691.19"/>
    <n v="1284.3"/>
    <n v="7.3999999999999996E-2"/>
    <n v="7.3999999999999996E-2"/>
    <n v="7"/>
    <n v="0.85809979889755328"/>
    <n v="8324.8326000000015"/>
    <n v="4838.33"/>
    <n v="3486.5026000000016"/>
    <n v="0.41880753253825198"/>
    <s v="High"/>
    <n v="8324.8325999999997"/>
    <n v="3486.5025999999998"/>
    <n v="49"/>
    <d v="2023-03-03T00:00:00"/>
    <d v="2023-03-31T00:00:00"/>
    <x v="1"/>
    <n v="388"/>
    <s v="False"/>
    <n v="8324.8325999999997"/>
    <n v="8"/>
    <n v="10274.4"/>
    <n v="8"/>
    <n v="794.86850000000004"/>
    <n v="5564.0794999999998"/>
  </r>
  <r>
    <s v="ORD-2025-252117"/>
    <x v="408"/>
    <d v="2025-05-19T00:00:00"/>
    <n v="21"/>
    <s v="Q2-2025"/>
    <x v="2"/>
    <x v="8"/>
    <s v="Berlin"/>
    <s v="Corporate"/>
    <x v="0"/>
    <x v="0"/>
    <x v="2"/>
    <s v="PHN-2462"/>
    <n v="350.76"/>
    <n v="492.18"/>
    <n v="5.2999999999999999E-2"/>
    <n v="5.2999999999999999E-2"/>
    <n v="11"/>
    <n v="0.40318166267533362"/>
    <n v="5127.0390600000001"/>
    <n v="3858.3599999999997"/>
    <n v="1268.6790600000004"/>
    <n v="0.24744868239798437"/>
    <s v="Medium"/>
    <n v="5127.0390600000001"/>
    <n v="1268.6790600000004"/>
    <n v="45"/>
    <d v="2023-03-03T00:00:00"/>
    <d v="2023-03-31T00:00:00"/>
    <x v="1"/>
    <n v="389"/>
    <s v="False"/>
    <n v="5127.0390600000001"/>
    <n v="13"/>
    <n v="6398.34"/>
    <n v="13"/>
    <n v="403.37399999999997"/>
    <n v="4437.1139999999996"/>
  </r>
  <r>
    <s v="ORD-2025-762301"/>
    <x v="409"/>
    <d v="2025-05-13T00:00:00"/>
    <n v="11"/>
    <s v="Q2-2025"/>
    <x v="1"/>
    <x v="7"/>
    <s v="Nakuru"/>
    <s v="Small Business"/>
    <x v="1"/>
    <x v="1"/>
    <x v="3"/>
    <s v="ACC-2252"/>
    <n v="1057.5999999999999"/>
    <n v="1437.06"/>
    <n v="0.20499999999999999"/>
    <n v="0.20499999999999999"/>
    <n v="4"/>
    <n v="0.3587934947049925"/>
    <n v="4569.8508000000002"/>
    <n v="4230.3999999999996"/>
    <n v="339.45080000000053"/>
    <n v="7.4280499485891424E-2"/>
    <s v="Medium"/>
    <n v="4569.8508000000002"/>
    <n v="339.45080000000053"/>
    <n v="50"/>
    <d v="2023-03-03T00:00:00"/>
    <d v="2023-03-31T00:00:00"/>
    <x v="1"/>
    <n v="389"/>
    <s v="True"/>
    <n v="4569.8508000000002"/>
    <n v="4"/>
    <n v="5748.24"/>
    <n v="4"/>
    <n v="1216.2399999999998"/>
    <n v="4864.9599999999991"/>
  </r>
  <r>
    <s v="ORD-2025-673091"/>
    <x v="410"/>
    <d v="2025-05-13T00:00:00"/>
    <n v="6"/>
    <s v="Q2-2025"/>
    <x v="3"/>
    <x v="10"/>
    <s v="Bengaluru"/>
    <s v="Enterprise"/>
    <x v="2"/>
    <x v="13"/>
    <x v="2"/>
    <s v="PHN-5683"/>
    <n v="935.98"/>
    <n v="2077.69"/>
    <n v="0.17499999999999999"/>
    <n v="0.17499999999999999"/>
    <n v="24"/>
    <n v="1.2198017051646404"/>
    <n v="41138.261999999995"/>
    <n v="22463.52"/>
    <n v="18674.741999999995"/>
    <n v="0.45395067978321491"/>
    <s v="High"/>
    <n v="41138.261999999995"/>
    <n v="18674.741999999995"/>
    <n v="52"/>
    <d v="2023-03-03T00:00:00"/>
    <d v="2023-03-31T00:00:00"/>
    <x v="0"/>
    <n v="152"/>
    <s v="False"/>
    <n v="41138.261999999995"/>
    <n v="28"/>
    <n v="58175.32"/>
    <n v="28"/>
    <n v="1076.377"/>
    <n v="25833.047999999999"/>
  </r>
  <r>
    <s v="ORD-2025-191328"/>
    <x v="411"/>
    <d v="2025-05-27T00:00:00"/>
    <n v="17"/>
    <s v="Q2-2025"/>
    <x v="0"/>
    <x v="0"/>
    <s v="Vancouver"/>
    <s v="Education"/>
    <x v="2"/>
    <x v="11"/>
    <x v="6"/>
    <s v="CMP-9307"/>
    <n v="862.89"/>
    <n v="1426.03"/>
    <n v="5.6000000000000001E-2"/>
    <n v="5.6000000000000001E-2"/>
    <n v="19"/>
    <n v="0.65262084390826181"/>
    <n v="25577.274079999999"/>
    <n v="16394.91"/>
    <n v="9182.3640799999994"/>
    <n v="0.35900479665188778"/>
    <s v="Medium"/>
    <n v="25577.274079999999"/>
    <n v="9182.3640799999994"/>
    <n v="36"/>
    <d v="2023-03-03T00:00:00"/>
    <d v="2023-03-31T00:00:00"/>
    <x v="1"/>
    <n v="390"/>
    <s v="False"/>
    <n v="25577.274079999999"/>
    <n v="22"/>
    <n v="31372.66"/>
    <n v="22"/>
    <n v="992.32349999999985"/>
    <n v="18854.146499999999"/>
  </r>
  <r>
    <s v="ORD-2025-874124"/>
    <x v="412"/>
    <d v="2025-05-14T00:00:00"/>
    <n v="2"/>
    <s v="Q2-2025"/>
    <x v="0"/>
    <x v="0"/>
    <s v="Vancouver"/>
    <s v="Non-Profit"/>
    <x v="0"/>
    <x v="7"/>
    <x v="1"/>
    <s v="PRN-2407"/>
    <n v="883.5"/>
    <n v="1978.91"/>
    <n v="5.3999999999999999E-2"/>
    <n v="5.3999999999999999E-2"/>
    <n v="27"/>
    <n v="1.2398528579513299"/>
    <n v="50545.319219999998"/>
    <n v="23854.5"/>
    <n v="26690.819219999998"/>
    <n v="0.52805718970390547"/>
    <s v="High"/>
    <n v="50545.319219999998"/>
    <n v="26690.819219999998"/>
    <n v="36"/>
    <d v="2023-03-03T00:00:00"/>
    <d v="2023-03-31T00:00:00"/>
    <x v="0"/>
    <n v="153"/>
    <s v="False"/>
    <n v="50545.319219999998"/>
    <n v="32"/>
    <n v="63325.120000000003"/>
    <n v="32"/>
    <n v="1016.025"/>
    <n v="27432.674999999999"/>
  </r>
  <r>
    <s v="ORD-2025-866565"/>
    <x v="412"/>
    <d v="2025-05-26T00:00:00"/>
    <n v="14"/>
    <s v="Q2-2025"/>
    <x v="3"/>
    <x v="10"/>
    <s v="Hyderabad"/>
    <s v="Corporate"/>
    <x v="4"/>
    <x v="6"/>
    <x v="1"/>
    <s v="PRN-8850"/>
    <n v="320.12"/>
    <n v="594.41999999999996"/>
    <n v="0.104"/>
    <n v="0.104"/>
    <n v="18"/>
    <n v="0.85686617518430575"/>
    <n v="9586.8057599999993"/>
    <n v="5762.16"/>
    <n v="3824.6457599999994"/>
    <n v="0.39894891538931104"/>
    <s v="High"/>
    <n v="9586.8057599999993"/>
    <n v="3824.6457599999994"/>
    <n v="53"/>
    <d v="2023-03-03T00:00:00"/>
    <d v="2023-03-31T00:00:00"/>
    <x v="1"/>
    <n v="392"/>
    <s v="False"/>
    <n v="9586.8057599999993"/>
    <n v="21"/>
    <n v="12482.82"/>
    <n v="21"/>
    <n v="368.13799999999998"/>
    <n v="6626.4839999999995"/>
  </r>
  <r>
    <s v="ORD-2025-114382"/>
    <x v="413"/>
    <d v="2025-05-24T00:00:00"/>
    <n v="10"/>
    <s v="Q2-2025"/>
    <x v="2"/>
    <x v="2"/>
    <s v="Paris"/>
    <s v="Small Business"/>
    <x v="4"/>
    <x v="10"/>
    <x v="6"/>
    <s v="CMP-2865"/>
    <n v="170.39"/>
    <n v="388.04"/>
    <n v="8.4000000000000005E-2"/>
    <n v="8.4000000000000005E-2"/>
    <n v="15"/>
    <n v="1.2773636950525269"/>
    <n v="5331.6696000000002"/>
    <n v="2555.85"/>
    <n v="2775.8196000000003"/>
    <n v="0.52062858508711796"/>
    <s v="High"/>
    <n v="5331.6696000000011"/>
    <n v="2775.8196000000012"/>
    <n v="47"/>
    <d v="2023-03-03T00:00:00"/>
    <d v="2023-03-31T00:00:00"/>
    <x v="1"/>
    <n v="393"/>
    <s v="False"/>
    <n v="5331.6696000000011"/>
    <n v="18"/>
    <n v="6984.72"/>
    <n v="18"/>
    <n v="195.94849999999997"/>
    <n v="2939.2274999999995"/>
  </r>
  <r>
    <s v="ORD-2025-254721"/>
    <x v="414"/>
    <d v="2025-06-05T00:00:00"/>
    <n v="21"/>
    <s v="Q2-2025"/>
    <x v="3"/>
    <x v="11"/>
    <s v="Osaka"/>
    <s v="Enterprise"/>
    <x v="2"/>
    <x v="4"/>
    <x v="2"/>
    <s v="PHN-6480"/>
    <n v="1466.5"/>
    <n v="2778.74"/>
    <n v="0.13500000000000001"/>
    <n v="0.13500000000000001"/>
    <n v="4"/>
    <n v="0.89481077395158526"/>
    <n v="9614.4403999999995"/>
    <n v="5866"/>
    <n v="3748.4403999999995"/>
    <n v="0.38987608680792279"/>
    <s v="High"/>
    <n v="9614.4403999999995"/>
    <n v="3748.4403999999995"/>
    <n v="51"/>
    <d v="2023-03-03T00:00:00"/>
    <d v="2023-03-31T00:00:00"/>
    <x v="1"/>
    <n v="393"/>
    <s v="False"/>
    <n v="9614.4403999999995"/>
    <n v="4"/>
    <n v="11114.96"/>
    <n v="4"/>
    <n v="1686.4749999999999"/>
    <n v="6745.9"/>
  </r>
  <r>
    <s v="ORD-2025-752192"/>
    <x v="415"/>
    <d v="2025-05-18T00:00:00"/>
    <n v="2"/>
    <s v="Q2-2025"/>
    <x v="3"/>
    <x v="11"/>
    <s v="Tokyo"/>
    <s v="Enterprise"/>
    <x v="3"/>
    <x v="13"/>
    <x v="1"/>
    <s v="PRN-6131"/>
    <n v="1144.3800000000001"/>
    <n v="2755.04"/>
    <n v="0.15"/>
    <n v="0.15"/>
    <n v="17"/>
    <n v="1.4074520701165694"/>
    <n v="39810.328000000001"/>
    <n v="19454.460000000003"/>
    <n v="20355.867999999999"/>
    <n v="0.51132128326096682"/>
    <s v="High"/>
    <n v="39810.328000000001"/>
    <n v="20355.867999999999"/>
    <n v="51"/>
    <d v="2023-03-03T00:00:00"/>
    <d v="2023-03-31T00:00:00"/>
    <x v="0"/>
    <n v="154"/>
    <s v="False"/>
    <n v="39810.328000000001"/>
    <n v="20"/>
    <n v="55100.800000000003"/>
    <n v="20"/>
    <n v="1316.037"/>
    <n v="22372.629000000001"/>
  </r>
  <r>
    <s v="ORD-2025-509940"/>
    <x v="415"/>
    <d v="2025-05-27T00:00:00"/>
    <n v="11"/>
    <s v="Q2-2025"/>
    <x v="3"/>
    <x v="3"/>
    <s v="Beijing"/>
    <s v="Enterprise"/>
    <x v="1"/>
    <x v="7"/>
    <x v="2"/>
    <s v="PHN-3800"/>
    <n v="918.12"/>
    <n v="1337.69"/>
    <n v="9.5000000000000001E-2"/>
    <n v="9.5000000000000001E-2"/>
    <n v="8"/>
    <n v="0.45698819326449708"/>
    <n v="9684.8756000000012"/>
    <n v="7344.96"/>
    <n v="2339.9156000000012"/>
    <n v="0.24160512707050164"/>
    <s v="Medium"/>
    <n v="9684.8756000000012"/>
    <n v="2339.9156000000012"/>
    <n v="45"/>
    <d v="2023-03-03T00:00:00"/>
    <d v="2023-03-31T00:00:00"/>
    <x v="1"/>
    <n v="395"/>
    <s v="False"/>
    <n v="9684.8756000000012"/>
    <n v="9"/>
    <n v="12039.210000000001"/>
    <n v="9"/>
    <n v="1055.838"/>
    <n v="8446.7039999999997"/>
  </r>
  <r>
    <s v="ORD-2025-983096"/>
    <x v="416"/>
    <d v="2025-05-28T00:00:00"/>
    <n v="11"/>
    <s v="Q2-2025"/>
    <x v="3"/>
    <x v="10"/>
    <s v="Bengaluru"/>
    <s v="Corporate"/>
    <x v="0"/>
    <x v="0"/>
    <x v="0"/>
    <s v="LAP-9016"/>
    <n v="623.4"/>
    <n v="1100.0899999999999"/>
    <n v="0.114"/>
    <n v="0.114"/>
    <n v="12"/>
    <n v="0.764661533525826"/>
    <n v="11696.156879999999"/>
    <n v="7480.7999999999993"/>
    <n v="4215.3568799999994"/>
    <n v="0.36040529579490388"/>
    <s v="High"/>
    <n v="11696.156879999999"/>
    <n v="4215.3568799999994"/>
    <n v="54"/>
    <d v="2023-03-03T00:00:00"/>
    <d v="2023-03-31T00:00:00"/>
    <x v="1"/>
    <n v="395"/>
    <s v="False"/>
    <n v="11696.156879999999"/>
    <n v="14"/>
    <n v="15401.259999999998"/>
    <n v="14"/>
    <n v="716.91"/>
    <n v="8602.92"/>
  </r>
  <r>
    <s v="ORD-2025-779530"/>
    <x v="416"/>
    <d v="2025-05-19T00:00:00"/>
    <n v="2"/>
    <s v="Q2-2025"/>
    <x v="0"/>
    <x v="9"/>
    <s v="São Paulo"/>
    <s v="Small Business"/>
    <x v="0"/>
    <x v="9"/>
    <x v="5"/>
    <s v="MON-2993"/>
    <n v="383.77"/>
    <n v="952.56"/>
    <n v="0.14000000000000001"/>
    <n v="0.14000000000000001"/>
    <n v="10"/>
    <n v="1.4821116814758839"/>
    <n v="8192.0159999999978"/>
    <n v="3837.7"/>
    <n v="4354.315999999998"/>
    <n v="0.53153167669594381"/>
    <s v="High"/>
    <n v="8192.0159999999996"/>
    <n v="4354.3159999999998"/>
    <n v="55"/>
    <d v="2023-03-03T00:00:00"/>
    <d v="2023-03-31T00:00:00"/>
    <x v="0"/>
    <n v="155"/>
    <s v="False"/>
    <n v="8192.0159999999996"/>
    <n v="12"/>
    <n v="11430.72"/>
    <n v="12"/>
    <n v="441.33549999999997"/>
    <n v="4413.3549999999996"/>
  </r>
  <r>
    <s v="ORD-2025-828263"/>
    <x v="416"/>
    <d v="2025-05-30T00:00:00"/>
    <n v="13"/>
    <s v="Q2-2025"/>
    <x v="1"/>
    <x v="5"/>
    <s v="Lagos"/>
    <s v="Consumer"/>
    <x v="0"/>
    <x v="7"/>
    <x v="3"/>
    <s v="ACC-3349"/>
    <n v="66.400000000000006"/>
    <n v="141.43"/>
    <n v="0.107"/>
    <n v="0.107"/>
    <n v="8"/>
    <n v="1.1299698795180722"/>
    <n v="1010.3759200000001"/>
    <n v="531.20000000000005"/>
    <n v="479.17592000000002"/>
    <n v="0.47425508715607551"/>
    <s v="High"/>
    <n v="1010.3759200000001"/>
    <n v="479.17592000000002"/>
    <n v="38"/>
    <d v="2023-03-03T00:00:00"/>
    <d v="2023-03-31T00:00:00"/>
    <x v="1"/>
    <n v="397"/>
    <s v="False"/>
    <n v="1010.3759200000001"/>
    <n v="9"/>
    <n v="1272.8700000000001"/>
    <n v="9"/>
    <n v="76.36"/>
    <n v="610.88"/>
  </r>
  <r>
    <s v="ORD-2025-364852"/>
    <x v="417"/>
    <d v="2025-06-09T00:00:00"/>
    <n v="22"/>
    <s v="Q2-2025"/>
    <x v="0"/>
    <x v="4"/>
    <s v="New York"/>
    <s v="Consumer"/>
    <x v="3"/>
    <x v="4"/>
    <x v="4"/>
    <s v="NET-3749"/>
    <n v="382.96"/>
    <n v="552.84"/>
    <n v="0.17599999999999999"/>
    <n v="0.17599999999999999"/>
    <n v="8"/>
    <n v="0.44359724253185728"/>
    <n v="3644.3212800000006"/>
    <n v="3063.68"/>
    <n v="580.64128000000073"/>
    <n v="0.15932768693763483"/>
    <s v="Medium"/>
    <n v="3644.3212800000006"/>
    <n v="580.64128000000073"/>
    <n v="48"/>
    <d v="2023-03-03T00:00:00"/>
    <d v="2023-03-31T00:00:00"/>
    <x v="1"/>
    <n v="397"/>
    <s v="False"/>
    <n v="3644.3212800000006"/>
    <n v="9"/>
    <n v="4975.5600000000004"/>
    <n v="9"/>
    <n v="440.40399999999994"/>
    <n v="3523.2319999999995"/>
  </r>
  <r>
    <s v="ORD-2025-745263"/>
    <x v="418"/>
    <d v="2025-05-21T00:00:00"/>
    <n v="2"/>
    <s v="Q2-2025"/>
    <x v="2"/>
    <x v="6"/>
    <s v="Birmingham"/>
    <s v="Enterprise"/>
    <x v="1"/>
    <x v="3"/>
    <x v="0"/>
    <s v="LAP-3385"/>
    <n v="1015.16"/>
    <n v="2148.14"/>
    <n v="3.7999999999999999E-2"/>
    <n v="3.7999999999999999E-2"/>
    <n v="19"/>
    <n v="1.1160605224792151"/>
    <n v="39263.702919999996"/>
    <n v="19288.04"/>
    <n v="19975.662919999995"/>
    <n v="0.50875647059322227"/>
    <s v="High"/>
    <n v="39263.702919999996"/>
    <n v="19975.662919999995"/>
    <n v="47"/>
    <d v="2023-03-03T00:00:00"/>
    <d v="2023-03-31T00:00:00"/>
    <x v="0"/>
    <n v="157"/>
    <s v="False"/>
    <n v="39263.702919999996"/>
    <n v="22"/>
    <n v="47259.079999999994"/>
    <n v="22"/>
    <n v="1167.434"/>
    <n v="22181.245999999999"/>
  </r>
  <r>
    <s v="ORD-2025-700847"/>
    <x v="418"/>
    <d v="2025-05-21T00:00:00"/>
    <n v="2"/>
    <s v="Q2-2025"/>
    <x v="1"/>
    <x v="1"/>
    <s v="Johannesburg"/>
    <s v="Non-Profit"/>
    <x v="0"/>
    <x v="5"/>
    <x v="0"/>
    <s v="LAP-7099"/>
    <n v="1263.8399999999999"/>
    <n v="2281.7199999999998"/>
    <n v="7.8E-2"/>
    <n v="7.8E-2"/>
    <n v="15"/>
    <n v="0.80538675781744518"/>
    <n v="31556.187599999997"/>
    <n v="18957.599999999999"/>
    <n v="12598.587599999999"/>
    <n v="0.39924301882398494"/>
    <s v="High"/>
    <n v="31556.187600000001"/>
    <n v="12598.587600000003"/>
    <n v="38"/>
    <d v="2023-03-03T00:00:00"/>
    <d v="2023-03-31T00:00:00"/>
    <x v="0"/>
    <n v="157"/>
    <s v="False"/>
    <n v="31556.187600000001"/>
    <n v="18"/>
    <n v="41070.959999999999"/>
    <n v="18"/>
    <n v="1453.4159999999997"/>
    <n v="21801.239999999994"/>
  </r>
  <r>
    <s v="ORD-2025-997421"/>
    <x v="419"/>
    <d v="2025-06-09T00:00:00"/>
    <n v="19"/>
    <s v="Q2-2025"/>
    <x v="0"/>
    <x v="9"/>
    <s v="São Paulo"/>
    <s v="Non-Profit"/>
    <x v="1"/>
    <x v="1"/>
    <x v="6"/>
    <s v="CMP-3731"/>
    <n v="1331.38"/>
    <n v="2309.56"/>
    <n v="0.14899999999999999"/>
    <n v="0.14899999999999999"/>
    <n v="31"/>
    <n v="0.73471135213087158"/>
    <n v="60928.502359999999"/>
    <n v="41272.780000000006"/>
    <n v="19655.722359999992"/>
    <n v="0.32260307735553528"/>
    <s v="Medium"/>
    <n v="60928.502359999999"/>
    <n v="19655.722359999992"/>
    <n v="56"/>
    <d v="2023-03-03T00:00:00"/>
    <d v="2023-03-31T00:00:00"/>
    <x v="1"/>
    <n v="399"/>
    <s v="False"/>
    <n v="60928.502359999999"/>
    <n v="37"/>
    <n v="85453.72"/>
    <n v="37"/>
    <n v="1531.087"/>
    <n v="47463.697"/>
  </r>
  <r>
    <s v="ORD-2025-486350"/>
    <x v="420"/>
    <d v="2025-06-08T00:00:00"/>
    <n v="12"/>
    <s v="Q2-2025"/>
    <x v="3"/>
    <x v="11"/>
    <s v="Osaka"/>
    <s v="Corporate"/>
    <x v="3"/>
    <x v="4"/>
    <x v="3"/>
    <s v="ACC-1249"/>
    <n v="653.6"/>
    <n v="842.09"/>
    <n v="9.8000000000000004E-2"/>
    <n v="9.8000000000000004E-2"/>
    <n v="19"/>
    <n v="0.2883873929008568"/>
    <n v="14431.738420000001"/>
    <n v="12418.4"/>
    <n v="2013.3384200000019"/>
    <n v="0.13950768517324622"/>
    <s v="Medium"/>
    <n v="14431.738420000001"/>
    <n v="2013.3384200000019"/>
    <n v="52"/>
    <d v="2023-03-03T00:00:00"/>
    <d v="2023-03-31T00:00:00"/>
    <x v="1"/>
    <n v="400"/>
    <s v="False"/>
    <n v="14431.738420000001"/>
    <n v="22"/>
    <n v="18525.98"/>
    <n v="22"/>
    <n v="751.64"/>
    <n v="14281.16"/>
  </r>
  <r>
    <s v="ORD-2025-820255"/>
    <x v="421"/>
    <d v="2025-06-20T00:00:00"/>
    <n v="22"/>
    <s v="Q2-2025"/>
    <x v="2"/>
    <x v="8"/>
    <s v="Berlin"/>
    <s v="Corporate"/>
    <x v="2"/>
    <x v="1"/>
    <x v="1"/>
    <s v="PRN-9787"/>
    <n v="483.47"/>
    <n v="1135.43"/>
    <n v="0.14599999999999999"/>
    <n v="0.14599999999999999"/>
    <n v="11"/>
    <n v="1.3485014582083688"/>
    <n v="10666.229420000001"/>
    <n v="5318.17"/>
    <n v="5348.0594200000014"/>
    <n v="0.50140112399719983"/>
    <s v="High"/>
    <n v="10666.22942"/>
    <n v="5348.0594199999996"/>
    <n v="47"/>
    <d v="2023-03-03T00:00:00"/>
    <d v="2023-03-31T00:00:00"/>
    <x v="1"/>
    <n v="400"/>
    <s v="False"/>
    <n v="10666.22942"/>
    <n v="13"/>
    <n v="14760.59"/>
    <n v="13"/>
    <n v="555.9905"/>
    <n v="6115.8954999999996"/>
  </r>
  <r>
    <s v="ORD-2025-795385"/>
    <x v="422"/>
    <d v="2025-06-05T00:00:00"/>
    <n v="4"/>
    <s v="Q2-2025"/>
    <x v="2"/>
    <x v="8"/>
    <s v="Munich"/>
    <s v="Enterprise"/>
    <x v="2"/>
    <x v="3"/>
    <x v="6"/>
    <s v="CMP-4159"/>
    <n v="1171.42"/>
    <n v="2187.8000000000002"/>
    <n v="0.23"/>
    <n v="0.23"/>
    <n v="15"/>
    <n v="0.86764781205716146"/>
    <n v="25269.09"/>
    <n v="17571.300000000003"/>
    <n v="7697.7899999999972"/>
    <n v="0.30463265594447592"/>
    <s v="High"/>
    <n v="25269.090000000004"/>
    <n v="7697.7900000000009"/>
    <n v="48"/>
    <d v="2023-03-03T00:00:00"/>
    <d v="2023-03-31T00:00:00"/>
    <x v="0"/>
    <n v="158"/>
    <s v="True"/>
    <n v="25269.090000000004"/>
    <n v="18"/>
    <n v="39380.400000000001"/>
    <n v="18"/>
    <n v="1347.133"/>
    <n v="20206.994999999999"/>
  </r>
  <r>
    <s v="ORD-2025-398335"/>
    <x v="422"/>
    <d v="2025-06-27T00:00:00"/>
    <n v="26"/>
    <s v="Q2-2025"/>
    <x v="2"/>
    <x v="8"/>
    <s v="Munich"/>
    <s v="Consumer"/>
    <x v="0"/>
    <x v="14"/>
    <x v="0"/>
    <s v="LAP-1619"/>
    <n v="1362.31"/>
    <n v="3294.57"/>
    <n v="0.113"/>
    <n v="0.113"/>
    <n v="7"/>
    <n v="1.418370268147485"/>
    <n v="20455.985130000001"/>
    <n v="9536.17"/>
    <n v="10919.815130000001"/>
    <n v="0.5338200561157721"/>
    <s v="High"/>
    <n v="20455.985130000001"/>
    <n v="10919.815130000001"/>
    <n v="48"/>
    <d v="2023-03-03T00:00:00"/>
    <d v="2023-03-31T00:00:00"/>
    <x v="1"/>
    <n v="401"/>
    <s v="False"/>
    <n v="20455.985130000001"/>
    <n v="8"/>
    <n v="26356.560000000001"/>
    <n v="8"/>
    <n v="1566.6564999999998"/>
    <n v="10966.595499999999"/>
  </r>
  <r>
    <s v="ORD-2025-231184"/>
    <x v="422"/>
    <d v="2025-06-06T00:00:00"/>
    <n v="5"/>
    <s v="Q2-2025"/>
    <x v="2"/>
    <x v="2"/>
    <s v="Paris"/>
    <s v="Consumer"/>
    <x v="0"/>
    <x v="6"/>
    <x v="6"/>
    <s v="CMP-4093"/>
    <n v="379.45"/>
    <n v="742.23"/>
    <n v="0.09"/>
    <n v="0.09"/>
    <n v="13"/>
    <n v="0.95606799314797741"/>
    <n v="8780.5809000000008"/>
    <n v="4932.8499999999995"/>
    <n v="3847.7309000000014"/>
    <n v="0.43820915083192286"/>
    <s v="High"/>
    <n v="8780.5809000000008"/>
    <n v="3847.7309000000014"/>
    <n v="48"/>
    <d v="2023-03-03T00:00:00"/>
    <d v="2023-03-31T00:00:00"/>
    <x v="0"/>
    <n v="160"/>
    <s v="False"/>
    <n v="8780.5809000000008"/>
    <n v="15"/>
    <n v="11133.45"/>
    <n v="15"/>
    <n v="436.36749999999995"/>
    <n v="5672.7774999999992"/>
  </r>
  <r>
    <s v="ORD-2025-698069"/>
    <x v="423"/>
    <d v="2025-06-10T00:00:00"/>
    <n v="7"/>
    <s v="Q2-2025"/>
    <x v="0"/>
    <x v="0"/>
    <s v="Toronto"/>
    <s v="Consumer"/>
    <x v="0"/>
    <x v="5"/>
    <x v="1"/>
    <s v="PRN-6429"/>
    <n v="75.180000000000007"/>
    <n v="137.57940000000002"/>
    <n v="0.157"/>
    <n v="0.157"/>
    <n v="17"/>
    <n v="0.83000000000000007"/>
    <n v="1971.6503814000002"/>
    <n v="1278.0600000000002"/>
    <n v="693.59038140000007"/>
    <n v="0.35178162819490627"/>
    <s v="High"/>
    <n v="1971.6503814000002"/>
    <n v="693.59038140000007"/>
    <n v="37"/>
    <d v="2023-03-03T00:00:00"/>
    <d v="2023-03-31T00:00:00"/>
    <x v="0"/>
    <n v="160"/>
    <s v="False"/>
    <n v="1971.6503814000002"/>
    <n v="20"/>
    <n v="2751.5880000000006"/>
    <n v="20"/>
    <n v="86.457000000000008"/>
    <n v="1469.7690000000002"/>
  </r>
  <r>
    <s v="ORD-2025-411385"/>
    <x v="424"/>
    <d v="2025-06-14T00:00:00"/>
    <n v="9"/>
    <s v="Q2-2025"/>
    <x v="3"/>
    <x v="10"/>
    <s v="Delhi"/>
    <s v="Non-Profit"/>
    <x v="3"/>
    <x v="1"/>
    <x v="3"/>
    <s v="ACC-2902"/>
    <n v="618.69000000000005"/>
    <n v="796.15"/>
    <n v="0.09"/>
    <n v="0.09"/>
    <n v="11"/>
    <n v="0.2868318544020429"/>
    <n v="7969.4615000000003"/>
    <n v="6805.59"/>
    <n v="1163.8715000000002"/>
    <n v="0.14604142325049191"/>
    <s v="Medium"/>
    <n v="7969.4614999999994"/>
    <n v="1163.8714999999993"/>
    <n v="55"/>
    <d v="2023-03-03T00:00:00"/>
    <d v="2023-03-31T00:00:00"/>
    <x v="1"/>
    <n v="403"/>
    <s v="False"/>
    <n v="7969.4614999999994"/>
    <n v="13"/>
    <n v="10349.949999999999"/>
    <n v="13"/>
    <n v="711.49350000000004"/>
    <n v="7826.4285"/>
  </r>
  <r>
    <s v="ORD-2025-639542"/>
    <x v="425"/>
    <d v="2025-06-18T00:00:00"/>
    <n v="9"/>
    <s v="Q2-2025"/>
    <x v="2"/>
    <x v="2"/>
    <s v="Marseille"/>
    <s v="Small Business"/>
    <x v="4"/>
    <x v="4"/>
    <x v="3"/>
    <s v="ACC-1770"/>
    <n v="1225.5"/>
    <n v="2132.37"/>
    <n v="7.4999999999999997E-2"/>
    <n v="7.4999999999999997E-2"/>
    <n v="56"/>
    <n v="0.73999999999999988"/>
    <n v="110456.766"/>
    <n v="68628"/>
    <n v="41828.766000000003"/>
    <n v="0.3786890338614477"/>
    <s v="Medium"/>
    <n v="110456.766"/>
    <n v="41828.766000000003"/>
    <n v="49"/>
    <d v="2023-03-03T00:00:00"/>
    <d v="2023-03-31T00:00:00"/>
    <x v="1"/>
    <n v="404"/>
    <s v="False"/>
    <n v="110456.766"/>
    <n v="67"/>
    <n v="142868.78999999998"/>
    <n v="67"/>
    <n v="1409.3249999999998"/>
    <n v="78922.199999999983"/>
  </r>
  <r>
    <s v="ORD-2025-526752"/>
    <x v="425"/>
    <d v="2025-06-25T00:00:00"/>
    <n v="16"/>
    <s v="Q2-2025"/>
    <x v="3"/>
    <x v="10"/>
    <s v="Hyderabad"/>
    <s v="Enterprise"/>
    <x v="0"/>
    <x v="3"/>
    <x v="2"/>
    <s v="PHN-3482"/>
    <n v="527.33000000000004"/>
    <n v="911.72"/>
    <n v="0.14399999999999999"/>
    <n v="0.14399999999999999"/>
    <n v="25"/>
    <n v="0.72893633967344917"/>
    <n v="19510.808000000001"/>
    <n v="13183.250000000002"/>
    <n v="6327.5579999999991"/>
    <n v="0.32431040272652978"/>
    <s v="Medium"/>
    <n v="19510.808000000001"/>
    <n v="6327.5579999999991"/>
    <n v="56"/>
    <d v="2023-03-03T00:00:00"/>
    <d v="2023-03-31T00:00:00"/>
    <x v="1"/>
    <n v="405"/>
    <s v="False"/>
    <n v="19510.808000000001"/>
    <n v="30"/>
    <n v="27351.600000000002"/>
    <n v="30"/>
    <n v="606.42949999999996"/>
    <n v="15160.737499999999"/>
  </r>
  <r>
    <s v="ORD-2025-417942"/>
    <x v="425"/>
    <d v="2025-06-24T00:00:00"/>
    <n v="15"/>
    <s v="Q2-2025"/>
    <x v="3"/>
    <x v="11"/>
    <s v="Nagoya"/>
    <s v="Corporate"/>
    <x v="2"/>
    <x v="0"/>
    <x v="2"/>
    <s v="PHN-5675"/>
    <n v="400.39"/>
    <n v="712.75"/>
    <n v="0.115"/>
    <n v="0.115"/>
    <n v="19"/>
    <n v="0.78013936411998308"/>
    <n v="11984.891250000001"/>
    <n v="7607.41"/>
    <n v="4377.4812500000007"/>
    <n v="0.36524997671547504"/>
    <s v="High"/>
    <n v="11984.891250000001"/>
    <n v="4377.4812500000007"/>
    <n v="53"/>
    <d v="2023-03-03T00:00:00"/>
    <d v="2023-03-31T00:00:00"/>
    <x v="1"/>
    <n v="406"/>
    <s v="False"/>
    <n v="11984.891250000001"/>
    <n v="22"/>
    <n v="15680.5"/>
    <n v="22"/>
    <n v="460.44849999999997"/>
    <n v="8748.5214999999989"/>
  </r>
  <r>
    <s v="ORD-2025-580047"/>
    <x v="426"/>
    <d v="2025-06-29T00:00:00"/>
    <n v="15"/>
    <s v="Q2-2025"/>
    <x v="1"/>
    <x v="5"/>
    <s v="Port Harcourt"/>
    <s v="Consumer"/>
    <x v="4"/>
    <x v="3"/>
    <x v="3"/>
    <s v="ACC-3961"/>
    <n v="730.99"/>
    <n v="1242.8399999999999"/>
    <n v="0.12"/>
    <n v="0.12"/>
    <n v="10"/>
    <n v="0.70021477721993453"/>
    <n v="10936.992"/>
    <n v="7309.9"/>
    <n v="3627.0920000000006"/>
    <n v="0.33163524303574515"/>
    <s v="Medium"/>
    <n v="10936.992"/>
    <n v="3627.0920000000006"/>
    <n v="39"/>
    <d v="2023-03-03T00:00:00"/>
    <d v="2023-03-31T00:00:00"/>
    <x v="1"/>
    <n v="407"/>
    <s v="False"/>
    <n v="10936.992"/>
    <n v="12"/>
    <n v="14914.079999999998"/>
    <n v="12"/>
    <n v="840.63849999999991"/>
    <n v="8406.3849999999984"/>
  </r>
  <r>
    <s v="ORD-2025-485946"/>
    <x v="427"/>
    <d v="2025-06-30T00:00:00"/>
    <n v="15"/>
    <s v="Q2-2025"/>
    <x v="1"/>
    <x v="1"/>
    <s v="Johannesburg"/>
    <s v="Small Business"/>
    <x v="2"/>
    <x v="11"/>
    <x v="5"/>
    <s v="MON-5891"/>
    <n v="1487.59"/>
    <n v="2484.2752999999998"/>
    <n v="8.9999999999999993E-3"/>
    <n v="8.9999999999999993E-3"/>
    <n v="11"/>
    <n v="0.66999999999999993"/>
    <n v="27081.085045299998"/>
    <n v="16363.49"/>
    <n v="10717.595045299999"/>
    <n v="0.39575943974815253"/>
    <s v="Medium"/>
    <n v="27081.085045299995"/>
    <n v="10717.595045299995"/>
    <n v="39"/>
    <d v="2023-03-03T00:00:00"/>
    <d v="2023-03-31T00:00:00"/>
    <x v="1"/>
    <n v="408"/>
    <s v="False"/>
    <n v="27081.085045299995"/>
    <n v="13"/>
    <n v="32295.578899999997"/>
    <n v="13"/>
    <n v="1710.7284999999997"/>
    <n v="18818.013499999997"/>
  </r>
  <r>
    <s v="ORD-2025-856556"/>
    <x v="427"/>
    <d v="2025-07-12T00:00:00"/>
    <n v="27"/>
    <s v="Q2-2025"/>
    <x v="2"/>
    <x v="2"/>
    <s v="Marseille"/>
    <s v="Consumer"/>
    <x v="2"/>
    <x v="11"/>
    <x v="3"/>
    <s v="ACC-7906"/>
    <n v="318.83"/>
    <n v="699.5"/>
    <n v="0.08"/>
    <n v="0.08"/>
    <n v="13"/>
    <n v="1.1939591631904152"/>
    <n v="8366.02"/>
    <n v="4144.79"/>
    <n v="4221.2300000000005"/>
    <n v="0.50456848059172699"/>
    <s v="High"/>
    <n v="8366.02"/>
    <n v="4221.2300000000005"/>
    <n v="50"/>
    <d v="2023-03-03T00:00:00"/>
    <d v="2023-03-31T00:00:00"/>
    <x v="1"/>
    <n v="409"/>
    <s v="False"/>
    <n v="8366.02"/>
    <n v="15"/>
    <n v="10492.5"/>
    <n v="15"/>
    <n v="366.65449999999993"/>
    <n v="4766.508499999999"/>
  </r>
  <r>
    <s v="ORD-2025-480172"/>
    <x v="428"/>
    <d v="2025-07-05T00:00:00"/>
    <n v="18"/>
    <s v="Q2-2025"/>
    <x v="3"/>
    <x v="10"/>
    <s v="Delhi"/>
    <s v="Consumer"/>
    <x v="4"/>
    <x v="9"/>
    <x v="0"/>
    <s v="LAP-1990"/>
    <n v="982.93"/>
    <n v="2299.3000000000002"/>
    <n v="0.113"/>
    <n v="0.113"/>
    <n v="6"/>
    <n v="1.3392306674941252"/>
    <n v="12236.874600000001"/>
    <n v="5897.58"/>
    <n v="6339.2946000000011"/>
    <n v="0.51804850562087157"/>
    <s v="High"/>
    <n v="12236.874600000001"/>
    <n v="6339.2946000000011"/>
    <n v="57"/>
    <d v="2023-03-03T00:00:00"/>
    <d v="2023-03-31T00:00:00"/>
    <x v="1"/>
    <n v="410"/>
    <s v="False"/>
    <n v="12236.874600000001"/>
    <n v="7"/>
    <n v="16095.100000000002"/>
    <n v="7"/>
    <n v="1130.3694999999998"/>
    <n v="6782.2169999999987"/>
  </r>
  <r>
    <s v="ORD-2025-184082"/>
    <x v="429"/>
    <d v="2025-07-12T00:00:00"/>
    <n v="23"/>
    <s v="Q2-2025"/>
    <x v="2"/>
    <x v="6"/>
    <s v="London"/>
    <s v="Non-Profit"/>
    <x v="2"/>
    <x v="4"/>
    <x v="4"/>
    <s v="NET-6370"/>
    <n v="801.24"/>
    <n v="1959.09"/>
    <n v="0.123"/>
    <n v="0.123"/>
    <n v="23"/>
    <n v="1.4450726374120113"/>
    <n v="39516.804389999998"/>
    <n v="18428.52"/>
    <n v="21088.284389999997"/>
    <n v="0.53365358650651762"/>
    <s v="High"/>
    <n v="39516.804389999998"/>
    <n v="21088.284389999997"/>
    <n v="48"/>
    <d v="2023-03-03T00:00:00"/>
    <d v="2023-03-31T00:00:00"/>
    <x v="1"/>
    <n v="410"/>
    <s v="False"/>
    <n v="39516.804389999998"/>
    <n v="27"/>
    <n v="52895.43"/>
    <n v="27"/>
    <n v="921.42599999999993"/>
    <n v="21192.797999999999"/>
  </r>
  <r>
    <s v="ORD-2025-262434"/>
    <x v="429"/>
    <d v="2025-06-21T00:00:00"/>
    <n v="2"/>
    <s v="Q2-2025"/>
    <x v="1"/>
    <x v="1"/>
    <s v="Johannesburg"/>
    <s v="Small Business"/>
    <x v="2"/>
    <x v="4"/>
    <x v="2"/>
    <s v="PHN-7379"/>
    <n v="1466.27"/>
    <n v="3589.89"/>
    <n v="9.7000000000000003E-2"/>
    <n v="9.7000000000000003E-2"/>
    <n v="9"/>
    <n v="1.4483144304937017"/>
    <n v="29175.036029999999"/>
    <n v="13196.43"/>
    <n v="15978.606029999999"/>
    <n v="0.54768076425234147"/>
    <s v="High"/>
    <n v="29175.036029999999"/>
    <n v="15978.606029999999"/>
    <n v="41"/>
    <d v="2023-03-03T00:00:00"/>
    <d v="2023-03-31T00:00:00"/>
    <x v="0"/>
    <n v="162"/>
    <s v="False"/>
    <n v="29175.036029999999"/>
    <n v="10"/>
    <n v="35898.9"/>
    <n v="10"/>
    <n v="1686.2104999999999"/>
    <n v="15175.894499999999"/>
  </r>
  <r>
    <s v="ORD-2025-908258"/>
    <x v="430"/>
    <d v="2025-06-27T00:00:00"/>
    <n v="6"/>
    <s v="Q2-2025"/>
    <x v="1"/>
    <x v="1"/>
    <s v="Durban"/>
    <s v="Enterprise"/>
    <x v="0"/>
    <x v="8"/>
    <x v="2"/>
    <s v="PHN-3819"/>
    <n v="93.91"/>
    <n v="99.04"/>
    <n v="5.7000000000000002E-2"/>
    <n v="5.7000000000000002E-2"/>
    <n v="6"/>
    <n v="5.4626770312000958E-2"/>
    <n v="560.36831999999993"/>
    <n v="563.46"/>
    <n v="-3.0916800000001103"/>
    <n v="-5.5172283829323376E-3"/>
    <s v="Low"/>
    <n v="560.36832000000004"/>
    <n v="-3.0916799999999967"/>
    <n v="41"/>
    <d v="2023-03-03T00:00:00"/>
    <d v="2023-03-31T00:00:00"/>
    <x v="0"/>
    <n v="162"/>
    <s v="False"/>
    <n v="560.36832000000004"/>
    <n v="7"/>
    <n v="693.28000000000009"/>
    <n v="7"/>
    <n v="107.99649999999998"/>
    <n v="647.97899999999993"/>
  </r>
  <r>
    <s v="ORD-2025-278048"/>
    <x v="431"/>
    <d v="2025-07-08T00:00:00"/>
    <n v="16"/>
    <s v="Q2-2025"/>
    <x v="2"/>
    <x v="6"/>
    <s v="London"/>
    <s v="Education"/>
    <x v="2"/>
    <x v="1"/>
    <x v="2"/>
    <s v="PHN-5316"/>
    <n v="892.73"/>
    <n v="979.84"/>
    <n v="0.17399999999999999"/>
    <n v="0.17399999999999999"/>
    <n v="10"/>
    <n v="9.7577094978324924E-2"/>
    <n v="8093.4784"/>
    <n v="8927.2999999999993"/>
    <n v="-833.82159999999931"/>
    <n v="-0.10302388649112838"/>
    <s v="Low"/>
    <n v="8093.4784000000018"/>
    <n v="-833.82159999999749"/>
    <n v="49"/>
    <d v="2023-03-03T00:00:00"/>
    <d v="2023-03-31T00:00:00"/>
    <x v="1"/>
    <n v="412"/>
    <s v="False"/>
    <n v="8093.4784000000018"/>
    <n v="12"/>
    <n v="11758.08"/>
    <n v="12"/>
    <n v="1026.6395"/>
    <n v="10266.395"/>
  </r>
  <r>
    <s v="ORD-2025-312803"/>
    <x v="432"/>
    <d v="2025-07-14T00:00:00"/>
    <n v="20"/>
    <s v="Q2-2025"/>
    <x v="1"/>
    <x v="1"/>
    <s v="Johannesburg"/>
    <s v="Enterprise"/>
    <x v="4"/>
    <x v="13"/>
    <x v="0"/>
    <s v="LAP-1308"/>
    <n v="1151.06"/>
    <n v="2821.36"/>
    <n v="0.248"/>
    <n v="0.248"/>
    <n v="20"/>
    <n v="1.4510972494917731"/>
    <n v="42433.254400000005"/>
    <n v="23021.199999999997"/>
    <n v="19412.054400000008"/>
    <n v="0.45747267501594235"/>
    <s v="High"/>
    <n v="42433.254400000005"/>
    <n v="19412.054400000008"/>
    <n v="42"/>
    <d v="2023-03-03T00:00:00"/>
    <d v="2023-03-31T00:00:00"/>
    <x v="1"/>
    <n v="413"/>
    <s v="True"/>
    <n v="42433.254400000005"/>
    <n v="24"/>
    <n v="67712.639999999999"/>
    <n v="24"/>
    <n v="1323.7189999999998"/>
    <n v="26474.379999999997"/>
  </r>
  <r>
    <s v="ORD-2025-718992"/>
    <x v="432"/>
    <d v="2025-07-10T00:00:00"/>
    <n v="16"/>
    <s v="Q2-2025"/>
    <x v="3"/>
    <x v="3"/>
    <s v="Shanghai"/>
    <s v="Enterprise"/>
    <x v="2"/>
    <x v="8"/>
    <x v="6"/>
    <s v="CMP-8390"/>
    <n v="757.19"/>
    <n v="1735.41"/>
    <n v="0.13600000000000001"/>
    <n v="0.13600000000000001"/>
    <n v="8"/>
    <n v="1.2919082396756427"/>
    <n v="11995.153920000001"/>
    <n v="6057.52"/>
    <n v="5937.6339200000002"/>
    <n v="0.4950027285685718"/>
    <s v="High"/>
    <n v="11995.153920000001"/>
    <n v="5937.6339200000002"/>
    <n v="46"/>
    <d v="2023-03-03T00:00:00"/>
    <d v="2023-03-31T00:00:00"/>
    <x v="1"/>
    <n v="414"/>
    <s v="False"/>
    <n v="11995.153920000001"/>
    <n v="9"/>
    <n v="15618.69"/>
    <n v="9"/>
    <n v="870.76850000000002"/>
    <n v="6966.1480000000001"/>
  </r>
  <r>
    <s v="ORD-2025-678328"/>
    <x v="432"/>
    <d v="2025-07-14T00:00:00"/>
    <n v="20"/>
    <s v="Q2-2025"/>
    <x v="2"/>
    <x v="8"/>
    <s v="Berlin"/>
    <s v="Corporate"/>
    <x v="2"/>
    <x v="5"/>
    <x v="3"/>
    <s v="ACC-8094"/>
    <n v="385.08"/>
    <n v="893.19"/>
    <n v="0.151"/>
    <n v="0.151"/>
    <n v="8"/>
    <n v="1.3194920535992523"/>
    <n v="6066.54648"/>
    <n v="3080.64"/>
    <n v="2985.9064800000001"/>
    <n v="0.49219213762621666"/>
    <s v="High"/>
    <n v="6066.54648"/>
    <n v="2985.9064800000001"/>
    <n v="49"/>
    <d v="2023-03-03T00:00:00"/>
    <d v="2023-03-31T00:00:00"/>
    <x v="1"/>
    <n v="415"/>
    <s v="False"/>
    <n v="6066.54648"/>
    <n v="9"/>
    <n v="8038.7100000000009"/>
    <n v="9"/>
    <n v="442.84199999999993"/>
    <n v="3542.7359999999994"/>
  </r>
  <r>
    <s v="ORD-2025-306903"/>
    <x v="432"/>
    <d v="2025-07-23T00:00:00"/>
    <n v="29"/>
    <s v="Q2-2025"/>
    <x v="0"/>
    <x v="0"/>
    <s v="Vancouver"/>
    <s v="Non-Profit"/>
    <x v="4"/>
    <x v="12"/>
    <x v="1"/>
    <s v="PRN-3775"/>
    <n v="255.4"/>
    <n v="322.70999999999998"/>
    <n v="0.115"/>
    <n v="0.115"/>
    <n v="16"/>
    <n v="0.26354737666405625"/>
    <n v="4569.5735999999997"/>
    <n v="4086.4"/>
    <n v="483.17359999999962"/>
    <n v="0.10573713048412212"/>
    <s v="Medium"/>
    <n v="4569.5735999999997"/>
    <n v="483.17359999999962"/>
    <n v="38"/>
    <d v="2023-03-03T00:00:00"/>
    <d v="2023-03-31T00:00:00"/>
    <x v="1"/>
    <n v="416"/>
    <s v="False"/>
    <n v="4569.5735999999997"/>
    <n v="19"/>
    <n v="6131.49"/>
    <n v="19"/>
    <n v="293.70999999999998"/>
    <n v="4699.3599999999997"/>
  </r>
  <r>
    <s v="ORD-2025-591006"/>
    <x v="433"/>
    <d v="2025-07-10T00:00:00"/>
    <n v="15"/>
    <s v="Q2-2025"/>
    <x v="2"/>
    <x v="6"/>
    <s v="Birmingham"/>
    <s v="Non-Profit"/>
    <x v="4"/>
    <x v="2"/>
    <x v="2"/>
    <s v="PHN-5383"/>
    <n v="546.83000000000004"/>
    <n v="842.11820000000012"/>
    <n v="7.8E-2"/>
    <n v="7.8E-2"/>
    <n v="13"/>
    <n v="0.54000000000000015"/>
    <n v="10093.628745200002"/>
    <n v="7108.7900000000009"/>
    <n v="2984.8387452000006"/>
    <n v="0.29571513085612872"/>
    <s v="Medium"/>
    <n v="10093.628745200002"/>
    <n v="2984.8387452000006"/>
    <n v="50"/>
    <d v="2023-03-03T00:00:00"/>
    <d v="2023-03-31T00:00:00"/>
    <x v="1"/>
    <n v="417"/>
    <s v="False"/>
    <n v="10093.628745200002"/>
    <n v="15"/>
    <n v="12631.773000000001"/>
    <n v="15"/>
    <n v="628.85450000000003"/>
    <n v="8175.1085000000003"/>
  </r>
  <r>
    <s v="ORD-2025-929414"/>
    <x v="434"/>
    <d v="2025-07-11T00:00:00"/>
    <n v="15"/>
    <s v="Q2-2025"/>
    <x v="1"/>
    <x v="5"/>
    <s v="Port Harcourt"/>
    <s v="Small Business"/>
    <x v="1"/>
    <x v="1"/>
    <x v="0"/>
    <s v="LAP-7523"/>
    <n v="1170.1500000000001"/>
    <n v="2115.19"/>
    <n v="9.1999999999999998E-2"/>
    <n v="9.1999999999999998E-2"/>
    <n v="23"/>
    <n v="0.80762295432209541"/>
    <n v="44173.627960000005"/>
    <n v="26913.45"/>
    <n v="17260.177960000005"/>
    <n v="0.39073489674946776"/>
    <s v="High"/>
    <n v="44173.627960000005"/>
    <n v="17260.177960000005"/>
    <n v="40"/>
    <d v="2023-03-03T00:00:00"/>
    <d v="2023-03-31T00:00:00"/>
    <x v="1"/>
    <n v="418"/>
    <s v="False"/>
    <n v="44173.627960000005"/>
    <n v="27"/>
    <n v="57110.130000000005"/>
    <n v="27"/>
    <n v="1345.6724999999999"/>
    <n v="30950.467499999999"/>
  </r>
  <r>
    <s v="ORD-2025-188059"/>
    <x v="435"/>
    <d v="2025-07-11T00:00:00"/>
    <n v="14"/>
    <s v="Q2-2025"/>
    <x v="3"/>
    <x v="3"/>
    <s v="Shanghai"/>
    <s v="Small Business"/>
    <x v="4"/>
    <x v="9"/>
    <x v="4"/>
    <s v="NET-3535"/>
    <n v="1227.7"/>
    <n v="2197.23"/>
    <n v="9.9000000000000005E-2"/>
    <n v="9.9000000000000005E-2"/>
    <n v="22"/>
    <n v="0.78971247047324256"/>
    <n v="43553.493060000001"/>
    <n v="27009.4"/>
    <n v="16544.093059999999"/>
    <n v="0.37985685871873898"/>
    <s v="High"/>
    <n v="43553.493060000001"/>
    <n v="16544.093059999999"/>
    <n v="47"/>
    <d v="2023-03-03T00:00:00"/>
    <d v="2023-03-31T00:00:00"/>
    <x v="1"/>
    <n v="419"/>
    <s v="False"/>
    <n v="43553.493060000001"/>
    <n v="26"/>
    <n v="57127.98"/>
    <n v="26"/>
    <n v="1411.855"/>
    <n v="31060.81"/>
  </r>
  <r>
    <s v="ORD-2025-184754"/>
    <x v="435"/>
    <d v="2025-07-05T00:00:00"/>
    <n v="8"/>
    <s v="Q2-2025"/>
    <x v="2"/>
    <x v="8"/>
    <s v="Munich"/>
    <s v="Small Business"/>
    <x v="2"/>
    <x v="6"/>
    <x v="5"/>
    <s v="MON-7626"/>
    <n v="314.93"/>
    <n v="687.95"/>
    <n v="0.20499999999999999"/>
    <n v="0.20499999999999999"/>
    <n v="8"/>
    <n v="1.1844536881211698"/>
    <n v="4375.3620000000001"/>
    <n v="2519.44"/>
    <n v="1855.922"/>
    <n v="0.424175645352316"/>
    <s v="High"/>
    <n v="4375.3620000000001"/>
    <n v="1855.922"/>
    <n v="50"/>
    <d v="2023-03-03T00:00:00"/>
    <d v="2023-03-31T00:00:00"/>
    <x v="1"/>
    <n v="419"/>
    <s v="True"/>
    <n v="4375.3620000000001"/>
    <n v="9"/>
    <n v="6191.55"/>
    <n v="9"/>
    <n v="362.16949999999997"/>
    <n v="2897.3559999999998"/>
  </r>
  <r>
    <s v="ORD-2025-650841"/>
    <x v="436"/>
    <d v="2025-07-06T00:00:00"/>
    <n v="3"/>
    <s v="Q3-2025"/>
    <x v="1"/>
    <x v="5"/>
    <s v="Lagos"/>
    <s v="Consumer"/>
    <x v="1"/>
    <x v="13"/>
    <x v="0"/>
    <s v="LAP-8910"/>
    <n v="1313.3"/>
    <n v="2884.34"/>
    <n v="0.157"/>
    <n v="0.157"/>
    <n v="42"/>
    <n v="1.196253712023148"/>
    <n v="102122.94203999999"/>
    <n v="55158.6"/>
    <n v="46964.342039999996"/>
    <n v="0.45988042551305253"/>
    <s v="High"/>
    <n v="102122.94203999999"/>
    <n v="46964.342039999996"/>
    <n v="41"/>
    <d v="2023-03-03T00:00:00"/>
    <d v="2023-03-31T00:00:00"/>
    <x v="0"/>
    <n v="163"/>
    <s v="False"/>
    <n v="102122.94203999999"/>
    <n v="50"/>
    <n v="144217"/>
    <n v="50"/>
    <n v="1510.2949999999998"/>
    <n v="63432.389999999992"/>
  </r>
  <r>
    <s v="ORD-2025-779659"/>
    <x v="436"/>
    <d v="2025-07-23T00:00:00"/>
    <n v="20"/>
    <s v="Q3-2025"/>
    <x v="3"/>
    <x v="3"/>
    <s v="Beijing"/>
    <s v="Small Business"/>
    <x v="1"/>
    <x v="3"/>
    <x v="6"/>
    <s v="CMP-1220"/>
    <n v="647.36"/>
    <n v="1383.6"/>
    <n v="7.3999999999999996E-2"/>
    <n v="7.3999999999999996E-2"/>
    <n v="12"/>
    <n v="1.1372960949085515"/>
    <n v="15374.563199999999"/>
    <n v="7768.32"/>
    <n v="7606.243199999999"/>
    <n v="0.49472906000997802"/>
    <s v="High"/>
    <n v="15374.563200000001"/>
    <n v="7606.2432000000008"/>
    <n v="48"/>
    <d v="2023-03-03T00:00:00"/>
    <d v="2023-03-31T00:00:00"/>
    <x v="1"/>
    <n v="421"/>
    <s v="False"/>
    <n v="15374.563200000001"/>
    <n v="14"/>
    <n v="19370.399999999998"/>
    <n v="14"/>
    <n v="744.46399999999994"/>
    <n v="8933.5679999999993"/>
  </r>
  <r>
    <s v="ORD-2025-956101"/>
    <x v="437"/>
    <d v="2025-07-18T00:00:00"/>
    <n v="9"/>
    <s v="Q3-2025"/>
    <x v="0"/>
    <x v="0"/>
    <s v="Vancouver"/>
    <s v="Education"/>
    <x v="0"/>
    <x v="12"/>
    <x v="0"/>
    <s v="LAP-2218"/>
    <n v="57.96"/>
    <n v="88.51"/>
    <n v="4.2999999999999997E-2"/>
    <n v="4.2999999999999997E-2"/>
    <n v="7"/>
    <n v="0.52708764665286412"/>
    <n v="592.92849000000001"/>
    <n v="405.72"/>
    <n v="187.20848999999998"/>
    <n v="0.3157353595877978"/>
    <s v="Medium"/>
    <n v="592.92849000000001"/>
    <n v="187.20848999999998"/>
    <n v="39"/>
    <d v="2023-03-03T00:00:00"/>
    <d v="2023-03-31T00:00:00"/>
    <x v="1"/>
    <n v="421"/>
    <s v="False"/>
    <n v="592.92849000000001"/>
    <n v="8"/>
    <n v="708.08"/>
    <n v="8"/>
    <n v="66.653999999999996"/>
    <n v="466.57799999999997"/>
  </r>
  <r>
    <s v="ORD-2025-150713"/>
    <x v="438"/>
    <d v="2025-07-16T00:00:00"/>
    <n v="5"/>
    <s v="Q3-2025"/>
    <x v="2"/>
    <x v="6"/>
    <s v="London"/>
    <s v="Enterprise"/>
    <x v="1"/>
    <x v="10"/>
    <x v="1"/>
    <s v="PRN-5753"/>
    <n v="930.03"/>
    <n v="1086.68"/>
    <n v="0.109"/>
    <n v="0.109"/>
    <n v="26"/>
    <n v="0.16843542681418888"/>
    <n v="25174.028880000002"/>
    <n v="24180.78"/>
    <n v="993.24888000000283"/>
    <n v="3.9455300728168656E-2"/>
    <s v="Low"/>
    <n v="25174.028880000002"/>
    <n v="993.24888000000283"/>
    <n v="51"/>
    <d v="2023-03-03T00:00:00"/>
    <d v="2023-03-31T00:00:00"/>
    <x v="0"/>
    <n v="164"/>
    <s v="False"/>
    <n v="25174.028880000002"/>
    <n v="31"/>
    <n v="33687.08"/>
    <n v="31"/>
    <n v="1069.5345"/>
    <n v="27807.897000000001"/>
  </r>
  <r>
    <s v="ORD-2025-155182"/>
    <x v="438"/>
    <d v="2025-08-03T00:00:00"/>
    <n v="23"/>
    <s v="Q3-2025"/>
    <x v="1"/>
    <x v="7"/>
    <s v="Nakuru"/>
    <s v="Small Business"/>
    <x v="3"/>
    <x v="11"/>
    <x v="2"/>
    <s v="PHN-7636"/>
    <n v="389.93"/>
    <n v="486.13"/>
    <n v="0.13200000000000001"/>
    <n v="0.13200000000000001"/>
    <n v="17"/>
    <n v="0.2467109481188931"/>
    <n v="7173.3342799999991"/>
    <n v="6628.81"/>
    <n v="544.52427999999873"/>
    <n v="7.5909508569562828E-2"/>
    <s v="Low"/>
    <n v="7173.33428"/>
    <n v="544.52427999999964"/>
    <n v="51"/>
    <d v="2023-03-03T00:00:00"/>
    <d v="2023-03-31T00:00:00"/>
    <x v="1"/>
    <n v="423"/>
    <s v="False"/>
    <n v="7173.33428"/>
    <n v="20"/>
    <n v="9722.6"/>
    <n v="20"/>
    <n v="448.41949999999997"/>
    <n v="7623.1314999999995"/>
  </r>
  <r>
    <s v="ORD-2025-586799"/>
    <x v="439"/>
    <d v="2025-08-04T00:00:00"/>
    <n v="21"/>
    <s v="Q3-2025"/>
    <x v="0"/>
    <x v="0"/>
    <s v="Montreal"/>
    <s v="Consumer"/>
    <x v="1"/>
    <x v="4"/>
    <x v="5"/>
    <s v="MON-7868"/>
    <n v="90.3"/>
    <n v="131.76"/>
    <n v="0.10199999999999999"/>
    <n v="0.10199999999999999"/>
    <n v="15"/>
    <n v="0.45913621262458465"/>
    <n v="1774.8072"/>
    <n v="1354.5"/>
    <n v="420.30719999999997"/>
    <n v="0.23681851189244668"/>
    <s v="Medium"/>
    <n v="1774.8071999999997"/>
    <n v="420.30719999999974"/>
    <n v="40"/>
    <d v="2023-03-03T00:00:00"/>
    <d v="2023-03-31T00:00:00"/>
    <x v="1"/>
    <n v="423"/>
    <s v="False"/>
    <n v="1774.8071999999997"/>
    <n v="18"/>
    <n v="2371.6799999999998"/>
    <n v="18"/>
    <n v="103.84499999999998"/>
    <n v="1557.6749999999997"/>
  </r>
  <r>
    <s v="ORD-2025-678688"/>
    <x v="440"/>
    <d v="2025-07-17T00:00:00"/>
    <n v="1"/>
    <s v="Q3-2025"/>
    <x v="1"/>
    <x v="1"/>
    <s v="Durban"/>
    <s v="Small Business"/>
    <x v="0"/>
    <x v="0"/>
    <x v="4"/>
    <s v="NET-1612"/>
    <n v="1198.9000000000001"/>
    <n v="2941.2"/>
    <n v="5.0999999999999997E-2"/>
    <n v="5.0999999999999997E-2"/>
    <n v="24"/>
    <n v="1.4532488114104591"/>
    <n v="66988.771199999988"/>
    <n v="28773.600000000002"/>
    <n v="38215.171199999982"/>
    <n v="0.57047129713583977"/>
    <s v="High"/>
    <n v="66988.771199999988"/>
    <n v="38215.171199999982"/>
    <n v="43"/>
    <d v="2023-03-03T00:00:00"/>
    <d v="2023-03-31T00:00:00"/>
    <x v="0"/>
    <n v="166"/>
    <s v="False"/>
    <n v="66988.771199999988"/>
    <n v="28"/>
    <n v="82353.599999999991"/>
    <n v="28"/>
    <n v="1378.7349999999999"/>
    <n v="33089.64"/>
  </r>
  <r>
    <s v="ORD-2025-132174"/>
    <x v="441"/>
    <d v="2025-07-23T00:00:00"/>
    <n v="6"/>
    <s v="Q3-2025"/>
    <x v="0"/>
    <x v="0"/>
    <s v="Vancouver"/>
    <s v="Consumer"/>
    <x v="1"/>
    <x v="4"/>
    <x v="6"/>
    <s v="CMP-8851"/>
    <n v="1364.89"/>
    <n v="2757.54"/>
    <n v="0.17199999999999999"/>
    <n v="0.17199999999999999"/>
    <n v="61"/>
    <n v="1.0203386353479034"/>
    <n v="139277.83032000001"/>
    <n v="83258.290000000008"/>
    <n v="56019.54032"/>
    <n v="0.4022143379983118"/>
    <s v="High"/>
    <n v="139277.83032000001"/>
    <n v="56019.54032"/>
    <n v="41"/>
    <d v="2023-03-03T00:00:00"/>
    <d v="2023-03-31T00:00:00"/>
    <x v="0"/>
    <n v="166"/>
    <s v="False"/>
    <n v="139277.83032000001"/>
    <n v="73"/>
    <n v="201300.41999999998"/>
    <n v="73"/>
    <n v="1569.6234999999999"/>
    <n v="95747.03349999999"/>
  </r>
  <r>
    <s v="ORD-2025-649633"/>
    <x v="442"/>
    <d v="2025-07-31T00:00:00"/>
    <n v="12"/>
    <s v="Q3-2025"/>
    <x v="1"/>
    <x v="7"/>
    <s v="Nairobi"/>
    <s v="Small Business"/>
    <x v="4"/>
    <x v="5"/>
    <x v="3"/>
    <s v="ACC-1028"/>
    <n v="619.64"/>
    <n v="861.16"/>
    <n v="0.113"/>
    <n v="0.113"/>
    <n v="14"/>
    <n v="0.3897747078949067"/>
    <n v="10693.88488"/>
    <n v="8674.9599999999991"/>
    <n v="2018.9248800000005"/>
    <n v="0.18879246435276761"/>
    <s v="Medium"/>
    <n v="10693.88488"/>
    <n v="2018.9248800000005"/>
    <n v="52"/>
    <d v="2023-03-03T00:00:00"/>
    <d v="2023-03-31T00:00:00"/>
    <x v="1"/>
    <n v="425"/>
    <s v="False"/>
    <n v="10693.88488"/>
    <n v="16"/>
    <n v="13778.56"/>
    <n v="16"/>
    <n v="712.5859999999999"/>
    <n v="9976.2039999999979"/>
  </r>
  <r>
    <s v="ORD-2025-843974"/>
    <x v="443"/>
    <d v="2025-08-05T00:00:00"/>
    <n v="16"/>
    <s v="Q3-2025"/>
    <x v="0"/>
    <x v="9"/>
    <s v="Brasília"/>
    <s v="Enterprise"/>
    <x v="4"/>
    <x v="6"/>
    <x v="3"/>
    <s v="ACC-8098"/>
    <n v="1068.17"/>
    <n v="2375.37"/>
    <n v="0.109"/>
    <n v="0.109"/>
    <n v="18"/>
    <n v="1.2237752417686321"/>
    <n v="38096.18406"/>
    <n v="19227.060000000001"/>
    <n v="18869.124059999998"/>
    <n v="0.49530220744108822"/>
    <s v="High"/>
    <n v="38096.18406"/>
    <n v="18869.124059999998"/>
    <n v="57"/>
    <d v="2023-03-03T00:00:00"/>
    <d v="2023-03-31T00:00:00"/>
    <x v="1"/>
    <n v="426"/>
    <s v="False"/>
    <n v="38096.18406"/>
    <n v="21"/>
    <n v="49882.77"/>
    <n v="21"/>
    <n v="1228.3955000000001"/>
    <n v="22111.119000000002"/>
  </r>
  <r>
    <s v="ORD-2025-629393"/>
    <x v="444"/>
    <d v="2025-08-07T00:00:00"/>
    <n v="17"/>
    <s v="Q3-2025"/>
    <x v="1"/>
    <x v="5"/>
    <s v="Lagos"/>
    <s v="Enterprise"/>
    <x v="2"/>
    <x v="3"/>
    <x v="3"/>
    <s v="ACC-8999"/>
    <n v="1204.95"/>
    <n v="2065.73"/>
    <n v="0.13600000000000001"/>
    <n v="0.13600000000000001"/>
    <n v="10"/>
    <n v="0.71436989086684088"/>
    <n v="17847.907199999998"/>
    <n v="12049.5"/>
    <n v="5798.4071999999978"/>
    <n v="0.32487882949100039"/>
    <s v="Medium"/>
    <n v="17847.907200000001"/>
    <n v="5798.4072000000015"/>
    <n v="42"/>
    <d v="2023-03-03T00:00:00"/>
    <d v="2023-03-31T00:00:00"/>
    <x v="1"/>
    <n v="427"/>
    <s v="False"/>
    <n v="17847.907200000001"/>
    <n v="12"/>
    <n v="24788.760000000002"/>
    <n v="12"/>
    <n v="1385.6924999999999"/>
    <n v="13856.924999999999"/>
  </r>
  <r>
    <s v="ORD-2025-541501"/>
    <x v="445"/>
    <d v="2025-08-18T00:00:00"/>
    <n v="27"/>
    <s v="Q3-2025"/>
    <x v="3"/>
    <x v="3"/>
    <s v="Shenzhen"/>
    <s v="Non-Profit"/>
    <x v="4"/>
    <x v="3"/>
    <x v="4"/>
    <s v="NET-1804"/>
    <n v="547.32000000000005"/>
    <n v="996.12239999999997"/>
    <n v="9.1999999999999998E-2"/>
    <n v="9.1999999999999998E-2"/>
    <n v="14"/>
    <n v="0.81999999999999973"/>
    <n v="12662.7079488"/>
    <n v="7662.4800000000005"/>
    <n v="5000.2279487999995"/>
    <n v="0.39487824950380013"/>
    <s v="High"/>
    <n v="12662.7079488"/>
    <n v="5000.2279487999995"/>
    <n v="49"/>
    <d v="2023-03-03T00:00:00"/>
    <d v="2023-03-31T00:00:00"/>
    <x v="1"/>
    <n v="428"/>
    <s v="False"/>
    <n v="12662.7079488"/>
    <n v="16"/>
    <n v="15937.9584"/>
    <n v="16"/>
    <n v="629.41800000000001"/>
    <n v="8811.8520000000008"/>
  </r>
  <r>
    <s v="ORD-2025-789245"/>
    <x v="446"/>
    <d v="2025-08-17T00:00:00"/>
    <n v="25"/>
    <s v="Q3-2025"/>
    <x v="2"/>
    <x v="6"/>
    <s v="Birmingham"/>
    <s v="Education"/>
    <x v="1"/>
    <x v="12"/>
    <x v="1"/>
    <s v="PRN-5876"/>
    <n v="1142.06"/>
    <n v="1455"/>
    <n v="7.8E-2"/>
    <n v="7.8E-2"/>
    <n v="28"/>
    <n v="0.27401362450309097"/>
    <n v="37562.28"/>
    <n v="31977.68"/>
    <n v="5584.5999999999985"/>
    <n v="0.1486757459877302"/>
    <s v="Medium"/>
    <n v="37562.28"/>
    <n v="5584.5999999999985"/>
    <n v="52"/>
    <d v="2023-03-03T00:00:00"/>
    <d v="2023-03-31T00:00:00"/>
    <x v="1"/>
    <n v="429"/>
    <s v="False"/>
    <n v="37562.28"/>
    <n v="33"/>
    <n v="48015"/>
    <n v="33"/>
    <n v="1313.3689999999999"/>
    <n v="36774.331999999995"/>
  </r>
  <r>
    <s v="ORD-2025-703623"/>
    <x v="446"/>
    <d v="2025-08-19T00:00:00"/>
    <n v="27"/>
    <s v="Q3-2025"/>
    <x v="3"/>
    <x v="11"/>
    <s v="Nagoya"/>
    <s v="Consumer"/>
    <x v="4"/>
    <x v="0"/>
    <x v="3"/>
    <s v="ACC-1596"/>
    <n v="896.09"/>
    <n v="1451.6658000000002"/>
    <n v="8.3000000000000004E-2"/>
    <n v="8.3000000000000004E-2"/>
    <n v="11"/>
    <n v="0.62000000000000022"/>
    <n v="14642.952924600002"/>
    <n v="9856.99"/>
    <n v="4785.9629246000022"/>
    <n v="0.32684411055912338"/>
    <s v="Medium"/>
    <n v="14642.952924600002"/>
    <n v="4785.9629246000022"/>
    <n v="54"/>
    <d v="2023-03-03T00:00:00"/>
    <d v="2023-03-31T00:00:00"/>
    <x v="1"/>
    <n v="430"/>
    <s v="False"/>
    <n v="14642.952924600002"/>
    <n v="13"/>
    <n v="18871.655400000003"/>
    <n v="13"/>
    <n v="1030.5035"/>
    <n v="11335.538500000001"/>
  </r>
  <r>
    <s v="ORD-2025-474710"/>
    <x v="447"/>
    <d v="2025-08-06T00:00:00"/>
    <n v="13"/>
    <s v="Q3-2025"/>
    <x v="1"/>
    <x v="1"/>
    <s v="Johannesburg"/>
    <s v="Education"/>
    <x v="4"/>
    <x v="2"/>
    <x v="4"/>
    <s v="NET-7966"/>
    <n v="1463.9"/>
    <n v="2633.02"/>
    <n v="8.4000000000000005E-2"/>
    <n v="8.4000000000000005E-2"/>
    <n v="4"/>
    <n v="0.79863378646082372"/>
    <n v="9647.3852800000004"/>
    <n v="5855.6"/>
    <n v="3791.7852800000001"/>
    <n v="0.39303761277791527"/>
    <s v="High"/>
    <n v="9647.3852800000004"/>
    <n v="3791.7852800000001"/>
    <n v="44"/>
    <d v="2023-03-03T00:00:00"/>
    <d v="2023-03-31T00:00:00"/>
    <x v="1"/>
    <n v="431"/>
    <s v="False"/>
    <n v="9647.3852800000004"/>
    <n v="4"/>
    <n v="10532.08"/>
    <n v="4"/>
    <n v="1683.4849999999999"/>
    <n v="6733.94"/>
  </r>
  <r>
    <s v="ORD-2025-496178"/>
    <x v="448"/>
    <d v="2025-08-15T00:00:00"/>
    <n v="19"/>
    <s v="Q3-2025"/>
    <x v="3"/>
    <x v="11"/>
    <s v="Tokyo"/>
    <s v="Small Business"/>
    <x v="4"/>
    <x v="13"/>
    <x v="6"/>
    <s v="CMP-5658"/>
    <n v="275.43"/>
    <n v="608.36"/>
    <n v="0.25700000000000001"/>
    <n v="0.25"/>
    <n v="4"/>
    <n v="1.2087644773626693"/>
    <n v="1808.04592"/>
    <n v="1101.72"/>
    <n v="706.32592"/>
    <n v="0.39065706915231446"/>
    <s v="High"/>
    <n v="1808.04592"/>
    <n v="706.32592"/>
    <n v="55"/>
    <d v="2023-03-03T00:00:00"/>
    <d v="2023-03-31T00:00:00"/>
    <x v="1"/>
    <n v="432"/>
    <s v="True"/>
    <n v="1825.08"/>
    <n v="4"/>
    <n v="2433.44"/>
    <n v="4"/>
    <n v="316.74449999999996"/>
    <n v="1266.9779999999998"/>
  </r>
  <r>
    <s v="ORD-2025-418232"/>
    <x v="449"/>
    <d v="2025-08-21T00:00:00"/>
    <n v="20"/>
    <s v="Q3-2025"/>
    <x v="3"/>
    <x v="3"/>
    <s v="Shanghai"/>
    <s v="Corporate"/>
    <x v="2"/>
    <x v="12"/>
    <x v="2"/>
    <s v="PHN-9234"/>
    <n v="1220.4100000000001"/>
    <n v="2552.2199999999998"/>
    <n v="0.18099999999999999"/>
    <n v="0.18099999999999999"/>
    <n v="14"/>
    <n v="1.0912807990757201"/>
    <n v="29263.754519999995"/>
    <n v="17085.740000000002"/>
    <n v="12178.014519999993"/>
    <n v="0.41614668793360271"/>
    <s v="High"/>
    <n v="29263.754519999995"/>
    <n v="12178.014519999993"/>
    <n v="50"/>
    <d v="2023-03-03T00:00:00"/>
    <d v="2023-03-31T00:00:00"/>
    <x v="1"/>
    <n v="433"/>
    <s v="False"/>
    <n v="29263.754519999995"/>
    <n v="16"/>
    <n v="40835.519999999997"/>
    <n v="16"/>
    <n v="1403.4714999999999"/>
    <n v="19648.600999999999"/>
  </r>
  <r>
    <s v="ORD-2025-262491"/>
    <x v="449"/>
    <d v="2025-08-16T00:00:00"/>
    <n v="15"/>
    <s v="Q3-2025"/>
    <x v="3"/>
    <x v="10"/>
    <s v="Bengaluru"/>
    <s v="Enterprise"/>
    <x v="2"/>
    <x v="5"/>
    <x v="5"/>
    <s v="MON-1822"/>
    <n v="24.44"/>
    <n v="28.69"/>
    <n v="0.14599999999999999"/>
    <n v="0.14599999999999999"/>
    <n v="6"/>
    <n v="0.1738952536824877"/>
    <n v="147.00756000000001"/>
    <n v="146.64000000000001"/>
    <n v="0.36755999999999744"/>
    <n v="2.5002795774584476E-3"/>
    <s v="Low"/>
    <n v="147.00756000000001"/>
    <n v="0.36755999999999744"/>
    <n v="58"/>
    <d v="2023-03-03T00:00:00"/>
    <d v="2023-03-31T00:00:00"/>
    <x v="1"/>
    <n v="433"/>
    <s v="False"/>
    <n v="147.00756000000001"/>
    <n v="7"/>
    <n v="200.83"/>
    <n v="7"/>
    <n v="28.105999999999998"/>
    <n v="168.636"/>
  </r>
  <r>
    <s v="ORD-2025-646342"/>
    <x v="450"/>
    <d v="2025-08-08T00:00:00"/>
    <n v="6"/>
    <s v="Q3-2025"/>
    <x v="3"/>
    <x v="11"/>
    <s v="Osaka"/>
    <s v="Consumer"/>
    <x v="2"/>
    <x v="8"/>
    <x v="0"/>
    <s v="LAP-4828"/>
    <n v="1225.94"/>
    <n v="1793.08"/>
    <n v="0.13600000000000001"/>
    <n v="0.13600000000000001"/>
    <n v="22"/>
    <n v="0.46261644126139928"/>
    <n v="34082.864639999993"/>
    <n v="26970.68"/>
    <n v="7112.1846399999922"/>
    <n v="0.20867332353434462"/>
    <s v="Medium"/>
    <n v="34082.86464"/>
    <n v="7112.1846399999995"/>
    <n v="56"/>
    <d v="2023-03-03T00:00:00"/>
    <d v="2023-03-31T00:00:00"/>
    <x v="0"/>
    <n v="167"/>
    <s v="False"/>
    <n v="34082.86464"/>
    <n v="26"/>
    <n v="46620.08"/>
    <n v="26"/>
    <n v="1409.8309999999999"/>
    <n v="31016.281999999999"/>
  </r>
  <r>
    <s v="ORD-2025-281413"/>
    <x v="451"/>
    <d v="2025-08-16T00:00:00"/>
    <n v="13"/>
    <s v="Q3-2025"/>
    <x v="0"/>
    <x v="0"/>
    <s v="Montreal"/>
    <s v="Enterprise"/>
    <x v="0"/>
    <x v="5"/>
    <x v="4"/>
    <s v="NET-3785"/>
    <n v="698.66"/>
    <n v="868.62"/>
    <n v="7.1999999999999995E-2"/>
    <n v="7.1999999999999995E-2"/>
    <n v="15"/>
    <n v="0.24326568001603074"/>
    <n v="12091.190399999999"/>
    <n v="10479.9"/>
    <n v="1611.2903999999999"/>
    <n v="0.13326151906432637"/>
    <s v="Low"/>
    <n v="12091.190400000001"/>
    <n v="1611.2904000000017"/>
    <n v="42"/>
    <d v="2023-03-03T00:00:00"/>
    <d v="2023-03-31T00:00:00"/>
    <x v="1"/>
    <n v="435"/>
    <s v="False"/>
    <n v="12091.190400000001"/>
    <n v="18"/>
    <n v="15635.16"/>
    <n v="18"/>
    <n v="803.45899999999995"/>
    <n v="12051.884999999998"/>
  </r>
  <r>
    <s v="ORD-2025-635337"/>
    <x v="452"/>
    <d v="2025-08-28T00:00:00"/>
    <n v="23"/>
    <s v="Q3-2025"/>
    <x v="3"/>
    <x v="10"/>
    <s v="Mumbai"/>
    <s v="Non-Profit"/>
    <x v="0"/>
    <x v="8"/>
    <x v="0"/>
    <s v="LAP-3905"/>
    <n v="638.54"/>
    <n v="987.24"/>
    <n v="0"/>
    <n v="0"/>
    <n v="11"/>
    <n v="0.54608951670999473"/>
    <n v="10859.64"/>
    <n v="7023.94"/>
    <n v="3835.7"/>
    <n v="0.35320692030306716"/>
    <s v="Medium"/>
    <n v="10859.64"/>
    <n v="3835.7"/>
    <n v="59"/>
    <d v="2023-03-03T00:00:00"/>
    <d v="2023-03-31T00:00:00"/>
    <x v="1"/>
    <n v="436"/>
    <s v="False"/>
    <n v="10859.64"/>
    <n v="13"/>
    <n v="12834.12"/>
    <n v="13"/>
    <n v="734.32099999999991"/>
    <n v="8077.530999999999"/>
  </r>
  <r>
    <s v="ORD-2025-537785"/>
    <x v="452"/>
    <d v="2025-08-14T00:00:00"/>
    <n v="9"/>
    <s v="Q3-2025"/>
    <x v="2"/>
    <x v="6"/>
    <s v="London"/>
    <s v="Non-Profit"/>
    <x v="2"/>
    <x v="14"/>
    <x v="6"/>
    <s v="CMP-6346"/>
    <n v="41.76"/>
    <n v="45.19"/>
    <n v="0.17899999999999999"/>
    <n v="0.17899999999999999"/>
    <n v="23"/>
    <n v="8.2136015325670497E-2"/>
    <n v="853.32276999999988"/>
    <n v="960.4799999999999"/>
    <n v="-107.15723000000003"/>
    <n v="-0.12557643340514638"/>
    <s v="Low"/>
    <n v="853.32276999999988"/>
    <n v="-107.15723000000003"/>
    <n v="53"/>
    <d v="2023-03-03T00:00:00"/>
    <d v="2023-03-31T00:00:00"/>
    <x v="1"/>
    <n v="437"/>
    <s v="False"/>
    <n v="853.32276999999988"/>
    <n v="27"/>
    <n v="1220.1299999999999"/>
    <n v="27"/>
    <n v="48.023999999999994"/>
    <n v="1104.5519999999999"/>
  </r>
  <r>
    <s v="ORD-2025-419532"/>
    <x v="453"/>
    <d v="2025-08-23T00:00:00"/>
    <n v="17"/>
    <s v="Q3-2025"/>
    <x v="0"/>
    <x v="9"/>
    <s v="Brasília"/>
    <s v="Consumer"/>
    <x v="0"/>
    <x v="1"/>
    <x v="5"/>
    <s v="MON-4317"/>
    <n v="86.64"/>
    <n v="213.06"/>
    <n v="0.21199999999999999"/>
    <n v="0.21199999999999999"/>
    <n v="11"/>
    <n v="1.4591412742382273"/>
    <n v="1846.8040799999999"/>
    <n v="953.04"/>
    <n v="893.76407999999992"/>
    <n v="0.48395175735154322"/>
    <s v="High"/>
    <n v="1846.8040800000003"/>
    <n v="893.76408000000038"/>
    <n v="58"/>
    <d v="2023-03-03T00:00:00"/>
    <d v="2023-03-31T00:00:00"/>
    <x v="1"/>
    <n v="438"/>
    <s v="True"/>
    <n v="1846.8040800000003"/>
    <n v="13"/>
    <n v="2769.78"/>
    <n v="13"/>
    <n v="99.635999999999996"/>
    <n v="1095.9959999999999"/>
  </r>
  <r>
    <s v="ORD-2025-822030"/>
    <x v="454"/>
    <d v="2025-09-06T00:00:00"/>
    <n v="30"/>
    <s v="Q3-2025"/>
    <x v="0"/>
    <x v="0"/>
    <s v="Montreal"/>
    <s v="Education"/>
    <x v="2"/>
    <x v="3"/>
    <x v="4"/>
    <s v="NET-1336"/>
    <n v="833.73"/>
    <n v="1116.5999999999999"/>
    <n v="0.17599999999999999"/>
    <n v="0.17599999999999999"/>
    <n v="14"/>
    <n v="0.33928250152927192"/>
    <n v="12881.097599999999"/>
    <n v="11672.220000000001"/>
    <n v="1208.877599999998"/>
    <n v="9.3848958958279924E-2"/>
    <s v="Medium"/>
    <n v="12881.097599999999"/>
    <n v="1208.877599999998"/>
    <n v="43"/>
    <d v="2023-03-03T00:00:00"/>
    <d v="2023-03-31T00:00:00"/>
    <x v="1"/>
    <n v="439"/>
    <s v="False"/>
    <n v="12881.097599999999"/>
    <n v="16"/>
    <n v="17865.599999999999"/>
    <n v="16"/>
    <n v="958.78949999999998"/>
    <n v="13423.053"/>
  </r>
  <r>
    <s v="ORD-2025-863978"/>
    <x v="454"/>
    <d v="2025-08-19T00:00:00"/>
    <n v="12"/>
    <s v="Q3-2025"/>
    <x v="1"/>
    <x v="7"/>
    <s v="Nakuru"/>
    <s v="Corporate"/>
    <x v="2"/>
    <x v="3"/>
    <x v="6"/>
    <s v="CMP-2854"/>
    <n v="601.51"/>
    <n v="679.35"/>
    <n v="0.188"/>
    <n v="0.188"/>
    <n v="3"/>
    <n v="0.12940765739555457"/>
    <n v="1654.8966000000003"/>
    <n v="1804.53"/>
    <n v="-149.63339999999971"/>
    <n v="-9.0418579626062243E-2"/>
    <s v="Low"/>
    <n v="1654.8966"/>
    <n v="-149.63339999999994"/>
    <n v="53"/>
    <d v="2023-03-03T00:00:00"/>
    <d v="2023-03-31T00:00:00"/>
    <x v="1"/>
    <n v="440"/>
    <s v="False"/>
    <n v="1654.8966"/>
    <n v="3"/>
    <n v="2038.0500000000002"/>
    <n v="3"/>
    <n v="691.73649999999998"/>
    <n v="2075.2094999999999"/>
  </r>
  <r>
    <s v="ORD-2025-289139"/>
    <x v="455"/>
    <d v="2025-08-30T00:00:00"/>
    <n v="20"/>
    <s v="Q3-2025"/>
    <x v="0"/>
    <x v="4"/>
    <s v="San Francisco"/>
    <s v="Corporate"/>
    <x v="4"/>
    <x v="10"/>
    <x v="1"/>
    <s v="PRN-2098"/>
    <n v="933.29"/>
    <n v="1456.81"/>
    <n v="0.123"/>
    <n v="0.123"/>
    <n v="13"/>
    <n v="0.5609403293724351"/>
    <n v="16609.090809999998"/>
    <n v="12132.77"/>
    <n v="4476.3208099999974"/>
    <n v="0.26951028573489977"/>
    <s v="Medium"/>
    <n v="16609.090810000002"/>
    <n v="4476.3208100000011"/>
    <n v="49"/>
    <d v="2023-03-03T00:00:00"/>
    <d v="2023-03-31T00:00:00"/>
    <x v="1"/>
    <n v="441"/>
    <s v="False"/>
    <n v="16609.090810000002"/>
    <n v="15"/>
    <n v="21852.149999999998"/>
    <n v="15"/>
    <n v="1073.2834999999998"/>
    <n v="13952.685499999998"/>
  </r>
  <r>
    <s v="ORD-2025-189846"/>
    <x v="456"/>
    <d v="2025-08-28T00:00:00"/>
    <n v="17"/>
    <s v="Q3-2025"/>
    <x v="2"/>
    <x v="2"/>
    <s v="Paris"/>
    <s v="Education"/>
    <x v="1"/>
    <x v="7"/>
    <x v="4"/>
    <s v="NET-6218"/>
    <n v="416.16"/>
    <n v="571.9"/>
    <n v="7.0999999999999994E-2"/>
    <n v="7.0999999999999994E-2"/>
    <n v="2"/>
    <n v="0.37423106497500946"/>
    <n v="1062.5902000000001"/>
    <n v="832.32"/>
    <n v="230.27020000000005"/>
    <n v="0.21670649701079497"/>
    <s v="Medium"/>
    <n v="1062.5902000000001"/>
    <n v="230.27020000000005"/>
    <n v="52"/>
    <d v="2023-03-03T00:00:00"/>
    <d v="2023-03-31T00:00:00"/>
    <x v="1"/>
    <n v="442"/>
    <s v="False"/>
    <n v="1062.5902000000001"/>
    <n v="2"/>
    <n v="1143.8"/>
    <n v="2"/>
    <n v="478.584"/>
    <n v="957.16800000000001"/>
  </r>
  <r>
    <s v="ORD-2025-683043"/>
    <x v="457"/>
    <d v="2025-09-03T00:00:00"/>
    <n v="21"/>
    <s v="Q3-2025"/>
    <x v="2"/>
    <x v="2"/>
    <s v="Paris"/>
    <s v="Education"/>
    <x v="3"/>
    <x v="12"/>
    <x v="2"/>
    <s v="PHN-9465"/>
    <n v="603.47"/>
    <n v="1344.05"/>
    <n v="0.20499999999999999"/>
    <n v="0.20499999999999999"/>
    <n v="18"/>
    <n v="1.2272026778464544"/>
    <n v="19233.355499999998"/>
    <n v="10862.460000000001"/>
    <n v="8370.8954999999969"/>
    <n v="0.43522803392262976"/>
    <s v="High"/>
    <n v="19233.355499999998"/>
    <n v="8370.8954999999969"/>
    <n v="52"/>
    <d v="2023-03-03T00:00:00"/>
    <d v="2023-03-31T00:00:00"/>
    <x v="1"/>
    <n v="443"/>
    <s v="True"/>
    <n v="19233.355499999998"/>
    <n v="21"/>
    <n v="28225.05"/>
    <n v="21"/>
    <n v="693.9905"/>
    <n v="12491.829"/>
  </r>
  <r>
    <s v="ORD-2025-949776"/>
    <x v="458"/>
    <d v="2025-09-11T00:00:00"/>
    <n v="28"/>
    <s v="Q3-2025"/>
    <x v="0"/>
    <x v="9"/>
    <s v="São Paulo"/>
    <s v="Non-Profit"/>
    <x v="2"/>
    <x v="7"/>
    <x v="1"/>
    <s v="PRN-9490"/>
    <n v="1203.02"/>
    <n v="2439.33"/>
    <n v="0"/>
    <n v="0"/>
    <n v="18"/>
    <n v="1.0276720254027365"/>
    <n v="43907.94"/>
    <n v="21654.36"/>
    <n v="22253.58"/>
    <n v="0.50682359500354612"/>
    <s v="High"/>
    <n v="43907.94"/>
    <n v="22253.58"/>
    <n v="59"/>
    <d v="2023-03-03T00:00:00"/>
    <d v="2023-03-31T00:00:00"/>
    <x v="1"/>
    <n v="443"/>
    <s v="False"/>
    <n v="43907.94"/>
    <n v="21"/>
    <n v="51225.93"/>
    <n v="21"/>
    <n v="1383.473"/>
    <n v="24902.513999999999"/>
  </r>
  <r>
    <s v="ORD-2025-960931"/>
    <x v="459"/>
    <d v="2025-08-26T00:00:00"/>
    <n v="6"/>
    <s v="Q3-2025"/>
    <x v="0"/>
    <x v="4"/>
    <s v="New York"/>
    <s v="Corporate"/>
    <x v="3"/>
    <x v="3"/>
    <x v="4"/>
    <s v="NET-5196"/>
    <n v="1304.95"/>
    <n v="1712.03"/>
    <n v="0.21199999999999999"/>
    <n v="0.21199999999999999"/>
    <n v="8"/>
    <n v="0.31195064945017043"/>
    <n v="10792.637119999999"/>
    <n v="10439.6"/>
    <n v="353.03711999999905"/>
    <n v="3.2710922833287949E-2"/>
    <s v="Medium"/>
    <n v="10792.637119999999"/>
    <n v="353.03711999999905"/>
    <n v="50"/>
    <d v="2023-03-03T00:00:00"/>
    <d v="2023-03-31T00:00:00"/>
    <x v="0"/>
    <n v="168"/>
    <s v="True"/>
    <n v="10792.637119999999"/>
    <n v="9"/>
    <n v="15408.27"/>
    <n v="9"/>
    <n v="1500.6924999999999"/>
    <n v="12005.539999999999"/>
  </r>
  <r>
    <s v="ORD-2025-677880"/>
    <x v="460"/>
    <d v="2025-09-14T00:00:00"/>
    <n v="24"/>
    <s v="Q3-2025"/>
    <x v="2"/>
    <x v="8"/>
    <s v="Berlin"/>
    <s v="Non-Profit"/>
    <x v="1"/>
    <x v="1"/>
    <x v="5"/>
    <s v="MON-9662"/>
    <n v="1397.67"/>
    <n v="3131.37"/>
    <n v="0.10299999999999999"/>
    <n v="0.10299999999999999"/>
    <n v="20"/>
    <n v="1.2404215587370406"/>
    <n v="56176.777799999996"/>
    <n v="27953.4"/>
    <n v="28223.377799999995"/>
    <n v="0.50240293062874808"/>
    <s v="High"/>
    <n v="56176.777799999996"/>
    <n v="28223.377799999995"/>
    <n v="51"/>
    <d v="2023-03-03T00:00:00"/>
    <d v="2023-03-31T00:00:00"/>
    <x v="1"/>
    <n v="445"/>
    <s v="False"/>
    <n v="56176.777799999996"/>
    <n v="24"/>
    <n v="75152.88"/>
    <n v="24"/>
    <n v="1607.3205"/>
    <n v="32146.41"/>
  </r>
  <r>
    <s v="ORD-2025-652467"/>
    <x v="460"/>
    <d v="2025-09-12T00:00:00"/>
    <n v="22"/>
    <s v="Q3-2025"/>
    <x v="3"/>
    <x v="3"/>
    <s v="Shenzhen"/>
    <s v="Education"/>
    <x v="3"/>
    <x v="0"/>
    <x v="1"/>
    <s v="PRN-8137"/>
    <n v="352.66"/>
    <n v="411.18"/>
    <n v="0.17299999999999999"/>
    <n v="0.17299999999999999"/>
    <n v="13"/>
    <n v="0.1659388646288209"/>
    <n v="4420.5961799999995"/>
    <n v="4584.58"/>
    <n v="-163.98382000000038"/>
    <n v="-3.7095408248758066E-2"/>
    <s v="Low"/>
    <n v="4420.5961800000005"/>
    <n v="-163.98381999999947"/>
    <n v="51"/>
    <d v="2023-03-03T00:00:00"/>
    <d v="2023-03-31T00:00:00"/>
    <x v="1"/>
    <n v="446"/>
    <s v="False"/>
    <n v="4420.5961800000005"/>
    <n v="15"/>
    <n v="6167.7"/>
    <n v="15"/>
    <n v="405.55899999999997"/>
    <n v="5272.2669999999998"/>
  </r>
  <r>
    <s v="ORD-2025-762212"/>
    <x v="461"/>
    <d v="2025-09-24T00:00:00"/>
    <n v="30"/>
    <s v="Q3-2025"/>
    <x v="1"/>
    <x v="7"/>
    <s v="Nairobi"/>
    <s v="Consumer"/>
    <x v="2"/>
    <x v="0"/>
    <x v="6"/>
    <s v="CMP-4970"/>
    <n v="589.14"/>
    <n v="1300.58"/>
    <n v="5.5E-2"/>
    <n v="5.5E-2"/>
    <n v="11"/>
    <n v="1.207590725464236"/>
    <n v="13519.529099999998"/>
    <n v="6480.54"/>
    <n v="7038.989099999998"/>
    <n v="0.52065342275863724"/>
    <s v="High"/>
    <n v="13519.5291"/>
    <n v="7038.9890999999998"/>
    <n v="54"/>
    <d v="2023-03-03T00:00:00"/>
    <d v="2023-03-31T00:00:00"/>
    <x v="1"/>
    <n v="446"/>
    <s v="False"/>
    <n v="13519.5291"/>
    <n v="13"/>
    <n v="16907.54"/>
    <n v="13"/>
    <n v="677.51099999999997"/>
    <n v="7452.6209999999992"/>
  </r>
  <r>
    <s v="ORD-2025-922513"/>
    <x v="462"/>
    <d v="2025-08-28T00:00:00"/>
    <n v="2"/>
    <s v="Q3-2025"/>
    <x v="1"/>
    <x v="5"/>
    <s v="Port Harcourt"/>
    <s v="Small Business"/>
    <x v="3"/>
    <x v="1"/>
    <x v="3"/>
    <s v="ACC-4483"/>
    <n v="521.05999999999995"/>
    <n v="1240.31"/>
    <n v="0.14599999999999999"/>
    <n v="0.14599999999999999"/>
    <n v="18"/>
    <n v="1.3803592676467202"/>
    <n v="19066.045319999997"/>
    <n v="9379.0799999999981"/>
    <n v="9686.9653199999993"/>
    <n v="0.50807417885650974"/>
    <s v="High"/>
    <n v="19066.045319999997"/>
    <n v="9686.9653199999993"/>
    <n v="44"/>
    <d v="2023-03-03T00:00:00"/>
    <d v="2023-03-31T00:00:00"/>
    <x v="0"/>
    <n v="169"/>
    <s v="False"/>
    <n v="19066.045319999997"/>
    <n v="21"/>
    <n v="26046.51"/>
    <n v="21"/>
    <n v="599.21899999999994"/>
    <n v="10785.941999999999"/>
  </r>
  <r>
    <s v="ORD-2025-803803"/>
    <x v="463"/>
    <d v="2025-09-05T00:00:00"/>
    <n v="8"/>
    <s v="Q3-2025"/>
    <x v="1"/>
    <x v="5"/>
    <s v="Port Harcourt"/>
    <s v="Small Business"/>
    <x v="4"/>
    <x v="14"/>
    <x v="0"/>
    <s v="LAP-7553"/>
    <n v="1271.0999999999999"/>
    <n v="1932.42"/>
    <n v="0.25"/>
    <n v="0.25"/>
    <n v="21"/>
    <n v="0.52027377861694613"/>
    <n v="30435.614999999998"/>
    <n v="26693.1"/>
    <n v="3742.5149999999994"/>
    <n v="0.12296498690760807"/>
    <s v="Medium"/>
    <n v="30435.615000000002"/>
    <n v="3742.5150000000031"/>
    <n v="44"/>
    <d v="2023-03-03T00:00:00"/>
    <d v="2023-03-31T00:00:00"/>
    <x v="1"/>
    <n v="447"/>
    <s v="True"/>
    <n v="30435.615000000002"/>
    <n v="25"/>
    <n v="48310.5"/>
    <n v="25"/>
    <n v="1461.7649999999999"/>
    <n v="30697.064999999999"/>
  </r>
  <r>
    <s v="ORD-2025-417336"/>
    <x v="464"/>
    <d v="2025-09-03T00:00:00"/>
    <n v="4"/>
    <s v="Q3-2025"/>
    <x v="2"/>
    <x v="2"/>
    <s v="Marseille"/>
    <s v="Small Business"/>
    <x v="4"/>
    <x v="13"/>
    <x v="0"/>
    <s v="LAP-3220"/>
    <n v="1286.56"/>
    <n v="2777.35"/>
    <n v="0.13200000000000001"/>
    <n v="0.13200000000000001"/>
    <n v="15"/>
    <n v="1.1587411391617959"/>
    <n v="36161.097000000002"/>
    <n v="19298.399999999998"/>
    <n v="16862.697000000004"/>
    <n v="0.46632150014696744"/>
    <s v="High"/>
    <n v="36161.096999999994"/>
    <n v="16862.696999999996"/>
    <n v="54"/>
    <d v="2023-03-03T00:00:00"/>
    <d v="2023-03-31T00:00:00"/>
    <x v="0"/>
    <n v="170"/>
    <s v="False"/>
    <n v="36161.096999999994"/>
    <n v="18"/>
    <n v="49992.299999999996"/>
    <n v="18"/>
    <n v="1479.5439999999999"/>
    <n v="22193.159999999996"/>
  </r>
  <r>
    <s v="ORD-2025-993993"/>
    <x v="464"/>
    <d v="2025-09-22T00:00:00"/>
    <n v="23"/>
    <s v="Q3-2025"/>
    <x v="2"/>
    <x v="2"/>
    <s v="Marseille"/>
    <s v="Corporate"/>
    <x v="2"/>
    <x v="14"/>
    <x v="6"/>
    <s v="CMP-5311"/>
    <n v="663.9"/>
    <n v="947.77"/>
    <n v="0.17399999999999999"/>
    <n v="0.17399999999999999"/>
    <n v="15"/>
    <n v="0.42757945473715925"/>
    <n v="11742.8703"/>
    <n v="9958.5"/>
    <n v="1784.3703000000005"/>
    <n v="0.1519535049280073"/>
    <s v="Medium"/>
    <n v="11742.8703"/>
    <n v="1784.3703000000005"/>
    <n v="54"/>
    <d v="2023-03-03T00:00:00"/>
    <d v="2023-03-31T00:00:00"/>
    <x v="1"/>
    <n v="449"/>
    <s v="False"/>
    <n v="11742.8703"/>
    <n v="18"/>
    <n v="17059.86"/>
    <n v="18"/>
    <n v="763.4849999999999"/>
    <n v="11452.274999999998"/>
  </r>
  <r>
    <s v="ORD-2025-840976"/>
    <x v="465"/>
    <d v="2025-09-30T00:00:00"/>
    <n v="29"/>
    <s v="Q3-2025"/>
    <x v="0"/>
    <x v="9"/>
    <s v="Brasília"/>
    <s v="Education"/>
    <x v="3"/>
    <x v="10"/>
    <x v="3"/>
    <s v="ACC-1663"/>
    <n v="780.59"/>
    <n v="1451.8974000000001"/>
    <n v="0"/>
    <n v="0"/>
    <n v="12"/>
    <n v="0.86"/>
    <n v="17422.768800000002"/>
    <n v="9367.08"/>
    <n v="8055.6888000000017"/>
    <n v="0.4623655913978495"/>
    <s v="High"/>
    <n v="17422.768800000002"/>
    <n v="8055.6888000000017"/>
    <n v="60"/>
    <d v="2023-03-03T00:00:00"/>
    <d v="2023-03-31T00:00:00"/>
    <x v="1"/>
    <n v="450"/>
    <s v="False"/>
    <n v="17422.768800000002"/>
    <n v="14"/>
    <n v="20326.563600000001"/>
    <n v="14"/>
    <n v="897.67849999999999"/>
    <n v="10772.142"/>
  </r>
  <r>
    <s v="ORD-2025-898022"/>
    <x v="466"/>
    <d v="2025-09-11T00:00:00"/>
    <n v="9"/>
    <s v="Q3-2025"/>
    <x v="0"/>
    <x v="0"/>
    <s v="Toronto"/>
    <s v="Corporate"/>
    <x v="0"/>
    <x v="3"/>
    <x v="1"/>
    <s v="PRN-1276"/>
    <n v="1207.6300000000001"/>
    <n v="2209.9629000000004"/>
    <n v="0.19600000000000001"/>
    <n v="0.19600000000000001"/>
    <n v="17"/>
    <n v="0.83000000000000018"/>
    <n v="30205.772917200007"/>
    <n v="20529.710000000003"/>
    <n v="9676.0629172000044"/>
    <n v="0.32033819971182348"/>
    <s v="High"/>
    <n v="30205.772917200011"/>
    <n v="9676.0629172000081"/>
    <n v="44"/>
    <d v="2023-03-03T00:00:00"/>
    <d v="2023-03-31T00:00:00"/>
    <x v="1"/>
    <n v="451"/>
    <s v="False"/>
    <n v="30205.772917200011"/>
    <n v="20"/>
    <n v="44199.258000000009"/>
    <n v="20"/>
    <n v="1388.7745"/>
    <n v="23609.166499999999"/>
  </r>
  <r>
    <s v="ORD-2025-233883"/>
    <x v="467"/>
    <d v="2025-09-16T00:00:00"/>
    <n v="8"/>
    <s v="Q3-2025"/>
    <x v="3"/>
    <x v="11"/>
    <s v="Osaka"/>
    <s v="Corporate"/>
    <x v="0"/>
    <x v="11"/>
    <x v="2"/>
    <s v="PHN-1197"/>
    <n v="1225.57"/>
    <n v="2705.57"/>
    <n v="0.183"/>
    <n v="0.183"/>
    <n v="16"/>
    <n v="1.2076013609993719"/>
    <n v="35367.211040000002"/>
    <n v="19609.12"/>
    <n v="15758.091040000003"/>
    <n v="0.44555650775453404"/>
    <s v="High"/>
    <n v="35367.211040000002"/>
    <n v="15758.091040000003"/>
    <n v="57"/>
    <d v="2023-03-03T00:00:00"/>
    <d v="2023-03-31T00:00:00"/>
    <x v="1"/>
    <n v="452"/>
    <s v="False"/>
    <n v="35367.211040000002"/>
    <n v="19"/>
    <n v="51405.83"/>
    <n v="19"/>
    <n v="1409.4054999999998"/>
    <n v="22550.487999999998"/>
  </r>
  <r>
    <s v="ORD-2025-823055"/>
    <x v="467"/>
    <d v="2025-10-05T00:00:00"/>
    <n v="27"/>
    <s v="Q3-2025"/>
    <x v="0"/>
    <x v="9"/>
    <s v="Rio de Janeiro"/>
    <s v="Education"/>
    <x v="1"/>
    <x v="11"/>
    <x v="5"/>
    <s v="MON-9274"/>
    <n v="660.78"/>
    <n v="1630.39"/>
    <n v="0.218"/>
    <n v="0.218"/>
    <n v="13"/>
    <n v="1.4673718938224525"/>
    <n v="16574.544740000001"/>
    <n v="8590.14"/>
    <n v="7984.4047400000018"/>
    <n v="0.48172694123724097"/>
    <s v="High"/>
    <n v="16574.544740000001"/>
    <n v="7984.4047400000018"/>
    <n v="61"/>
    <d v="2023-03-03T00:00:00"/>
    <d v="2023-03-31T00:00:00"/>
    <x v="1"/>
    <n v="452"/>
    <s v="True"/>
    <n v="16574.544740000001"/>
    <n v="15"/>
    <n v="24455.850000000002"/>
    <n v="15"/>
    <n v="759.89699999999993"/>
    <n v="9878.6610000000001"/>
  </r>
  <r>
    <s v="ORD-2025-779574"/>
    <x v="468"/>
    <d v="2025-09-12T00:00:00"/>
    <n v="2"/>
    <s v="Q3-2025"/>
    <x v="3"/>
    <x v="11"/>
    <s v="Tokyo"/>
    <s v="Consumer"/>
    <x v="1"/>
    <x v="5"/>
    <x v="6"/>
    <s v="CMP-6971"/>
    <n v="1470.15"/>
    <n v="2593.7800000000002"/>
    <n v="0.11"/>
    <n v="0.11"/>
    <n v="12"/>
    <n v="0.7642961602557562"/>
    <n v="27701.570400000001"/>
    <n v="17641.800000000003"/>
    <n v="10059.770399999998"/>
    <n v="0.36314801849645306"/>
    <s v="High"/>
    <n v="27701.570400000004"/>
    <n v="10059.770400000001"/>
    <n v="58"/>
    <d v="2023-03-03T00:00:00"/>
    <d v="2023-03-31T00:00:00"/>
    <x v="0"/>
    <n v="171"/>
    <s v="False"/>
    <n v="27701.570400000004"/>
    <n v="14"/>
    <n v="36312.920000000006"/>
    <n v="14"/>
    <n v="1690.6724999999999"/>
    <n v="20288.07"/>
  </r>
  <r>
    <s v="ORD-2025-725646"/>
    <x v="468"/>
    <d v="2025-09-30T00:00:00"/>
    <n v="20"/>
    <s v="Q3-2025"/>
    <x v="1"/>
    <x v="7"/>
    <s v="Mombasa"/>
    <s v="Corporate"/>
    <x v="2"/>
    <x v="9"/>
    <x v="2"/>
    <s v="PHN-6954"/>
    <n v="1009.48"/>
    <n v="1088.81"/>
    <n v="0.16"/>
    <n v="0.16"/>
    <n v="6"/>
    <n v="7.8585014066648098E-2"/>
    <n v="5487.6023999999998"/>
    <n v="6056.88"/>
    <n v="-569.27760000000035"/>
    <n v="-0.10373885688219693"/>
    <s v="Low"/>
    <n v="5487.6023999999998"/>
    <n v="-569.27760000000035"/>
    <n v="56"/>
    <d v="2023-03-03T00:00:00"/>
    <d v="2023-03-31T00:00:00"/>
    <x v="1"/>
    <n v="454"/>
    <s v="False"/>
    <n v="5487.6023999999998"/>
    <n v="7"/>
    <n v="7621.67"/>
    <n v="7"/>
    <n v="1160.902"/>
    <n v="6965.4120000000003"/>
  </r>
  <r>
    <s v="ORD-2025-244832"/>
    <x v="469"/>
    <d v="2025-09-28T00:00:00"/>
    <n v="17"/>
    <s v="Q3-2025"/>
    <x v="1"/>
    <x v="7"/>
    <s v="Nairobi"/>
    <s v="Non-Profit"/>
    <x v="0"/>
    <x v="13"/>
    <x v="0"/>
    <s v="LAP-3278"/>
    <n v="891.46"/>
    <n v="1765.0907999999999"/>
    <n v="0.185"/>
    <n v="0.185"/>
    <n v="6"/>
    <n v="0.97999999999999987"/>
    <n v="8631.2940119999985"/>
    <n v="5348.76"/>
    <n v="3282.5340119999983"/>
    <n v="0.38030612877238629"/>
    <s v="High"/>
    <n v="8631.2940120000003"/>
    <n v="3282.5340120000001"/>
    <n v="56"/>
    <d v="2023-03-03T00:00:00"/>
    <d v="2023-03-31T00:00:00"/>
    <x v="1"/>
    <n v="455"/>
    <s v="False"/>
    <n v="8631.2940120000003"/>
    <n v="7"/>
    <n v="12355.6356"/>
    <n v="7"/>
    <n v="1025.1789999999999"/>
    <n v="6151.0739999999987"/>
  </r>
  <r>
    <s v="ORD-2025-248586"/>
    <x v="470"/>
    <d v="2025-09-30T00:00:00"/>
    <n v="18"/>
    <s v="Q3-2025"/>
    <x v="3"/>
    <x v="11"/>
    <s v="Nagoya"/>
    <s v="Non-Profit"/>
    <x v="4"/>
    <x v="7"/>
    <x v="5"/>
    <s v="MON-2998"/>
    <n v="1212.99"/>
    <n v="1653.64"/>
    <n v="0.107"/>
    <n v="0.107"/>
    <n v="8"/>
    <n v="0.36327587201873063"/>
    <n v="11813.604160000001"/>
    <n v="9703.92"/>
    <n v="2109.6841600000007"/>
    <n v="0.17858090819931455"/>
    <s v="Medium"/>
    <n v="11813.604160000001"/>
    <n v="2109.6841600000007"/>
    <n v="59"/>
    <d v="2023-03-03T00:00:00"/>
    <d v="2023-03-31T00:00:00"/>
    <x v="1"/>
    <n v="456"/>
    <s v="False"/>
    <n v="11813.604160000001"/>
    <n v="9"/>
    <n v="14882.76"/>
    <n v="9"/>
    <n v="1394.9385"/>
    <n v="11159.508"/>
  </r>
  <r>
    <s v="ORD-2025-588029"/>
    <x v="471"/>
    <d v="2025-09-23T00:00:00"/>
    <n v="9"/>
    <s v="Q3-2025"/>
    <x v="1"/>
    <x v="1"/>
    <s v="Durban"/>
    <s v="Non-Profit"/>
    <x v="1"/>
    <x v="2"/>
    <x v="6"/>
    <s v="CMP-6898"/>
    <n v="1310.3"/>
    <n v="2875.8"/>
    <n v="8.3000000000000004E-2"/>
    <n v="8.3000000000000004E-2"/>
    <n v="5"/>
    <n v="1.19476455773487"/>
    <n v="13185.543"/>
    <n v="6551.5"/>
    <n v="6634.0429999999997"/>
    <n v="0.50313005691157353"/>
    <s v="High"/>
    <n v="13185.543000000001"/>
    <n v="6634.0430000000015"/>
    <n v="45"/>
    <d v="2023-03-03T00:00:00"/>
    <d v="2023-03-31T00:00:00"/>
    <x v="1"/>
    <n v="457"/>
    <s v="False"/>
    <n v="13185.543000000001"/>
    <n v="6"/>
    <n v="17254.800000000003"/>
    <n v="6"/>
    <n v="1506.8449999999998"/>
    <n v="7534.2249999999985"/>
  </r>
  <r>
    <s v="ORD-2025-737787"/>
    <x v="471"/>
    <d v="2025-09-26T00:00:00"/>
    <n v="12"/>
    <s v="Q3-2025"/>
    <x v="2"/>
    <x v="6"/>
    <s v="London"/>
    <s v="Small Business"/>
    <x v="2"/>
    <x v="8"/>
    <x v="4"/>
    <s v="NET-9003"/>
    <n v="425.15"/>
    <n v="885.92"/>
    <n v="0.23899999999999999"/>
    <n v="0.23899999999999999"/>
    <n v="13"/>
    <n v="1.0837821945195814"/>
    <n v="8764.4065599999994"/>
    <n v="5526.95"/>
    <n v="3237.4565599999996"/>
    <n v="0.3693868532725848"/>
    <s v="High"/>
    <n v="8764.4065599999994"/>
    <n v="3237.4565599999996"/>
    <n v="54"/>
    <d v="2023-03-03T00:00:00"/>
    <d v="2023-03-31T00:00:00"/>
    <x v="1"/>
    <n v="458"/>
    <s v="True"/>
    <n v="8764.4065599999994"/>
    <n v="15"/>
    <n v="13288.8"/>
    <n v="15"/>
    <n v="488.92249999999996"/>
    <n v="6355.9924999999994"/>
  </r>
  <r>
    <s v="ORD-2025-831576"/>
    <x v="472"/>
    <d v="2025-09-25T00:00:00"/>
    <n v="10"/>
    <s v="Q3-2025"/>
    <x v="3"/>
    <x v="10"/>
    <s v="Delhi"/>
    <s v="Consumer"/>
    <x v="3"/>
    <x v="1"/>
    <x v="2"/>
    <s v="PHN-2859"/>
    <n v="1488.91"/>
    <n v="2620.4816000000001"/>
    <n v="0.16800000000000001"/>
    <n v="0.16800000000000001"/>
    <n v="24"/>
    <n v="0.7599999999999999"/>
    <n v="52325.776588799999"/>
    <n v="35733.840000000004"/>
    <n v="16591.936588799996"/>
    <n v="0.31708916083916078"/>
    <s v="High"/>
    <n v="52325.776588799999"/>
    <n v="16591.936588799996"/>
    <n v="60"/>
    <d v="2023-03-03T00:00:00"/>
    <d v="2023-03-31T00:00:00"/>
    <x v="1"/>
    <n v="0"/>
    <s v="False"/>
    <n v="52325.776588799999"/>
    <n v="28"/>
    <n v="73373.484800000006"/>
    <n v="28"/>
    <n v="1712.2465"/>
    <n v="41093.915999999997"/>
  </r>
  <r>
    <s v="ORD-2025-667201"/>
    <x v="472"/>
    <d v="2025-09-18T00:00:00"/>
    <n v="3"/>
    <s v="Q3-2025"/>
    <x v="0"/>
    <x v="9"/>
    <s v="Rio de Janeiro"/>
    <s v="Non-Profit"/>
    <x v="2"/>
    <x v="9"/>
    <x v="3"/>
    <s v="ACC-6777"/>
    <n v="5.5"/>
    <n v="5.92"/>
    <n v="0.21199999999999999"/>
    <n v="0.21199999999999999"/>
    <n v="4"/>
    <n v="7.6363636363636356E-2"/>
    <n v="18.659839999999999"/>
    <n v="22"/>
    <n v="-3.3401600000000009"/>
    <n v="-0.17900260666758133"/>
    <s v="Low"/>
    <n v="18.659839999999999"/>
    <n v="-3.3401600000000009"/>
    <n v="62"/>
    <d v="2023-03-03T00:00:00"/>
    <d v="2023-03-31T00:00:00"/>
    <x v="0"/>
    <n v="172"/>
    <s v="True"/>
    <n v="18.659839999999999"/>
    <n v="4"/>
    <n v="23.68"/>
    <n v="4"/>
    <n v="6.3249999999999993"/>
    <n v="25.2999999999999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2025-132174"/>
    <d v="2025-07-17T00:00:00"/>
    <d v="2025-07-23T00:00:00"/>
    <n v="6"/>
    <s v="Q3-2025"/>
    <s v="Americas"/>
    <s v="Canada"/>
    <s v="Vancouver"/>
    <s v="Consumer"/>
    <s v="Online"/>
    <s v="H. Kim"/>
    <s v="Components"/>
    <x v="0"/>
    <n v="1364.89"/>
    <n v="2757.54"/>
    <n v="0.17199999999999999"/>
    <n v="0"/>
    <n v="61"/>
    <n v="1.0203386353479034"/>
    <n v="139277.83032000001"/>
    <n v="83258.290000000008"/>
    <n v="56019.54032"/>
    <n v="0.4022143379983118"/>
    <s v="High"/>
    <n v="4141.7599999999993"/>
    <n v="-79116.530000000013"/>
    <n v="1"/>
    <d v="2025-07-17T00:00:00"/>
    <d v="2025-07-31T00:00:00"/>
    <s v="Good"/>
    <n v="1"/>
    <s v="False"/>
    <n v="4141.7599999999993"/>
    <n v="8"/>
    <n v="4733.4399999999996"/>
    <n v="8"/>
    <n v="363.25049999999999"/>
    <n v="2542.7534999999998"/>
  </r>
  <r>
    <s v="ORD-2025-639542"/>
    <d v="2025-06-09T00:00:00"/>
    <d v="2025-06-18T00:00:00"/>
    <n v="9"/>
    <s v="Q2-2025"/>
    <s v="Europe"/>
    <s v="France"/>
    <s v="Marseille"/>
    <s v="Small Business"/>
    <s v="Marketplace"/>
    <s v="H. Kim"/>
    <s v="Accessories"/>
    <x v="1"/>
    <n v="1225.5"/>
    <n v="2132.37"/>
    <n v="7.4999999999999997E-2"/>
    <n v="0.14000000000000001"/>
    <n v="56"/>
    <n v="0.73999999999999988"/>
    <n v="110456.766"/>
    <n v="68628"/>
    <n v="41828.766000000003"/>
    <n v="0.3786890338614477"/>
    <s v="Medium"/>
    <n v="3116.2100000000005"/>
    <n v="-65511.79"/>
    <n v="1"/>
    <d v="2025-06-09T00:00:00"/>
    <d v="2025-06-30T00:00:00"/>
    <s v="Poor"/>
    <n v="2"/>
    <s v="False"/>
    <n v="3116.2100000000005"/>
    <n v="6"/>
    <n v="4348.2000000000007"/>
    <n v="6"/>
    <n v="343.87299999999993"/>
    <n v="1719.3649999999998"/>
  </r>
  <r>
    <s v="ORD-2024-548345"/>
    <d v="2024-05-14T00:00:00"/>
    <d v="2024-05-28T00:00:00"/>
    <n v="14"/>
    <s v="Q2-2024"/>
    <s v="Europe"/>
    <s v="United Kingdom"/>
    <s v="Birmingham"/>
    <s v="Consumer"/>
    <s v="Retail"/>
    <s v="B. Chen"/>
    <s v="Networking"/>
    <x v="2"/>
    <n v="1421.14"/>
    <n v="3524"/>
    <n v="0"/>
    <n v="8.8999999999999996E-2"/>
    <n v="31"/>
    <n v="1.4796993962593408"/>
    <n v="109244"/>
    <n v="44055.340000000004"/>
    <n v="65188.659999999996"/>
    <n v="0.59672531214528945"/>
    <s v="High"/>
    <n v="9847.2358600000007"/>
    <n v="-34208.104140000003"/>
    <n v="1"/>
    <d v="2024-05-14T00:00:00"/>
    <d v="2024-05-31T00:00:00"/>
    <s v="Poor"/>
    <n v="2"/>
    <s v="False"/>
    <n v="9847.2358600000007"/>
    <n v="16"/>
    <n v="12353.44"/>
    <n v="16"/>
    <n v="461.90899999999999"/>
    <n v="6466.7259999999997"/>
  </r>
  <r>
    <s v="ORD-2025-650841"/>
    <d v="2025-07-03T00:00:00"/>
    <d v="2025-07-06T00:00:00"/>
    <n v="3"/>
    <s v="Q3-2025"/>
    <s v="Africa"/>
    <s v="Nigeria"/>
    <s v="Lagos"/>
    <s v="Consumer"/>
    <s v="Online"/>
    <s v="J. Njeri"/>
    <s v="Laptops"/>
    <x v="3"/>
    <n v="1313.3"/>
    <n v="2884.34"/>
    <n v="0.157"/>
    <n v="0"/>
    <n v="42"/>
    <n v="1.196253712023148"/>
    <n v="102122.94203999999"/>
    <n v="55158.6"/>
    <n v="46964.342039999996"/>
    <n v="0.45988042551305253"/>
    <s v="High"/>
    <n v="11406.96"/>
    <n v="-43751.64"/>
    <n v="1"/>
    <d v="2025-07-03T00:00:00"/>
    <d v="2025-07-31T00:00:00"/>
    <s v="Good"/>
    <n v="2"/>
    <s v="False"/>
    <n v="11406.96"/>
    <n v="9"/>
    <n v="12832.829999999998"/>
    <n v="9"/>
    <n v="1245.5534999999998"/>
    <n v="9964.4279999999981"/>
  </r>
  <r>
    <s v="ORD-2025-845715"/>
    <d v="2025-04-14T00:00:00"/>
    <d v="2025-05-04T00:00:00"/>
    <n v="20"/>
    <s v="Q2-2025"/>
    <s v="Europe"/>
    <s v="United Kingdom"/>
    <s v="Birmingham"/>
    <s v="Enterprise"/>
    <s v="Marketplace"/>
    <s v="K. Singh"/>
    <s v="Monitors"/>
    <x v="4"/>
    <n v="1413.87"/>
    <n v="3275"/>
    <n v="0.255"/>
    <n v="5.7000000000000002E-2"/>
    <n v="38"/>
    <n v="1.3163374284764513"/>
    <n v="92715.25"/>
    <n v="53727.06"/>
    <n v="38988.19"/>
    <n v="0.42051539525590453"/>
    <s v="High"/>
    <n v="14963.769179999999"/>
    <n v="-38763.290819999995"/>
    <n v="2"/>
    <d v="2025-07-03T00:00:00"/>
    <d v="2025-07-31T00:00:00"/>
    <s v="Poor"/>
    <n v="4"/>
    <s v="True"/>
    <n v="14963.769179999999"/>
    <n v="21"/>
    <n v="18512.97"/>
    <n v="21"/>
    <n v="958.60550000000001"/>
    <n v="17254.899000000001"/>
  </r>
  <r>
    <s v="ORD-2023-906481"/>
    <d v="2023-05-02T00:00:00"/>
    <d v="2023-05-18T00:00:00"/>
    <n v="16"/>
    <s v="Q2-2023"/>
    <s v="Asia"/>
    <s v="India"/>
    <s v="Delhi"/>
    <s v="Small Business"/>
    <s v="Marketplace"/>
    <s v="K. Singh"/>
    <s v="Monitors"/>
    <x v="5"/>
    <n v="1463.92"/>
    <n v="2252.2399999999998"/>
    <n v="0.11799999999999999"/>
    <n v="0.19400000000000001"/>
    <n v="44"/>
    <n v="0.53849937155035776"/>
    <n v="87404.929919999995"/>
    <n v="64412.480000000003"/>
    <n v="22992.449919999992"/>
    <n v="0.26305667130040061"/>
    <s v="Medium"/>
    <n v="685.06776000000002"/>
    <n v="-63727.412240000005"/>
    <n v="1"/>
    <d v="2023-05-02T00:00:00"/>
    <d v="2023-05-31T00:00:00"/>
    <s v="Poor"/>
    <n v="5"/>
    <s v="False"/>
    <n v="685.06776000000002"/>
    <n v="21"/>
    <n v="991.62"/>
    <n v="21"/>
    <n v="32.636999999999993"/>
    <n v="587.46599999999989"/>
  </r>
  <r>
    <s v="ORD-2023-884625"/>
    <d v="2023-02-19T00:00:00"/>
    <d v="2023-03-12T00:00:00"/>
    <n v="21"/>
    <s v="Q1-2023"/>
    <s v="Europe"/>
    <s v="Germany"/>
    <s v="Berlin"/>
    <s v="Small Business"/>
    <s v="Direct"/>
    <s v="L. Okafor"/>
    <s v="Monitors"/>
    <x v="6"/>
    <n v="1234.81"/>
    <n v="2055.2399999999998"/>
    <n v="5.2999999999999999E-2"/>
    <n v="6.6000000000000003E-2"/>
    <n v="44"/>
    <n v="0.66441800762870395"/>
    <n v="85637.740319999997"/>
    <n v="54331.64"/>
    <n v="31306.100319999998"/>
    <n v="0.36556429680441616"/>
    <s v="Medium"/>
    <n v="19628.476999999999"/>
    <n v="-34703.163"/>
    <n v="1"/>
    <d v="2023-02-19T00:00:00"/>
    <d v="2023-02-28T00:00:00"/>
    <s v="Poor"/>
    <n v="6"/>
    <s v="False"/>
    <n v="19628.476999999999"/>
    <n v="12"/>
    <n v="25218.600000000002"/>
    <n v="12"/>
    <n v="1004.0189999999999"/>
    <n v="10040.189999999999"/>
  </r>
  <r>
    <s v="ORD-2024-508213"/>
    <d v="2024-11-22T00:00:00"/>
    <d v="2024-12-15T00:00:00"/>
    <n v="23"/>
    <s v="Q4-2024"/>
    <s v="Africa"/>
    <s v="Kenya"/>
    <s v="Mombasa"/>
    <s v="Non-Profit"/>
    <s v="Distributor"/>
    <s v="C. Otieno"/>
    <s v="Components"/>
    <x v="7"/>
    <n v="1335.76"/>
    <n v="2665.91"/>
    <n v="0.21099999999999999"/>
    <n v="0.24299999999999999"/>
    <n v="40"/>
    <n v="0.99580014373839598"/>
    <n v="84136.119600000005"/>
    <n v="53430.400000000001"/>
    <n v="30705.719600000004"/>
    <n v="0.36495288522909253"/>
    <s v="High"/>
    <n v="47962.717579999997"/>
    <n v="-5467.6824200000046"/>
    <n v="1"/>
    <d v="2024-11-22T00:00:00"/>
    <d v="2024-11-30T00:00:00"/>
    <s v="Poor"/>
    <n v="6"/>
    <s v="True"/>
    <n v="47962.717579999997"/>
    <n v="49"/>
    <n v="75721.659999999989"/>
    <n v="49"/>
    <n v="1017.0139999999999"/>
    <n v="41697.573999999993"/>
  </r>
  <r>
    <s v="ORD-2023-159821"/>
    <d v="2023-07-01T00:00:00"/>
    <d v="2023-07-08T00:00:00"/>
    <n v="7"/>
    <s v="Q3-2023"/>
    <s v="Africa"/>
    <s v="Nigeria"/>
    <s v="Port Harcourt"/>
    <s v="Corporate"/>
    <s v="Retail"/>
    <s v="A. Patel"/>
    <s v="Laptops"/>
    <x v="8"/>
    <n v="834.26"/>
    <n v="1780.56"/>
    <n v="1.4E-2"/>
    <n v="0.19600000000000001"/>
    <n v="47"/>
    <n v="1.1342986598902021"/>
    <n v="82514.711519999997"/>
    <n v="39210.22"/>
    <n v="43304.491519999996"/>
    <n v="0.5248093427497933"/>
    <s v="High"/>
    <n v="2231.6467200000002"/>
    <n v="-36978.573280000004"/>
    <n v="2"/>
    <d v="2024-11-22T00:00:00"/>
    <d v="2024-11-30T00:00:00"/>
    <s v="Good"/>
    <n v="4"/>
    <s v="False"/>
    <n v="2231.6467200000002"/>
    <n v="9"/>
    <n v="3122.64"/>
    <n v="9"/>
    <n v="173.489"/>
    <n v="1387.912"/>
  </r>
  <r>
    <s v="ORD-2024-341535"/>
    <d v="2024-06-25T00:00:00"/>
    <d v="2024-06-30T00:00:00"/>
    <n v="5"/>
    <s v="Q2-2024"/>
    <s v="Africa"/>
    <s v="Kenya"/>
    <s v="Kisumu"/>
    <s v="Education"/>
    <s v="Direct"/>
    <s v="M. Rossi"/>
    <s v="Networking"/>
    <x v="9"/>
    <n v="1323.55"/>
    <n v="3230.35"/>
    <n v="2.1999999999999999E-2"/>
    <n v="8.8999999999999996E-2"/>
    <n v="26"/>
    <n v="1.4406709228967549"/>
    <n v="82141.339799999987"/>
    <n v="34412.299999999996"/>
    <n v="47729.039799999991"/>
    <n v="0.58105991351263542"/>
    <s v="High"/>
    <n v="6776.5299820000009"/>
    <n v="-27635.770017999996"/>
    <n v="2"/>
    <d v="2024-11-22T00:00:00"/>
    <d v="2024-11-30T00:00:00"/>
    <s v="Good"/>
    <n v="4"/>
    <s v="False"/>
    <n v="6776.5299820000009"/>
    <n v="12"/>
    <n v="8926.2744000000002"/>
    <n v="12"/>
    <n v="566.51299999999992"/>
    <n v="5665.129999999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D8034-A234-4D24-B60D-5E4A3FD3DD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0" firstHeaderRow="1" firstDataRow="1" firstDataCol="1"/>
  <pivotFields count="27">
    <pivotField dataField="1" showAll="0">
      <items count="631">
        <item x="67"/>
        <item x="132"/>
        <item x="5"/>
        <item x="69"/>
        <item x="212"/>
        <item x="111"/>
        <item x="172"/>
        <item x="148"/>
        <item x="31"/>
        <item x="78"/>
        <item x="20"/>
        <item x="58"/>
        <item x="15"/>
        <item x="118"/>
        <item x="187"/>
        <item x="176"/>
        <item x="92"/>
        <item x="103"/>
        <item x="74"/>
        <item x="222"/>
        <item x="195"/>
        <item x="86"/>
        <item x="202"/>
        <item x="165"/>
        <item x="213"/>
        <item x="144"/>
        <item x="215"/>
        <item x="191"/>
        <item x="204"/>
        <item x="116"/>
        <item x="161"/>
        <item x="205"/>
        <item x="41"/>
        <item x="160"/>
        <item x="97"/>
        <item x="217"/>
        <item x="82"/>
        <item x="141"/>
        <item x="59"/>
        <item x="115"/>
        <item x="134"/>
        <item x="14"/>
        <item x="171"/>
        <item x="147"/>
        <item x="32"/>
        <item x="35"/>
        <item x="123"/>
        <item x="24"/>
        <item x="138"/>
        <item x="102"/>
        <item x="125"/>
        <item x="49"/>
        <item x="175"/>
        <item x="178"/>
        <item x="61"/>
        <item x="121"/>
        <item x="152"/>
        <item x="68"/>
        <item x="150"/>
        <item x="95"/>
        <item x="53"/>
        <item x="77"/>
        <item x="180"/>
        <item x="129"/>
        <item x="133"/>
        <item x="29"/>
        <item x="112"/>
        <item x="154"/>
        <item x="184"/>
        <item x="73"/>
        <item x="4"/>
        <item x="87"/>
        <item x="98"/>
        <item x="63"/>
        <item x="109"/>
        <item x="189"/>
        <item x="44"/>
        <item x="27"/>
        <item x="99"/>
        <item x="10"/>
        <item x="214"/>
        <item x="108"/>
        <item x="170"/>
        <item x="137"/>
        <item x="117"/>
        <item x="196"/>
        <item x="81"/>
        <item x="28"/>
        <item x="177"/>
        <item x="126"/>
        <item x="17"/>
        <item x="164"/>
        <item x="120"/>
        <item x="64"/>
        <item x="179"/>
        <item x="168"/>
        <item x="93"/>
        <item x="149"/>
        <item x="100"/>
        <item x="124"/>
        <item x="47"/>
        <item x="39"/>
        <item x="142"/>
        <item x="166"/>
        <item x="198"/>
        <item x="23"/>
        <item x="173"/>
        <item x="128"/>
        <item x="203"/>
        <item x="71"/>
        <item x="12"/>
        <item x="197"/>
        <item x="218"/>
        <item x="207"/>
        <item x="7"/>
        <item x="91"/>
        <item x="130"/>
        <item x="106"/>
        <item x="206"/>
        <item x="188"/>
        <item x="107"/>
        <item x="153"/>
        <item x="90"/>
        <item x="57"/>
        <item x="114"/>
        <item x="43"/>
        <item x="8"/>
        <item x="174"/>
        <item x="25"/>
        <item x="194"/>
        <item x="122"/>
        <item x="182"/>
        <item x="143"/>
        <item x="76"/>
        <item x="88"/>
        <item x="155"/>
        <item x="105"/>
        <item x="193"/>
        <item x="185"/>
        <item x="135"/>
        <item x="158"/>
        <item x="56"/>
        <item x="186"/>
        <item x="210"/>
        <item x="89"/>
        <item x="1"/>
        <item x="3"/>
        <item x="55"/>
        <item x="85"/>
        <item x="157"/>
        <item x="139"/>
        <item x="104"/>
        <item x="167"/>
        <item x="0"/>
        <item x="45"/>
        <item x="211"/>
        <item x="156"/>
        <item x="21"/>
        <item x="22"/>
        <item x="62"/>
        <item x="151"/>
        <item x="60"/>
        <item x="163"/>
        <item x="50"/>
        <item x="101"/>
        <item x="6"/>
        <item x="37"/>
        <item x="223"/>
        <item x="65"/>
        <item x="9"/>
        <item x="220"/>
        <item x="208"/>
        <item x="127"/>
        <item x="201"/>
        <item x="131"/>
        <item x="40"/>
        <item x="190"/>
        <item x="216"/>
        <item x="192"/>
        <item x="169"/>
        <item x="19"/>
        <item x="33"/>
        <item x="13"/>
        <item x="11"/>
        <item x="42"/>
        <item x="52"/>
        <item x="145"/>
        <item x="51"/>
        <item x="83"/>
        <item x="96"/>
        <item x="48"/>
        <item x="30"/>
        <item x="70"/>
        <item x="146"/>
        <item x="2"/>
        <item x="18"/>
        <item x="140"/>
        <item x="181"/>
        <item x="26"/>
        <item x="110"/>
        <item x="54"/>
        <item x="75"/>
        <item x="72"/>
        <item x="136"/>
        <item x="80"/>
        <item x="119"/>
        <item x="113"/>
        <item x="183"/>
        <item x="94"/>
        <item x="84"/>
        <item x="38"/>
        <item x="66"/>
        <item x="162"/>
        <item x="36"/>
        <item x="34"/>
        <item x="79"/>
        <item x="16"/>
        <item x="209"/>
        <item x="200"/>
        <item x="219"/>
        <item x="221"/>
        <item x="199"/>
        <item x="159"/>
        <item x="46"/>
        <item x="447"/>
        <item x="227"/>
        <item x="259"/>
        <item x="328"/>
        <item x="364"/>
        <item x="443"/>
        <item x="233"/>
        <item x="316"/>
        <item x="453"/>
        <item x="461"/>
        <item x="325"/>
        <item x="375"/>
        <item x="426"/>
        <item x="457"/>
        <item x="434"/>
        <item x="265"/>
        <item x="258"/>
        <item x="305"/>
        <item x="352"/>
        <item x="445"/>
        <item x="257"/>
        <item x="235"/>
        <item x="284"/>
        <item x="241"/>
        <item x="384"/>
        <item x="245"/>
        <item x="290"/>
        <item x="367"/>
        <item x="346"/>
        <item x="288"/>
        <item x="280"/>
        <item x="335"/>
        <item x="428"/>
        <item x="254"/>
        <item x="401"/>
        <item x="279"/>
        <item x="298"/>
        <item x="423"/>
        <item x="416"/>
        <item x="274"/>
        <item x="458"/>
        <item x="410"/>
        <item x="437"/>
        <item x="277"/>
        <item x="246"/>
        <item x="230"/>
        <item x="369"/>
        <item x="282"/>
        <item x="450"/>
        <item x="231"/>
        <item x="360"/>
        <item x="366"/>
        <item x="291"/>
        <item x="429"/>
        <item x="318"/>
        <item x="440"/>
        <item x="248"/>
        <item x="293"/>
        <item x="419"/>
        <item x="456"/>
        <item x="343"/>
        <item x="273"/>
        <item x="317"/>
        <item x="418"/>
        <item x="371"/>
        <item x="226"/>
        <item x="272"/>
        <item x="420"/>
        <item x="413"/>
        <item x="295"/>
        <item x="236"/>
        <item x="432"/>
        <item x="311"/>
        <item x="421"/>
        <item x="444"/>
        <item x="337"/>
        <item x="315"/>
        <item x="452"/>
        <item x="354"/>
        <item x="302"/>
        <item x="319"/>
        <item x="269"/>
        <item x="383"/>
        <item x="333"/>
        <item x="363"/>
        <item x="261"/>
        <item x="398"/>
        <item x="347"/>
        <item x="397"/>
        <item x="283"/>
        <item x="379"/>
        <item x="344"/>
        <item x="330"/>
        <item x="427"/>
        <item x="349"/>
        <item x="260"/>
        <item x="459"/>
        <item x="442"/>
        <item x="430"/>
        <item x="242"/>
        <item x="313"/>
        <item x="403"/>
        <item x="391"/>
        <item x="314"/>
        <item x="435"/>
        <item x="399"/>
        <item x="289"/>
        <item x="263"/>
        <item x="264"/>
        <item x="306"/>
        <item x="243"/>
        <item x="381"/>
        <item x="380"/>
        <item x="255"/>
        <item x="309"/>
        <item x="374"/>
        <item x="377"/>
        <item x="312"/>
        <item x="336"/>
        <item x="299"/>
        <item x="386"/>
        <item x="350"/>
        <item x="339"/>
        <item x="322"/>
        <item x="338"/>
        <item x="388"/>
        <item x="332"/>
        <item x="370"/>
        <item x="422"/>
        <item x="304"/>
        <item x="385"/>
        <item x="292"/>
        <item x="297"/>
        <item x="240"/>
        <item x="324"/>
        <item x="353"/>
        <item x="368"/>
        <item x="331"/>
        <item x="296"/>
        <item x="378"/>
        <item x="321"/>
        <item x="412"/>
        <item x="307"/>
        <item x="256"/>
        <item x="251"/>
        <item x="460"/>
        <item x="438"/>
        <item x="382"/>
        <item x="414"/>
        <item x="356"/>
        <item x="400"/>
        <item x="278"/>
        <item x="393"/>
        <item x="362"/>
        <item x="310"/>
        <item x="271"/>
        <item x="342"/>
        <item x="329"/>
        <item x="224"/>
        <item x="406"/>
        <item x="392"/>
        <item x="415"/>
        <item x="411"/>
        <item x="376"/>
        <item x="287"/>
        <item x="237"/>
        <item x="407"/>
        <item x="250"/>
        <item x="247"/>
        <item x="424"/>
        <item x="395"/>
        <item x="431"/>
        <item x="396"/>
        <item x="433"/>
        <item x="341"/>
        <item x="439"/>
        <item x="267"/>
        <item x="373"/>
        <item x="409"/>
        <item x="357"/>
        <item x="449"/>
        <item x="394"/>
        <item x="262"/>
        <item x="359"/>
        <item x="326"/>
        <item x="323"/>
        <item x="300"/>
        <item x="281"/>
        <item x="448"/>
        <item x="446"/>
        <item x="244"/>
        <item x="234"/>
        <item x="303"/>
        <item x="270"/>
        <item x="355"/>
        <item x="301"/>
        <item x="389"/>
        <item x="441"/>
        <item x="268"/>
        <item x="228"/>
        <item x="340"/>
        <item x="229"/>
        <item x="327"/>
        <item x="239"/>
        <item x="238"/>
        <item x="348"/>
        <item x="351"/>
        <item x="286"/>
        <item x="358"/>
        <item x="454"/>
        <item x="276"/>
        <item x="275"/>
        <item x="334"/>
        <item x="365"/>
        <item x="345"/>
        <item x="225"/>
        <item x="425"/>
        <item x="451"/>
        <item x="294"/>
        <item x="404"/>
        <item x="361"/>
        <item x="285"/>
        <item x="249"/>
        <item x="266"/>
        <item x="436"/>
        <item x="405"/>
        <item x="408"/>
        <item x="253"/>
        <item x="320"/>
        <item x="455"/>
        <item x="387"/>
        <item x="308"/>
        <item x="252"/>
        <item x="390"/>
        <item x="372"/>
        <item x="402"/>
        <item x="417"/>
        <item x="232"/>
        <item x="544"/>
        <item x="504"/>
        <item x="588"/>
        <item x="463"/>
        <item x="519"/>
        <item x="472"/>
        <item x="466"/>
        <item x="585"/>
        <item x="584"/>
        <item x="510"/>
        <item x="524"/>
        <item x="506"/>
        <item x="570"/>
        <item x="579"/>
        <item x="580"/>
        <item x="607"/>
        <item x="541"/>
        <item x="477"/>
        <item x="501"/>
        <item x="557"/>
        <item x="621"/>
        <item x="624"/>
        <item x="527"/>
        <item x="529"/>
        <item x="625"/>
        <item x="537"/>
        <item x="545"/>
        <item x="569"/>
        <item x="597"/>
        <item x="516"/>
        <item x="492"/>
        <item x="572"/>
        <item x="488"/>
        <item x="600"/>
        <item x="606"/>
        <item x="521"/>
        <item x="573"/>
        <item x="576"/>
        <item x="534"/>
        <item x="475"/>
        <item x="508"/>
        <item x="507"/>
        <item x="485"/>
        <item x="489"/>
        <item x="465"/>
        <item x="551"/>
        <item x="559"/>
        <item x="561"/>
        <item x="473"/>
        <item x="617"/>
        <item x="562"/>
        <item x="598"/>
        <item x="603"/>
        <item x="526"/>
        <item x="482"/>
        <item x="512"/>
        <item x="536"/>
        <item x="595"/>
        <item x="568"/>
        <item x="490"/>
        <item x="567"/>
        <item x="555"/>
        <item x="522"/>
        <item x="495"/>
        <item x="531"/>
        <item x="596"/>
        <item x="494"/>
        <item x="546"/>
        <item x="496"/>
        <item x="462"/>
        <item x="535"/>
        <item x="563"/>
        <item x="500"/>
        <item x="601"/>
        <item x="515"/>
        <item x="592"/>
        <item x="468"/>
        <item x="518"/>
        <item x="476"/>
        <item x="471"/>
        <item x="565"/>
        <item x="586"/>
        <item x="627"/>
        <item x="577"/>
        <item x="523"/>
        <item x="503"/>
        <item x="538"/>
        <item x="591"/>
        <item x="602"/>
        <item x="464"/>
        <item x="564"/>
        <item x="520"/>
        <item x="599"/>
        <item x="469"/>
        <item x="589"/>
        <item x="484"/>
        <item x="582"/>
        <item x="611"/>
        <item x="467"/>
        <item x="479"/>
        <item x="513"/>
        <item x="628"/>
        <item x="540"/>
        <item x="612"/>
        <item x="574"/>
        <item x="587"/>
        <item x="497"/>
        <item x="608"/>
        <item x="498"/>
        <item x="502"/>
        <item x="560"/>
        <item x="552"/>
        <item x="593"/>
        <item x="486"/>
        <item x="575"/>
        <item x="622"/>
        <item x="493"/>
        <item x="626"/>
        <item x="553"/>
        <item x="547"/>
        <item x="511"/>
        <item x="533"/>
        <item x="613"/>
        <item x="539"/>
        <item x="517"/>
        <item x="487"/>
        <item x="530"/>
        <item x="550"/>
        <item x="623"/>
        <item x="581"/>
        <item x="594"/>
        <item x="558"/>
        <item x="615"/>
        <item x="556"/>
        <item x="605"/>
        <item x="620"/>
        <item x="548"/>
        <item x="629"/>
        <item x="618"/>
        <item x="590"/>
        <item x="525"/>
        <item x="566"/>
        <item x="514"/>
        <item x="604"/>
        <item x="542"/>
        <item x="543"/>
        <item x="491"/>
        <item x="619"/>
        <item x="478"/>
        <item x="528"/>
        <item x="571"/>
        <item x="470"/>
        <item x="481"/>
        <item x="614"/>
        <item x="499"/>
        <item x="578"/>
        <item x="483"/>
        <item x="474"/>
        <item x="509"/>
        <item x="532"/>
        <item x="505"/>
        <item x="609"/>
        <item x="583"/>
        <item x="610"/>
        <item x="480"/>
        <item x="549"/>
        <item x="616"/>
        <item x="554"/>
        <item t="default"/>
      </items>
    </pivotField>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items count="12">
        <item x="0"/>
        <item x="4"/>
        <item x="8"/>
        <item x="1"/>
        <item x="5"/>
        <item x="9"/>
        <item x="2"/>
        <item x="6"/>
        <item x="10"/>
        <item x="3"/>
        <item x="7"/>
        <item t="default"/>
      </items>
    </pivotField>
    <pivotField showAll="0"/>
    <pivotField showAll="0"/>
    <pivotField showAll="0"/>
    <pivotField showAll="0"/>
    <pivotField showAll="0"/>
    <pivotField showAll="0"/>
    <pivotField showAll="0"/>
    <pivotField showAll="0"/>
    <pivotField numFmtId="2" showAll="0"/>
    <pivotField numFmtId="2"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6"/>
    <field x="25"/>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DC61D3-DB47-4125-ABA0-E56E243919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2" firstHeaderRow="1" firstDataRow="1" firstDataCol="1"/>
  <pivotFields count="27">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pivotField showAll="0"/>
    <pivotField showAll="0"/>
    <pivotField showAll="0"/>
    <pivotField showAll="0"/>
    <pivotField axis="axisRow" showAll="0" sortType="descending">
      <items count="16">
        <item x="1"/>
        <item x="0"/>
        <item x="11"/>
        <item x="2"/>
        <item x="14"/>
        <item x="7"/>
        <item x="6"/>
        <item x="4"/>
        <item h="1" x="12"/>
        <item h="1" x="13"/>
        <item h="1" x="10"/>
        <item h="1" x="9"/>
        <item h="1" x="3"/>
        <item h="1" x="8"/>
        <item h="1" x="5"/>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dataField="1" numFmtId="43" showAll="0"/>
    <pivotField showAll="0" defaultSubtotal="0"/>
    <pivotField showAll="0" defaultSubtotal="0">
      <items count="5">
        <item x="0"/>
        <item x="1"/>
        <item x="2"/>
        <item x="3"/>
        <item x="4"/>
      </items>
    </pivotField>
  </pivotFields>
  <rowFields count="1">
    <field x="10"/>
  </rowFields>
  <rowItems count="9">
    <i>
      <x v="1"/>
    </i>
    <i>
      <x/>
    </i>
    <i>
      <x v="7"/>
    </i>
    <i>
      <x v="5"/>
    </i>
    <i>
      <x v="2"/>
    </i>
    <i>
      <x v="4"/>
    </i>
    <i>
      <x v="3"/>
    </i>
    <i>
      <x v="6"/>
    </i>
    <i t="grand">
      <x/>
    </i>
  </rowItems>
  <colItems count="1">
    <i/>
  </colItems>
  <dataFields count="1">
    <dataField name="Sum of Gross profit per order" fld="24"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2721D-ED4D-47B6-9638-076897DBC1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7">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axis="axisRow" showAll="0">
      <items count="5">
        <item x="1"/>
        <item x="0"/>
        <item x="3"/>
        <item x="2"/>
        <item t="default"/>
      </items>
    </pivotField>
    <pivotField showAll="0"/>
    <pivotField showAll="0"/>
    <pivotField showAll="0"/>
    <pivotField axis="axisCol" showAll="0">
      <items count="6">
        <item h="1" x="2"/>
        <item h="1" x="0"/>
        <item x="4"/>
        <item x="1"/>
        <item x="3"/>
        <item t="default"/>
      </items>
    </pivotField>
    <pivotField showAll="0"/>
    <pivotField showAll="0"/>
    <pivotField showAll="0"/>
    <pivotField numFmtId="2" showAll="0"/>
    <pivotField numFmtId="2" showAll="0"/>
    <pivotField numFmtId="9" showAll="0"/>
    <pivotField numFmtId="1" showAll="0"/>
    <pivotField numFmtId="9" showAll="0"/>
    <pivotField dataField="1" numFmtId="43" showAll="0">
      <items count="631">
        <item x="628"/>
        <item x="345"/>
        <item x="24"/>
        <item x="264"/>
        <item x="515"/>
        <item x="597"/>
        <item x="284"/>
        <item x="161"/>
        <item x="73"/>
        <item x="190"/>
        <item x="68"/>
        <item x="493"/>
        <item x="82"/>
        <item x="531"/>
        <item x="530"/>
        <item x="325"/>
        <item x="571"/>
        <item x="583"/>
        <item x="410"/>
        <item x="532"/>
        <item x="499"/>
        <item x="115"/>
        <item x="147"/>
        <item x="5"/>
        <item x="501"/>
        <item x="441"/>
        <item x="249"/>
        <item x="506"/>
        <item x="601"/>
        <item x="319"/>
        <item x="171"/>
        <item x="85"/>
        <item x="307"/>
        <item x="548"/>
        <item x="163"/>
        <item x="607"/>
        <item x="511"/>
        <item x="50"/>
        <item x="428"/>
        <item x="90"/>
        <item x="254"/>
        <item x="298"/>
        <item x="519"/>
        <item x="604"/>
        <item x="409"/>
        <item x="124"/>
        <item x="439"/>
        <item x="586"/>
        <item x="11"/>
        <item x="257"/>
        <item x="596"/>
        <item x="69"/>
        <item x="603"/>
        <item x="521"/>
        <item x="101"/>
        <item x="388"/>
        <item x="320"/>
        <item x="560"/>
        <item x="38"/>
        <item x="153"/>
        <item x="244"/>
        <item x="469"/>
        <item x="482"/>
        <item x="75"/>
        <item x="8"/>
        <item x="404"/>
        <item x="528"/>
        <item x="233"/>
        <item x="59"/>
        <item x="471"/>
        <item x="366"/>
        <item x="467"/>
        <item x="324"/>
        <item x="341"/>
        <item x="437"/>
        <item x="20"/>
        <item x="383"/>
        <item x="456"/>
        <item x="270"/>
        <item x="514"/>
        <item x="1"/>
        <item x="351"/>
        <item x="107"/>
        <item x="524"/>
        <item x="465"/>
        <item x="266"/>
        <item x="105"/>
        <item x="429"/>
        <item x="551"/>
        <item x="100"/>
        <item x="286"/>
        <item x="362"/>
        <item x="199"/>
        <item x="54"/>
        <item x="52"/>
        <item x="74"/>
        <item x="114"/>
        <item x="308"/>
        <item x="272"/>
        <item x="436"/>
        <item x="21"/>
        <item x="220"/>
        <item x="0"/>
        <item x="241"/>
        <item x="267"/>
        <item x="430"/>
        <item x="43"/>
        <item x="579"/>
        <item x="498"/>
        <item x="611"/>
        <item x="168"/>
        <item x="157"/>
        <item x="573"/>
        <item x="539"/>
        <item x="96"/>
        <item x="232"/>
        <item x="496"/>
        <item x="363"/>
        <item x="384"/>
        <item x="450"/>
        <item x="269"/>
        <item x="468"/>
        <item x="534"/>
        <item x="277"/>
        <item x="434"/>
        <item x="495"/>
        <item x="333"/>
        <item x="142"/>
        <item x="537"/>
        <item x="188"/>
        <item x="95"/>
        <item x="356"/>
        <item x="386"/>
        <item x="380"/>
        <item x="544"/>
        <item x="473"/>
        <item x="49"/>
        <item x="622"/>
        <item x="175"/>
        <item x="455"/>
        <item x="512"/>
        <item x="420"/>
        <item x="361"/>
        <item x="99"/>
        <item x="533"/>
        <item x="87"/>
        <item x="340"/>
        <item x="376"/>
        <item x="442"/>
        <item x="370"/>
        <item x="444"/>
        <item x="574"/>
        <item x="97"/>
        <item x="234"/>
        <item x="520"/>
        <item x="235"/>
        <item x="418"/>
        <item x="135"/>
        <item x="406"/>
        <item x="464"/>
        <item x="42"/>
        <item x="355"/>
        <item x="373"/>
        <item x="200"/>
        <item x="119"/>
        <item x="103"/>
        <item x="416"/>
        <item x="9"/>
        <item x="178"/>
        <item x="167"/>
        <item x="311"/>
        <item x="390"/>
        <item x="66"/>
        <item x="46"/>
        <item x="162"/>
        <item x="490"/>
        <item x="111"/>
        <item x="584"/>
        <item x="247"/>
        <item x="141"/>
        <item x="273"/>
        <item x="60"/>
        <item x="154"/>
        <item x="348"/>
        <item x="224"/>
        <item x="202"/>
        <item x="229"/>
        <item x="478"/>
        <item x="484"/>
        <item x="214"/>
        <item x="116"/>
        <item x="193"/>
        <item x="70"/>
        <item x="561"/>
        <item x="516"/>
        <item x="572"/>
        <item x="185"/>
        <item x="486"/>
        <item x="288"/>
        <item x="143"/>
        <item x="550"/>
        <item x="454"/>
        <item x="431"/>
        <item x="538"/>
        <item x="295"/>
        <item x="251"/>
        <item x="12"/>
        <item x="566"/>
        <item x="53"/>
        <item x="242"/>
        <item x="314"/>
        <item x="346"/>
        <item x="624"/>
        <item x="507"/>
        <item x="189"/>
        <item x="151"/>
        <item x="152"/>
        <item x="144"/>
        <item x="626"/>
        <item x="557"/>
        <item x="522"/>
        <item x="191"/>
        <item x="364"/>
        <item x="170"/>
        <item x="65"/>
        <item x="256"/>
        <item x="77"/>
        <item x="206"/>
        <item x="80"/>
        <item x="411"/>
        <item x="243"/>
        <item x="183"/>
        <item x="237"/>
        <item x="542"/>
        <item x="545"/>
        <item x="595"/>
        <item x="546"/>
        <item x="448"/>
        <item x="218"/>
        <item x="255"/>
        <item x="457"/>
        <item x="302"/>
        <item x="78"/>
        <item x="2"/>
        <item x="494"/>
        <item x="176"/>
        <item x="37"/>
        <item x="510"/>
        <item x="337"/>
        <item x="492"/>
        <item x="16"/>
        <item x="577"/>
        <item x="112"/>
        <item x="479"/>
        <item x="497"/>
        <item x="56"/>
        <item x="487"/>
        <item x="109"/>
        <item x="84"/>
        <item x="102"/>
        <item x="500"/>
        <item x="278"/>
        <item x="231"/>
        <item x="282"/>
        <item x="556"/>
        <item x="589"/>
        <item x="195"/>
        <item x="179"/>
        <item x="610"/>
        <item x="422"/>
        <item x="602"/>
        <item x="22"/>
        <item x="438"/>
        <item x="565"/>
        <item x="352"/>
        <item x="535"/>
        <item x="208"/>
        <item x="192"/>
        <item x="110"/>
        <item x="274"/>
        <item x="253"/>
        <item x="477"/>
        <item x="3"/>
        <item x="281"/>
        <item x="549"/>
        <item x="616"/>
        <item x="625"/>
        <item x="240"/>
        <item x="328"/>
        <item x="322"/>
        <item x="149"/>
        <item x="562"/>
        <item x="575"/>
        <item x="488"/>
        <item x="316"/>
        <item x="600"/>
        <item x="382"/>
        <item x="41"/>
        <item x="568"/>
        <item x="336"/>
        <item x="395"/>
        <item x="318"/>
        <item x="132"/>
        <item x="592"/>
        <item x="283"/>
        <item x="98"/>
        <item x="196"/>
        <item x="605"/>
        <item x="201"/>
        <item x="421"/>
        <item x="446"/>
        <item x="387"/>
        <item x="312"/>
        <item x="216"/>
        <item x="627"/>
        <item x="296"/>
        <item x="290"/>
        <item x="33"/>
        <item x="262"/>
        <item x="613"/>
        <item x="203"/>
        <item x="513"/>
        <item x="172"/>
        <item x="67"/>
        <item x="139"/>
        <item x="117"/>
        <item x="292"/>
        <item x="219"/>
        <item x="211"/>
        <item x="36"/>
        <item x="317"/>
        <item x="374"/>
        <item x="555"/>
        <item x="58"/>
        <item x="212"/>
        <item x="182"/>
        <item x="353"/>
        <item x="593"/>
        <item x="304"/>
        <item x="166"/>
        <item x="458"/>
        <item x="238"/>
        <item x="165"/>
        <item x="427"/>
        <item x="347"/>
        <item x="4"/>
        <item x="297"/>
        <item x="466"/>
        <item x="265"/>
        <item x="415"/>
        <item x="35"/>
        <item x="263"/>
        <item x="581"/>
        <item x="236"/>
        <item x="164"/>
        <item x="158"/>
        <item x="299"/>
        <item x="393"/>
        <item x="44"/>
        <item x="485"/>
        <item x="245"/>
        <item x="39"/>
        <item x="222"/>
        <item x="300"/>
        <item x="156"/>
        <item x="293"/>
        <item x="505"/>
        <item x="194"/>
        <item x="204"/>
        <item x="620"/>
        <item x="606"/>
        <item x="34"/>
        <item x="13"/>
        <item x="426"/>
        <item x="230"/>
        <item x="502"/>
        <item x="618"/>
        <item x="368"/>
        <item x="104"/>
        <item x="32"/>
        <item x="252"/>
        <item x="76"/>
        <item x="280"/>
        <item x="523"/>
        <item x="591"/>
        <item x="315"/>
        <item x="93"/>
        <item x="248"/>
        <item x="400"/>
        <item x="470"/>
        <item x="150"/>
        <item x="181"/>
        <item x="159"/>
        <item x="137"/>
        <item x="503"/>
        <item x="447"/>
        <item x="31"/>
        <item x="271"/>
        <item x="614"/>
        <item x="177"/>
        <item x="226"/>
        <item x="608"/>
        <item x="527"/>
        <item x="563"/>
        <item x="250"/>
        <item x="326"/>
        <item x="123"/>
        <item x="6"/>
        <item x="306"/>
        <item x="94"/>
        <item x="83"/>
        <item x="389"/>
        <item x="419"/>
        <item x="402"/>
        <item x="518"/>
        <item x="489"/>
        <item x="294"/>
        <item x="313"/>
        <item x="71"/>
        <item x="122"/>
        <item x="559"/>
        <item x="45"/>
        <item x="86"/>
        <item x="207"/>
        <item x="508"/>
        <item x="129"/>
        <item x="120"/>
        <item x="213"/>
        <item x="146"/>
        <item x="504"/>
        <item x="239"/>
        <item x="399"/>
        <item x="414"/>
        <item x="145"/>
        <item x="19"/>
        <item x="173"/>
        <item x="323"/>
        <item x="449"/>
        <item x="10"/>
        <item x="452"/>
        <item x="349"/>
        <item x="57"/>
        <item x="474"/>
        <item x="529"/>
        <item x="88"/>
        <item x="197"/>
        <item x="92"/>
        <item x="225"/>
        <item x="186"/>
        <item x="210"/>
        <item x="369"/>
        <item x="303"/>
        <item x="372"/>
        <item x="357"/>
        <item x="453"/>
        <item x="377"/>
        <item x="301"/>
        <item x="476"/>
        <item x="223"/>
        <item x="305"/>
        <item x="367"/>
        <item x="30"/>
        <item x="14"/>
        <item x="424"/>
        <item x="279"/>
        <item x="585"/>
        <item x="462"/>
        <item x="558"/>
        <item x="148"/>
        <item x="360"/>
        <item x="27"/>
        <item x="480"/>
        <item x="174"/>
        <item x="541"/>
        <item x="121"/>
        <item x="62"/>
        <item x="445"/>
        <item x="391"/>
        <item x="127"/>
        <item x="63"/>
        <item x="23"/>
        <item x="17"/>
        <item x="412"/>
        <item x="126"/>
        <item x="205"/>
        <item x="246"/>
        <item x="567"/>
        <item x="215"/>
        <item x="91"/>
        <item x="184"/>
        <item x="375"/>
        <item x="51"/>
        <item x="334"/>
        <item x="623"/>
        <item x="187"/>
        <item x="131"/>
        <item x="396"/>
        <item x="350"/>
        <item x="472"/>
        <item x="228"/>
        <item x="432"/>
        <item x="354"/>
        <item x="29"/>
        <item x="569"/>
        <item x="598"/>
        <item x="133"/>
        <item x="64"/>
        <item x="258"/>
        <item x="483"/>
        <item x="443"/>
        <item x="335"/>
        <item x="619"/>
        <item x="359"/>
        <item x="615"/>
        <item x="138"/>
        <item x="331"/>
        <item x="108"/>
        <item x="461"/>
        <item x="310"/>
        <item x="397"/>
        <item x="169"/>
        <item x="330"/>
        <item x="552"/>
        <item x="517"/>
        <item x="28"/>
        <item x="136"/>
        <item x="47"/>
        <item x="291"/>
        <item x="61"/>
        <item x="198"/>
        <item x="134"/>
        <item x="113"/>
        <item x="344"/>
        <item x="440"/>
        <item x="481"/>
        <item x="463"/>
        <item x="155"/>
        <item x="381"/>
        <item x="276"/>
        <item x="275"/>
        <item x="599"/>
        <item x="321"/>
        <item x="261"/>
        <item x="125"/>
        <item x="287"/>
        <item x="217"/>
        <item x="536"/>
        <item x="365"/>
        <item x="338"/>
        <item x="342"/>
        <item x="621"/>
        <item x="379"/>
        <item x="433"/>
        <item x="408"/>
        <item x="617"/>
        <item x="160"/>
        <item x="394"/>
        <item x="594"/>
        <item x="590"/>
        <item x="268"/>
        <item x="259"/>
        <item x="417"/>
        <item x="403"/>
        <item x="553"/>
        <item x="570"/>
        <item x="26"/>
        <item x="130"/>
        <item x="547"/>
        <item x="526"/>
        <item x="413"/>
        <item x="425"/>
        <item x="209"/>
        <item x="227"/>
        <item x="385"/>
        <item x="451"/>
        <item x="378"/>
        <item x="540"/>
        <item x="401"/>
        <item x="407"/>
        <item x="491"/>
        <item x="128"/>
        <item x="576"/>
        <item x="398"/>
        <item x="509"/>
        <item x="48"/>
        <item x="580"/>
        <item x="609"/>
        <item x="578"/>
        <item x="327"/>
        <item x="79"/>
        <item x="106"/>
        <item x="7"/>
        <item x="289"/>
        <item x="140"/>
        <item x="405"/>
        <item x="543"/>
        <item x="371"/>
        <item x="25"/>
        <item x="629"/>
        <item x="475"/>
        <item x="40"/>
        <item x="55"/>
        <item x="392"/>
        <item x="612"/>
        <item x="89"/>
        <item x="460"/>
        <item x="260"/>
        <item x="329"/>
        <item x="15"/>
        <item x="554"/>
        <item x="81"/>
        <item x="332"/>
        <item x="459"/>
        <item x="221"/>
        <item x="587"/>
        <item x="339"/>
        <item x="180"/>
        <item x="423"/>
        <item x="358"/>
        <item x="285"/>
        <item x="343"/>
        <item x="118"/>
        <item x="435"/>
        <item x="18"/>
        <item x="72"/>
        <item x="525"/>
        <item x="582"/>
        <item x="309"/>
        <item x="564"/>
        <item x="588"/>
        <item t="default"/>
      </items>
    </pivotField>
    <pivotField numFmtId="43" showAll="0"/>
    <pivotField numFmtId="43" showAll="0"/>
    <pivotField numFmtId="9" showAll="0"/>
    <pivotField showAll="0"/>
    <pivotField numFmtId="43" showAll="0"/>
    <pivotField numFmtId="43" showAll="0"/>
    <pivotField showAll="0" defaultSubtotal="0"/>
    <pivotField showAll="0" defaultSubtotal="0">
      <items count="5">
        <item x="0"/>
        <item x="1"/>
        <item x="2"/>
        <item x="3"/>
        <item x="4"/>
      </items>
    </pivotField>
  </pivotFields>
  <rowFields count="1">
    <field x="5"/>
  </rowFields>
  <rowItems count="5">
    <i>
      <x/>
    </i>
    <i>
      <x v="1"/>
    </i>
    <i>
      <x v="2"/>
    </i>
    <i>
      <x v="3"/>
    </i>
    <i t="grand">
      <x/>
    </i>
  </rowItems>
  <colFields count="1">
    <field x="9"/>
  </colFields>
  <colItems count="4">
    <i>
      <x v="2"/>
    </i>
    <i>
      <x v="3"/>
    </i>
    <i>
      <x v="4"/>
    </i>
    <i t="grand">
      <x/>
    </i>
  </colItems>
  <dataFields count="1">
    <dataField name="Sum of Gross Revenue" fld="18"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DAE6F-E79B-4E43-B32A-D29B0F79BF3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1" firstHeaderRow="1" firstDataRow="2" firstDataCol="1"/>
  <pivotFields count="40">
    <pivotField dataField="1"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axis="axisRow"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axis="axisCol" showAll="0">
      <items count="3">
        <item x="0"/>
        <item x="1"/>
        <item t="default"/>
      </items>
    </pivotField>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2">
    <field x="6"/>
    <field x="11"/>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29"/>
  </colFields>
  <colItems count="3">
    <i>
      <x/>
    </i>
    <i>
      <x v="1"/>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29A095-6AD0-44A4-8E46-55CED322CE3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1:R108" firstHeaderRow="1" firstDataRow="1" firstDataCol="1"/>
  <pivotFields count="6">
    <pivotField axis="axisRow" showAll="0">
      <items count="13">
        <item x="0"/>
        <item x="1"/>
        <item x="2"/>
        <item x="3"/>
        <item x="4"/>
        <item x="5"/>
        <item x="6"/>
        <item x="7"/>
        <item x="8"/>
        <item x="9"/>
        <item x="10"/>
        <item x="11"/>
        <item t="default"/>
      </items>
    </pivotField>
    <pivotField axis="axisRow" showAll="0">
      <items count="8">
        <item x="0"/>
        <item x="1"/>
        <item x="2"/>
        <item x="3"/>
        <item x="4"/>
        <item x="5"/>
        <item x="6"/>
        <item t="default"/>
      </items>
    </pivotField>
    <pivotField showAll="0"/>
    <pivotField showAll="0"/>
    <pivotField showAll="0"/>
    <pivotField dataField="1" numFmtId="9" showAll="0"/>
  </pivotFields>
  <rowFields count="2">
    <field x="0"/>
    <field x="1"/>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Items count="1">
    <i/>
  </colItems>
  <dataFields count="1">
    <dataField name="Sum of pct of meeting 7 days target" fld="5"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E21B5-0D9A-44BB-8D15-F0C1711DC6AA}"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96"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axis="axisRow"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axis="axisRow"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dataField="1"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3">
    <field x="5"/>
    <field x="6"/>
    <field x="10"/>
  </rowFields>
  <rowItems count="193">
    <i>
      <x/>
    </i>
    <i r="1">
      <x v="7"/>
    </i>
    <i r="2">
      <x/>
    </i>
    <i r="2">
      <x v="1"/>
    </i>
    <i r="2">
      <x v="2"/>
    </i>
    <i r="2">
      <x v="3"/>
    </i>
    <i r="2">
      <x v="4"/>
    </i>
    <i r="2">
      <x v="5"/>
    </i>
    <i r="2">
      <x v="7"/>
    </i>
    <i r="2">
      <x v="8"/>
    </i>
    <i r="2">
      <x v="9"/>
    </i>
    <i r="2">
      <x v="10"/>
    </i>
    <i r="2">
      <x v="11"/>
    </i>
    <i r="2">
      <x v="12"/>
    </i>
    <i r="2">
      <x v="13"/>
    </i>
    <i r="2">
      <x v="14"/>
    </i>
    <i r="1">
      <x v="8"/>
    </i>
    <i r="2">
      <x/>
    </i>
    <i r="2">
      <x v="2"/>
    </i>
    <i r="2">
      <x v="3"/>
    </i>
    <i r="2">
      <x v="4"/>
    </i>
    <i r="2">
      <x v="5"/>
    </i>
    <i r="2">
      <x v="6"/>
    </i>
    <i r="2">
      <x v="7"/>
    </i>
    <i r="2">
      <x v="8"/>
    </i>
    <i r="2">
      <x v="9"/>
    </i>
    <i r="2">
      <x v="10"/>
    </i>
    <i r="2">
      <x v="11"/>
    </i>
    <i r="2">
      <x v="12"/>
    </i>
    <i r="2">
      <x v="14"/>
    </i>
    <i r="1">
      <x v="9"/>
    </i>
    <i r="2">
      <x/>
    </i>
    <i r="2">
      <x v="1"/>
    </i>
    <i r="2">
      <x v="2"/>
    </i>
    <i r="2">
      <x v="3"/>
    </i>
    <i r="2">
      <x v="4"/>
    </i>
    <i r="2">
      <x v="5"/>
    </i>
    <i r="2">
      <x v="6"/>
    </i>
    <i r="2">
      <x v="7"/>
    </i>
    <i r="2">
      <x v="8"/>
    </i>
    <i r="2">
      <x v="9"/>
    </i>
    <i r="2">
      <x v="10"/>
    </i>
    <i r="2">
      <x v="11"/>
    </i>
    <i r="2">
      <x v="12"/>
    </i>
    <i r="2">
      <x v="13"/>
    </i>
    <i r="2">
      <x v="14"/>
    </i>
    <i>
      <x v="1"/>
    </i>
    <i r="1">
      <x/>
    </i>
    <i r="2">
      <x/>
    </i>
    <i r="2">
      <x v="1"/>
    </i>
    <i r="2">
      <x v="2"/>
    </i>
    <i r="2">
      <x v="3"/>
    </i>
    <i r="2">
      <x v="4"/>
    </i>
    <i r="2">
      <x v="5"/>
    </i>
    <i r="2">
      <x v="6"/>
    </i>
    <i r="2">
      <x v="8"/>
    </i>
    <i r="2">
      <x v="9"/>
    </i>
    <i r="2">
      <x v="10"/>
    </i>
    <i r="2">
      <x v="11"/>
    </i>
    <i r="2">
      <x v="12"/>
    </i>
    <i r="2">
      <x v="13"/>
    </i>
    <i r="2">
      <x v="14"/>
    </i>
    <i r="1">
      <x v="1"/>
    </i>
    <i r="2">
      <x/>
    </i>
    <i r="2">
      <x v="1"/>
    </i>
    <i r="2">
      <x v="2"/>
    </i>
    <i r="2">
      <x v="3"/>
    </i>
    <i r="2">
      <x v="4"/>
    </i>
    <i r="2">
      <x v="5"/>
    </i>
    <i r="2">
      <x v="6"/>
    </i>
    <i r="2">
      <x v="7"/>
    </i>
    <i r="2">
      <x v="8"/>
    </i>
    <i r="2">
      <x v="9"/>
    </i>
    <i r="2">
      <x v="10"/>
    </i>
    <i r="2">
      <x v="11"/>
    </i>
    <i r="2">
      <x v="12"/>
    </i>
    <i r="2">
      <x v="13"/>
    </i>
    <i r="2">
      <x v="14"/>
    </i>
    <i r="1">
      <x v="11"/>
    </i>
    <i r="2">
      <x/>
    </i>
    <i r="2">
      <x v="1"/>
    </i>
    <i r="2">
      <x v="2"/>
    </i>
    <i r="2">
      <x v="3"/>
    </i>
    <i r="2">
      <x v="4"/>
    </i>
    <i r="2">
      <x v="5"/>
    </i>
    <i r="2">
      <x v="6"/>
    </i>
    <i r="2">
      <x v="7"/>
    </i>
    <i r="2">
      <x v="8"/>
    </i>
    <i r="2">
      <x v="9"/>
    </i>
    <i r="2">
      <x v="10"/>
    </i>
    <i r="2">
      <x v="11"/>
    </i>
    <i r="2">
      <x v="12"/>
    </i>
    <i r="2">
      <x v="13"/>
    </i>
    <i r="2">
      <x v="14"/>
    </i>
    <i>
      <x v="2"/>
    </i>
    <i r="1">
      <x v="2"/>
    </i>
    <i r="2">
      <x/>
    </i>
    <i r="2">
      <x v="1"/>
    </i>
    <i r="2">
      <x v="2"/>
    </i>
    <i r="2">
      <x v="3"/>
    </i>
    <i r="2">
      <x v="4"/>
    </i>
    <i r="2">
      <x v="5"/>
    </i>
    <i r="2">
      <x v="6"/>
    </i>
    <i r="2">
      <x v="7"/>
    </i>
    <i r="2">
      <x v="8"/>
    </i>
    <i r="2">
      <x v="9"/>
    </i>
    <i r="2">
      <x v="10"/>
    </i>
    <i r="2">
      <x v="11"/>
    </i>
    <i r="2">
      <x v="12"/>
    </i>
    <i r="2">
      <x v="13"/>
    </i>
    <i r="2">
      <x v="14"/>
    </i>
    <i r="1">
      <x v="5"/>
    </i>
    <i r="2">
      <x/>
    </i>
    <i r="2">
      <x v="1"/>
    </i>
    <i r="2">
      <x v="2"/>
    </i>
    <i r="2">
      <x v="3"/>
    </i>
    <i r="2">
      <x v="4"/>
    </i>
    <i r="2">
      <x v="5"/>
    </i>
    <i r="2">
      <x v="6"/>
    </i>
    <i r="2">
      <x v="7"/>
    </i>
    <i r="2">
      <x v="8"/>
    </i>
    <i r="2">
      <x v="9"/>
    </i>
    <i r="2">
      <x v="10"/>
    </i>
    <i r="2">
      <x v="11"/>
    </i>
    <i r="2">
      <x v="12"/>
    </i>
    <i r="2">
      <x v="13"/>
    </i>
    <i r="2">
      <x v="14"/>
    </i>
    <i r="1">
      <x v="6"/>
    </i>
    <i r="2">
      <x/>
    </i>
    <i r="2">
      <x v="1"/>
    </i>
    <i r="2">
      <x v="2"/>
    </i>
    <i r="2">
      <x v="3"/>
    </i>
    <i r="2">
      <x v="4"/>
    </i>
    <i r="2">
      <x v="5"/>
    </i>
    <i r="2">
      <x v="6"/>
    </i>
    <i r="2">
      <x v="7"/>
    </i>
    <i r="2">
      <x v="8"/>
    </i>
    <i r="2">
      <x v="9"/>
    </i>
    <i r="2">
      <x v="10"/>
    </i>
    <i r="2">
      <x v="11"/>
    </i>
    <i r="2">
      <x v="12"/>
    </i>
    <i r="2">
      <x v="13"/>
    </i>
    <i r="2">
      <x v="14"/>
    </i>
    <i>
      <x v="3"/>
    </i>
    <i r="1">
      <x v="3"/>
    </i>
    <i r="2">
      <x/>
    </i>
    <i r="2">
      <x v="1"/>
    </i>
    <i r="2">
      <x v="2"/>
    </i>
    <i r="2">
      <x v="3"/>
    </i>
    <i r="2">
      <x v="4"/>
    </i>
    <i r="2">
      <x v="5"/>
    </i>
    <i r="2">
      <x v="6"/>
    </i>
    <i r="2">
      <x v="7"/>
    </i>
    <i r="2">
      <x v="8"/>
    </i>
    <i r="2">
      <x v="9"/>
    </i>
    <i r="2">
      <x v="10"/>
    </i>
    <i r="2">
      <x v="11"/>
    </i>
    <i r="2">
      <x v="12"/>
    </i>
    <i r="2">
      <x v="13"/>
    </i>
    <i r="2">
      <x v="14"/>
    </i>
    <i r="1">
      <x v="4"/>
    </i>
    <i r="2">
      <x/>
    </i>
    <i r="2">
      <x v="1"/>
    </i>
    <i r="2">
      <x v="2"/>
    </i>
    <i r="2">
      <x v="3"/>
    </i>
    <i r="2">
      <x v="4"/>
    </i>
    <i r="2">
      <x v="5"/>
    </i>
    <i r="2">
      <x v="6"/>
    </i>
    <i r="2">
      <x v="7"/>
    </i>
    <i r="2">
      <x v="8"/>
    </i>
    <i r="2">
      <x v="9"/>
    </i>
    <i r="2">
      <x v="10"/>
    </i>
    <i r="2">
      <x v="11"/>
    </i>
    <i r="2">
      <x v="12"/>
    </i>
    <i r="2">
      <x v="13"/>
    </i>
    <i r="2">
      <x v="14"/>
    </i>
    <i r="1">
      <x v="10"/>
    </i>
    <i r="2">
      <x/>
    </i>
    <i r="2">
      <x v="1"/>
    </i>
    <i r="2">
      <x v="2"/>
    </i>
    <i r="2">
      <x v="3"/>
    </i>
    <i r="2">
      <x v="4"/>
    </i>
    <i r="2">
      <x v="5"/>
    </i>
    <i r="2">
      <x v="6"/>
    </i>
    <i r="2">
      <x v="7"/>
    </i>
    <i r="2">
      <x v="8"/>
    </i>
    <i r="2">
      <x v="9"/>
    </i>
    <i r="2">
      <x v="10"/>
    </i>
    <i r="2">
      <x v="11"/>
    </i>
    <i r="2">
      <x v="12"/>
    </i>
    <i r="2">
      <x v="13"/>
    </i>
    <i r="2">
      <x v="14"/>
    </i>
    <i t="grand">
      <x/>
    </i>
  </rowItems>
  <colItems count="1">
    <i/>
  </colItems>
  <dataFields count="1">
    <dataField name="Discount &gt; 20%"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FF9AF-864D-47F3-A15B-B0339DBE1AB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16"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Gross Revenue" fld="19" baseField="0" baseItem="0" numFmtId="43"/>
  </dataFields>
  <chartFormats count="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529A41-27F4-4564-8E70-1EA8EA6B173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axis="axisRow"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55EA3F-424A-425D-B56C-A20E434C5C9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9"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axis="axisRow"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705D7F-A5B8-4C66-8F25-F21F1607F45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11"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axis="axisRow"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8">
    <i>
      <x/>
    </i>
    <i>
      <x v="1"/>
    </i>
    <i>
      <x v="2"/>
    </i>
    <i>
      <x v="3"/>
    </i>
    <i>
      <x v="4"/>
    </i>
    <i>
      <x v="5"/>
    </i>
    <i>
      <x v="6"/>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33C0D1-CEBD-4FAF-BF9F-F0BB45900DE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40" firstHeaderRow="1" firstDataRow="1" firstDataCol="1"/>
  <pivotFields count="40">
    <pivotField dataField="1"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39"/>
    <field x="38"/>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B56190-55DB-472E-B0FF-0A8AC32F133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9" firstHeaderRow="1" firstDataRow="1" firstDataCol="1"/>
  <pivotFields count="40">
    <pivotField showAll="0"/>
    <pivotField numFmtId="165" showAll="0">
      <items count="4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umFmtId="165" showAll="0"/>
    <pivotField numFmtId="2"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6">
        <item x="2"/>
        <item x="0"/>
        <item x="4"/>
        <item x="1"/>
        <item x="3"/>
        <item t="default"/>
      </items>
    </pivotField>
    <pivotField axis="axisRow" showAll="0">
      <items count="16">
        <item x="1"/>
        <item x="0"/>
        <item x="11"/>
        <item x="2"/>
        <item x="14"/>
        <item x="7"/>
        <item x="6"/>
        <item x="4"/>
        <item x="12"/>
        <item x="13"/>
        <item x="10"/>
        <item x="9"/>
        <item x="3"/>
        <item x="8"/>
        <item x="5"/>
        <item t="default"/>
      </items>
    </pivotField>
    <pivotField showAll="0">
      <items count="8">
        <item x="3"/>
        <item x="6"/>
        <item x="0"/>
        <item x="5"/>
        <item x="4"/>
        <item x="2"/>
        <item x="1"/>
        <item t="default"/>
      </items>
    </pivotField>
    <pivotField showAll="0"/>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Gross Revenue" fld="19" baseField="0"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DE895B-065D-4F50-981D-8CD71513B98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7:G26" firstHeaderRow="1" firstDataRow="1" firstDataCol="1"/>
  <pivotFields count="38">
    <pivotField showAll="0"/>
    <pivotField numFmtId="165" showAll="0"/>
    <pivotField numFmtId="165" showAll="0"/>
    <pivotField numFmtId="2" showAll="0"/>
    <pivotField showAll="0"/>
    <pivotField showAll="0"/>
    <pivotField showAll="0"/>
    <pivotField showAll="0"/>
    <pivotField showAll="0"/>
    <pivotField showAll="0"/>
    <pivotField showAll="0"/>
    <pivotField showAll="0"/>
    <pivotField axis="axisRow" showAll="0">
      <items count="11">
        <item x="1"/>
        <item x="7"/>
        <item x="0"/>
        <item x="8"/>
        <item x="3"/>
        <item x="5"/>
        <item x="6"/>
        <item x="4"/>
        <item h="1" x="2"/>
        <item h="1" x="9"/>
        <item t="default"/>
      </items>
    </pivotField>
    <pivotField numFmtId="2" showAll="0"/>
    <pivotField numFmtId="2" showAll="0"/>
    <pivotField numFmtId="9" showAll="0"/>
    <pivotField numFmtId="9" showAll="0"/>
    <pivotField numFmtId="1" showAll="0"/>
    <pivotField numFmtId="9" showAll="0"/>
    <pivotField dataField="1" numFmtId="43" showAll="0"/>
    <pivotField numFmtId="43" showAll="0"/>
    <pivotField numFmtId="43" showAll="0"/>
    <pivotField numFmtId="9" showAll="0"/>
    <pivotField showAll="0"/>
    <pivotField numFmtId="43" showAll="0"/>
    <pivotField numFmtId="43" showAll="0"/>
    <pivotField showAll="0"/>
    <pivotField numFmtId="14" showAll="0"/>
    <pivotField numFmtId="14" showAll="0"/>
    <pivotField showAll="0"/>
    <pivotField showAll="0"/>
    <pivotField showAll="0"/>
    <pivotField numFmtId="43" showAll="0"/>
    <pivotField showAll="0"/>
    <pivotField numFmtId="43" showAll="0"/>
    <pivotField showAll="0"/>
    <pivotField numFmtId="43" showAll="0"/>
    <pivotField numFmtId="43" showAll="0"/>
  </pivotFields>
  <rowFields count="1">
    <field x="12"/>
  </rowFields>
  <rowItems count="9">
    <i>
      <x/>
    </i>
    <i>
      <x v="1"/>
    </i>
    <i>
      <x v="2"/>
    </i>
    <i>
      <x v="3"/>
    </i>
    <i>
      <x v="4"/>
    </i>
    <i>
      <x v="5"/>
    </i>
    <i>
      <x v="6"/>
    </i>
    <i>
      <x v="7"/>
    </i>
    <i t="grand">
      <x/>
    </i>
  </rowItems>
  <colItems count="1">
    <i/>
  </colItems>
  <dataFields count="1">
    <dataField name="Sum of Gross Revenue" fld="19" baseField="0" baseItem="0" numFmtId="43"/>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3EC23DC-CEF0-4B36-9337-6DC718D33E08}" sourceName="Channel">
  <pivotTables>
    <pivotTable tabId="5" name="PivotTable3"/>
  </pivotTables>
  <data>
    <tabular pivotCacheId="565810122">
      <items count="5">
        <i x="2"/>
        <i x="0"/>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7CD16BB-7E47-4837-862A-8FA85E0257A0}" sourceName="Salesperson">
  <pivotTables>
    <pivotTable tabId="4" name="PivotTable2"/>
  </pivotTables>
  <data>
    <tabular pivotCacheId="565810122">
      <items count="15">
        <i x="1" s="1"/>
        <i x="0" s="1"/>
        <i x="11" s="1"/>
        <i x="2" s="1"/>
        <i x="14" s="1"/>
        <i x="7" s="1"/>
        <i x="6" s="1"/>
        <i x="4" s="1"/>
        <i x="12"/>
        <i x="13"/>
        <i x="10"/>
        <i x="9"/>
        <i x="3"/>
        <i x="8"/>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2" xr10:uid="{E760BBAD-1D68-4132-814B-112FDB699D47}" sourceName="OrderDate2">
  <pivotTables>
    <pivotTable tabId="3" name="PivotTable1"/>
  </pivotTables>
  <data>
    <tabular pivotCacheId="565810122">
      <items count="11">
        <i x="0" s="1"/>
        <i x="4" s="1"/>
        <i x="8" s="1"/>
        <i x="1" s="1"/>
        <i x="5" s="1"/>
        <i x="9" s="1"/>
        <i x="2" s="1"/>
        <i x="6" s="1"/>
        <i x="10" s="1"/>
        <i x="3"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F93D65-F05E-43B9-AF6C-5A84628ADB93}" sourceName="Country">
  <pivotTables>
    <pivotTable tabId="17" name="PivotTable1"/>
    <pivotTable tabId="11" name="PivotTable21"/>
    <pivotTable tabId="7" name="PivotTable1"/>
    <pivotTable tabId="18" name="PivotTable1"/>
    <pivotTable tabId="19" name="PivotTable2"/>
    <pivotTable tabId="20" name="PivotTable3"/>
    <pivotTable tabId="21" name="PivotTable4"/>
    <pivotTable tabId="22" name="PivotTable5"/>
  </pivotTables>
  <data>
    <tabular pivotCacheId="1396478403">
      <items count="12">
        <i x="9" s="1"/>
        <i x="0" s="1"/>
        <i x="3" s="1"/>
        <i x="2" s="1"/>
        <i x="8" s="1"/>
        <i x="10" s="1"/>
        <i x="11" s="1"/>
        <i x="7" s="1"/>
        <i x="5" s="1"/>
        <i x="1" s="1"/>
        <i x="6"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3482F5-73A3-4788-9997-DBE63BAC5796}" sourceName="Region">
  <pivotTables>
    <pivotTable tabId="18" name="PivotTable1"/>
    <pivotTable tabId="11" name="PivotTable21"/>
    <pivotTable tabId="17" name="PivotTable1"/>
    <pivotTable tabId="7" name="PivotTable1"/>
    <pivotTable tabId="19" name="PivotTable2"/>
    <pivotTable tabId="20" name="PivotTable3"/>
    <pivotTable tabId="21" name="PivotTable4"/>
    <pivotTable tabId="22" name="PivotTable5"/>
  </pivotTables>
  <data>
    <tabular pivotCacheId="1396478403">
      <items count="4">
        <i x="1" s="1"/>
        <i x="0"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DA6925F0-6F8C-40A7-9CFE-0E0F83B631DA}" sourceName="Channel">
  <pivotTables>
    <pivotTable tabId="19" name="PivotTable2"/>
    <pivotTable tabId="11" name="PivotTable21"/>
    <pivotTable tabId="17" name="PivotTable1"/>
    <pivotTable tabId="7" name="PivotTable1"/>
    <pivotTable tabId="18" name="PivotTable1"/>
    <pivotTable tabId="20" name="PivotTable3"/>
    <pivotTable tabId="21" name="PivotTable4"/>
    <pivotTable tabId="22" name="PivotTable5"/>
  </pivotTables>
  <data>
    <tabular pivotCacheId="1396478403">
      <items count="5">
        <i x="2" s="1"/>
        <i x="0" s="1"/>
        <i x="4"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C0B6C9A6-4392-4402-BFFC-540EB2141FC4}" sourceName="ProductCategory">
  <pivotTables>
    <pivotTable tabId="20" name="PivotTable3"/>
    <pivotTable tabId="11" name="PivotTable21"/>
    <pivotTable tabId="17" name="PivotTable1"/>
    <pivotTable tabId="7" name="PivotTable1"/>
    <pivotTable tabId="18" name="PivotTable1"/>
    <pivotTable tabId="19" name="PivotTable2"/>
    <pivotTable tabId="21" name="PivotTable4"/>
    <pivotTable tabId="22" name="PivotTable5"/>
  </pivotTables>
  <data>
    <tabular pivotCacheId="1396478403">
      <items count="7">
        <i x="3" s="1"/>
        <i x="6" s="1"/>
        <i x="0" s="1"/>
        <i x="5" s="1"/>
        <i x="4"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B1645418-4550-433C-8BC5-76828A49682C}" sourceName="OrderDate">
  <pivotTables>
    <pivotTable tabId="21" name="PivotTable4"/>
    <pivotTable tabId="11" name="PivotTable21"/>
    <pivotTable tabId="17" name="PivotTable1"/>
    <pivotTable tabId="7" name="PivotTable1"/>
    <pivotTable tabId="18" name="PivotTable1"/>
    <pivotTable tabId="19" name="PivotTable2"/>
    <pivotTable tabId="20" name="PivotTable3"/>
    <pivotTable tabId="22" name="PivotTable5"/>
  </pivotTables>
  <data>
    <tabular pivotCacheId="1396478403">
      <items count="47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D41AFB72-E43B-4E71-9CB2-B216DFF37011}" sourceName="Salesperson">
  <pivotTables>
    <pivotTable tabId="22" name="PivotTable5"/>
    <pivotTable tabId="11" name="PivotTable21"/>
    <pivotTable tabId="17" name="PivotTable1"/>
    <pivotTable tabId="7" name="PivotTable1"/>
    <pivotTable tabId="18" name="PivotTable1"/>
    <pivotTable tabId="19" name="PivotTable2"/>
    <pivotTable tabId="20" name="PivotTable3"/>
    <pivotTable tabId="21" name="PivotTable4"/>
  </pivotTables>
  <data>
    <tabular pivotCacheId="1396478403">
      <items count="15">
        <i x="1" s="1"/>
        <i x="0" s="1"/>
        <i x="11" s="1"/>
        <i x="2" s="1"/>
        <i x="14" s="1"/>
        <i x="7" s="1"/>
        <i x="6" s="1"/>
        <i x="4" s="1"/>
        <i x="12" s="1"/>
        <i x="13" s="1"/>
        <i x="10" s="1"/>
        <i x="9" s="1"/>
        <i x="3" s="1"/>
        <i x="8" s="1"/>
        <i x="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0EE84337-9C43-48DC-BDFF-F1FB6B5E9FEA}" sourceName="SKU">
  <pivotTables>
    <pivotTable tabId="13" name="PivotTable7"/>
  </pivotTables>
  <data>
    <tabular pivotCacheId="609065933">
      <items count="10">
        <i x="1" s="1"/>
        <i x="7" s="1"/>
        <i x="0" s="1"/>
        <i x="8" s="1"/>
        <i x="3" s="1"/>
        <i x="5" s="1"/>
        <i x="6" s="1"/>
        <i x="4" s="1"/>
        <i x="2"/>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2" xr10:uid="{E5AAAE41-F0BD-437C-8438-88D16F5BFBC2}" cache="Slicer_OrderDate2" caption="OrderDate2"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33B2FCC-0E2F-4C16-8FAC-CE945BD91D5E}" cache="Slicer_Salesperson" caption="Salesper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66510C38-9ACA-4A90-93FA-80A2DE9BBB1C}" cache="Slicer_Channel" caption="Channe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313FE43-511D-4EFB-AB0A-A2BD1258CBBB}" cache="Slicer_Country" caption="Country" rowHeight="241300"/>
  <slicer name="Region 1" xr10:uid="{AF64B244-3588-451D-8015-C05E99C0C430}" cache="Slicer_Region" caption="Region" rowHeight="241300"/>
  <slicer name="Channel 2" xr10:uid="{C32BBC57-CF18-481D-B8D8-F8D64393388E}" cache="Slicer_Channel1" caption="Channel" rowHeight="241300"/>
  <slicer name="ProductCategory 1" xr10:uid="{2799F4E7-7878-45B3-B69B-A6031C2FFE50}" cache="Slicer_ProductCategory" caption="ProductCategory" rowHeight="241300"/>
  <slicer name="OrderDate 1" xr10:uid="{FB03A31F-20D3-42B9-A0DF-60D431F622BE}" cache="Slicer_OrderDate" caption="OrderDate" startItem="42" rowHeight="241300"/>
  <slicer name="Salesperson 2" xr10:uid="{94F2F7DC-2CD9-4C93-B392-7383098A76B3}" cache="Slicer_Salesperson1" caption="Salesperson" rowHeight="241300"/>
  <slicer name="SKU 1" xr10:uid="{B7B36A41-F984-404D-BFED-7B371A05CC2C}" cache="Slicer_SKU" caption="SKU"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63CCD8-B351-4264-8E43-76DE1537931C}" cache="Slicer_Region" caption="Reg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1DCF7683-B3A4-4F15-9A1D-AA194027BF64}" cache="Slicer_Channel1" caption="Channel"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F3885DED-D543-4B24-B7E3-51AF5ED04DD7}" cache="Slicer_ProductCategory" caption="ProductCategory"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1930DB25-1E56-44E2-BEB6-DBEA386785F3}" cache="Slicer_OrderDate" caption="OrderDate" startItem="6"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7EE622A2-9212-47CA-ACA7-51B96B47851F}" cache="Slicer_Salesperson1" caption="Salesperson" startItem="5"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U" xr10:uid="{B4713968-54AF-43E7-B6DF-3CC4B0D7AB30}" cache="Slicer_SKU" caption="SKU"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FED7C-1DAB-41BC-B2D3-A73B94C0DC2E}" name="Table1" displayName="Table1" ref="A1:AN631" totalsRowShown="0" headerRowDxfId="29">
  <sortState xmlns:xlrd2="http://schemas.microsoft.com/office/spreadsheetml/2017/richdata2" ref="A2:AM631">
    <sortCondition ref="B2:B631"/>
  </sortState>
  <tableColumns count="40">
    <tableColumn id="1" xr3:uid="{5477D2CE-0611-4D72-BD99-A51FF5078470}" name="OrderID"/>
    <tableColumn id="2" xr3:uid="{813B8376-752E-4EAE-A521-C812BCB5ABA1}" name="OrderDate" dataDxfId="28"/>
    <tableColumn id="3" xr3:uid="{6EC96D58-422F-47FA-A562-32D4B8B57F58}" name="RequiredDate" dataDxfId="27"/>
    <tableColumn id="4" xr3:uid="{AC50E253-46F1-4AFC-94B3-D390B96D5BE3}" name="Lead time (Days)" dataDxfId="26">
      <calculatedColumnFormula>DATEDIF(B2,C2,"d")</calculatedColumnFormula>
    </tableColumn>
    <tableColumn id="5" xr3:uid="{275505AB-63F4-4A3F-B038-E2A8FA149036}" name="Order by Quarter" dataDxfId="25">
      <calculatedColumnFormula>"Q"&amp;ROUNDUP(MONTH(B2)/3,0)&amp; "-" &amp;YEAR(B2)</calculatedColumnFormula>
    </tableColumn>
    <tableColumn id="6" xr3:uid="{92F38A7D-1CE5-4AAE-BC6A-7CE2D85CA4CD}" name="Region"/>
    <tableColumn id="7" xr3:uid="{B2F0F298-3567-47B7-93FE-ABC9EAC30CC0}" name="Country"/>
    <tableColumn id="8" xr3:uid="{33569006-7970-4B00-BC8D-319DA573D16C}" name="City"/>
    <tableColumn id="9" xr3:uid="{184B9054-F37E-4225-BA24-4396AB4B2333}" name="CustomerSegment"/>
    <tableColumn id="10" xr3:uid="{9B6D40C1-5C56-42B0-A567-3D14D67D8B6C}" name="Channel"/>
    <tableColumn id="11" xr3:uid="{4A51B3F4-7F6E-430B-974C-64655473AEDC}" name="Salesperson"/>
    <tableColumn id="12" xr3:uid="{0A207ADD-EBB2-446B-B652-452699C9D5BB}" name="ProductCategory"/>
    <tableColumn id="13" xr3:uid="{D70C9F88-433B-4D9B-A00F-03DE831E64A1}" name="SKU"/>
    <tableColumn id="14" xr3:uid="{5F03F542-66E5-47A1-B527-F690A6F6C06B}" name="UnitCost" dataDxfId="24"/>
    <tableColumn id="15" xr3:uid="{18834E99-EC7B-4705-A0EB-8B91A9F78A54}" name="UnitPrice" dataDxfId="23"/>
    <tableColumn id="16" xr3:uid="{B5859638-F9E9-42C5-9337-B9AE88AE05D2}" name="DiscountPct" dataDxfId="22" dataCellStyle="Percent"/>
    <tableColumn id="32" xr3:uid="{C1B79A33-CC61-4493-B89D-F3223B45E4AC}" name="Disc Scenario" dataDxfId="21" dataCellStyle="Percent">
      <calculatedColumnFormula>IF(Table1[[#This Row],[DiscountPct]]&gt;25%,25%,Table1[[#This Row],[DiscountPct]])</calculatedColumnFormula>
    </tableColumn>
    <tableColumn id="17" xr3:uid="{717F1761-9F12-42AC-9FD7-6FD2BEC2D191}" name="Quantity" dataDxfId="20"/>
    <tableColumn id="18" xr3:uid="{2BDFF035-21A5-47C4-85F7-DA4E3D455B3A}" name="Margin per unit" dataDxfId="19" dataCellStyle="Percent">
      <calculatedColumnFormula>(O2-N2)/N2</calculatedColumnFormula>
    </tableColumn>
    <tableColumn id="19" xr3:uid="{B0BA1623-30C1-472B-9A89-48943AA9683D}" name="Gross Revenue" dataDxfId="18" dataCellStyle="Comma">
      <calculatedColumnFormula>O2*R2*(1-P2)</calculatedColumnFormula>
    </tableColumn>
    <tableColumn id="20" xr3:uid="{CD1BB067-F827-4613-A244-B219BB6927B4}" name="Cost of goods" dataDxfId="17" dataCellStyle="Comma">
      <calculatedColumnFormula>N2*R2</calculatedColumnFormula>
    </tableColumn>
    <tableColumn id="21" xr3:uid="{E2BB84F6-BDE7-46EF-8409-47B631140DE5}" name="Gross Profit" dataDxfId="16">
      <calculatedColumnFormula>T2-U2</calculatedColumnFormula>
    </tableColumn>
    <tableColumn id="22" xr3:uid="{AFADBCAA-48D5-4462-9714-CCAC59A9A4F7}" name="Gross profit margin" dataDxfId="15" dataCellStyle="Percent">
      <calculatedColumnFormula>V2/T2</calculatedColumnFormula>
    </tableColumn>
    <tableColumn id="23" xr3:uid="{A4CCA156-181B-4F2A-B111-84D8A841EBA3}" name="Price Band">
      <calculatedColumnFormula array="1">_xlfn.IFS(S2&lt;=25%, "Low", S2&lt;=75%, "Medium", S2&gt;75%, "High")</calculatedColumnFormula>
    </tableColumn>
    <tableColumn id="24" xr3:uid="{99855C77-99AF-4EC0-B2D5-DD474AC46817}" name="Revenue per order" dataDxfId="14" dataCellStyle="Comma">
      <calculatedColumnFormula>Table1[[#This Row],[Quantity]]*(Table1[[#This Row],[UnitPrice]]*(1-Table1[[#This Row],[DiscountPct]]))</calculatedColumnFormula>
    </tableColumn>
    <tableColumn id="25" xr3:uid="{6A38867D-277A-4777-8F92-F879BE970AE3}" name="Gross profit per order" dataDxfId="13">
      <calculatedColumnFormula>Y2-(N2*R2)</calculatedColumnFormula>
    </tableColumn>
    <tableColumn id="26" xr3:uid="{ECCA06F9-F8B2-44BC-B325-050A6F55334F}" name="Purchase rate" dataDxfId="12">
      <calculatedColumnFormula>COUNTIF($G$2:G3,G2)</calculatedColumnFormula>
    </tableColumn>
    <tableColumn id="27" xr3:uid="{1AA76CE0-7F14-46C5-8831-BE7DD6C52D35}" name="Date of first order" dataDxfId="11">
      <calculatedColumnFormula>IF(AA2=1,B2,AB1)</calculatedColumnFormula>
    </tableColumn>
    <tableColumn id="28" xr3:uid="{1EACF474-5F8C-4441-8721-620E24B3160E}" name="COHORT" dataDxfId="10">
      <calculatedColumnFormula>EOMONTH(AB2,0)</calculatedColumnFormula>
    </tableColumn>
    <tableColumn id="34" xr3:uid="{59843133-1BB3-47B6-903D-0BE54567F637}" name="Age by month" dataDxfId="9">
      <calculatedColumnFormula>(Table1[[#This Row],[OrderDate]]-Table1[[#This Row],[Date of first order]])/30</calculatedColumnFormula>
    </tableColumn>
    <tableColumn id="29" xr3:uid="{DC85DF9D-064C-4ED8-858F-FC1C3AF5BDB8}" name="Service Level" dataDxfId="8">
      <calculatedColumnFormula>IF(D2&lt;=7,"Good","Poor")</calculatedColumnFormula>
    </tableColumn>
    <tableColumn id="30" xr3:uid="{91682393-7FAC-4CAF-8C70-6825769E4E0F}" name="No. of occurences for each country" dataDxfId="7">
      <calculatedColumnFormula>COUNTIF(AE$2:AE3,AE2)</calculatedColumnFormula>
    </tableColumn>
    <tableColumn id="31" xr3:uid="{0FEC05EC-D9C4-47B7-AA7B-D36D57E85CDD}" name="Discount" dataDxfId="6">
      <calculatedColumnFormula>IF(P2&gt;20%,"True","False")</calculatedColumnFormula>
    </tableColumn>
    <tableColumn id="33" xr3:uid="{D64615BC-256E-48BC-B307-CB944321273A}" name="Revenue Scenario 1" dataCellStyle="Comma">
      <calculatedColumnFormula>Table1[[#This Row],[UnitPrice]]*(1-Table1[[#This Row],[Disc Scenario]])*Table1[[#This Row],[Quantity]]</calculatedColumnFormula>
    </tableColumn>
    <tableColumn id="35" xr3:uid="{ACEBC5CA-8D35-46E9-8AE0-995DDA7BC9CE}" name="Quantity increase by 20%" dataDxfId="5">
      <calculatedColumnFormula>ROUNDDOWN((Table1[[#This Row],[Quantity]]*(1+20%)),0)</calculatedColumnFormula>
    </tableColumn>
    <tableColumn id="36" xr3:uid="{1DF49803-8E6B-4F29-A24F-5A7031B4AF0A}" name="Revenue On increase in quantity by 20%" dataCellStyle="Comma">
      <calculatedColumnFormula>Table1[[#This Row],[Quantity increase by 20%]]*Table1[[#This Row],[UnitPrice]]</calculatedColumnFormula>
    </tableColumn>
    <tableColumn id="37" xr3:uid="{5B90CD24-CBE9-4F83-9804-C9BC819EA98C}" name="Quantity Up 20%" dataDxfId="4">
      <calculatedColumnFormula>ROUNDDOWN(Table1[[#This Row],[Quantity]]*(1+20%),0)</calculatedColumnFormula>
    </tableColumn>
    <tableColumn id="38" xr3:uid="{8B131B75-D928-4BB4-AAEC-CD77DE87EFF1}" name="Cost of unit by inflation 15%" dataDxfId="3" dataCellStyle="Comma">
      <calculatedColumnFormula>Table1[[#This Row],[UnitCost]]*(1+15%)</calculatedColumnFormula>
    </tableColumn>
    <tableColumn id="39" xr3:uid="{2B6476E8-8EC7-4447-BB11-4191CEC3317D}" name="Cost of sales Increase by 15%" dataDxfId="2">
      <calculatedColumnFormula>Table1[[#This Row],[Quantity]]*Table1[[#This Row],[Cost of unit by inflation 15%]]</calculatedColumnFormula>
    </tableColumn>
    <tableColumn id="40" xr3:uid="{23A726BB-FE68-4F41-9EF5-74AD6F8CA29B}" name="Column1" dataDxfId="1">
      <calculatedColumnFormula array="1">_xlfn.UNIQUE(AC2)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C63F-EF35-467E-AA75-457EED60077F}">
  <dimension ref="B3:C40"/>
  <sheetViews>
    <sheetView topLeftCell="A7" workbookViewId="0">
      <selection activeCell="K19" sqref="K19"/>
    </sheetView>
  </sheetViews>
  <sheetFormatPr defaultRowHeight="14.5" x14ac:dyDescent="0.35"/>
  <cols>
    <col min="2" max="2" width="12.6328125" bestFit="1" customWidth="1"/>
    <col min="3" max="3" width="15.36328125" bestFit="1" customWidth="1"/>
  </cols>
  <sheetData>
    <row r="3" spans="2:3" x14ac:dyDescent="0.35">
      <c r="B3" s="18" t="s">
        <v>1435</v>
      </c>
      <c r="C3" t="s">
        <v>1439</v>
      </c>
    </row>
    <row r="4" spans="2:3" x14ac:dyDescent="0.35">
      <c r="B4" s="19" t="s">
        <v>1484</v>
      </c>
      <c r="C4" s="59">
        <v>224</v>
      </c>
    </row>
    <row r="5" spans="2:3" x14ac:dyDescent="0.35">
      <c r="B5" s="20" t="s">
        <v>1477</v>
      </c>
      <c r="C5" s="59">
        <v>13</v>
      </c>
    </row>
    <row r="6" spans="2:3" x14ac:dyDescent="0.35">
      <c r="B6" s="20" t="s">
        <v>1478</v>
      </c>
      <c r="C6" s="59">
        <v>17</v>
      </c>
    </row>
    <row r="7" spans="2:3" x14ac:dyDescent="0.35">
      <c r="B7" s="20" t="s">
        <v>1479</v>
      </c>
      <c r="C7" s="59">
        <v>15</v>
      </c>
    </row>
    <row r="8" spans="2:3" x14ac:dyDescent="0.35">
      <c r="B8" s="20" t="s">
        <v>1473</v>
      </c>
      <c r="C8" s="59">
        <v>24</v>
      </c>
    </row>
    <row r="9" spans="2:3" x14ac:dyDescent="0.35">
      <c r="B9" s="20" t="s">
        <v>1474</v>
      </c>
      <c r="C9" s="59">
        <v>26</v>
      </c>
    </row>
    <row r="10" spans="2:3" x14ac:dyDescent="0.35">
      <c r="B10" s="20" t="s">
        <v>1475</v>
      </c>
      <c r="C10" s="59">
        <v>21</v>
      </c>
    </row>
    <row r="11" spans="2:3" x14ac:dyDescent="0.35">
      <c r="B11" s="20" t="s">
        <v>1437</v>
      </c>
      <c r="C11" s="59">
        <v>23</v>
      </c>
    </row>
    <row r="12" spans="2:3" x14ac:dyDescent="0.35">
      <c r="B12" s="20" t="s">
        <v>1438</v>
      </c>
      <c r="C12" s="59">
        <v>24</v>
      </c>
    </row>
    <row r="13" spans="2:3" x14ac:dyDescent="0.35">
      <c r="B13" s="20" t="s">
        <v>1486</v>
      </c>
      <c r="C13" s="59">
        <v>12</v>
      </c>
    </row>
    <row r="14" spans="2:3" x14ac:dyDescent="0.35">
      <c r="B14" s="20" t="s">
        <v>1481</v>
      </c>
      <c r="C14" s="59">
        <v>18</v>
      </c>
    </row>
    <row r="15" spans="2:3" x14ac:dyDescent="0.35">
      <c r="B15" s="20" t="s">
        <v>1482</v>
      </c>
      <c r="C15" s="59">
        <v>10</v>
      </c>
    </row>
    <row r="16" spans="2:3" x14ac:dyDescent="0.35">
      <c r="B16" s="20" t="s">
        <v>1483</v>
      </c>
      <c r="C16" s="59">
        <v>21</v>
      </c>
    </row>
    <row r="17" spans="2:3" x14ac:dyDescent="0.35">
      <c r="B17" s="19" t="s">
        <v>1485</v>
      </c>
      <c r="C17" s="59">
        <v>238</v>
      </c>
    </row>
    <row r="18" spans="2:3" x14ac:dyDescent="0.35">
      <c r="B18" s="20" t="s">
        <v>1477</v>
      </c>
      <c r="C18" s="59">
        <v>23</v>
      </c>
    </row>
    <row r="19" spans="2:3" x14ac:dyDescent="0.35">
      <c r="B19" s="20" t="s">
        <v>1478</v>
      </c>
      <c r="C19" s="59">
        <v>19</v>
      </c>
    </row>
    <row r="20" spans="2:3" x14ac:dyDescent="0.35">
      <c r="B20" s="20" t="s">
        <v>1479</v>
      </c>
      <c r="C20" s="59">
        <v>22</v>
      </c>
    </row>
    <row r="21" spans="2:3" x14ac:dyDescent="0.35">
      <c r="B21" s="20" t="s">
        <v>1473</v>
      </c>
      <c r="C21" s="59">
        <v>14</v>
      </c>
    </row>
    <row r="22" spans="2:3" x14ac:dyDescent="0.35">
      <c r="B22" s="20" t="s">
        <v>1474</v>
      </c>
      <c r="C22" s="59">
        <v>23</v>
      </c>
    </row>
    <row r="23" spans="2:3" x14ac:dyDescent="0.35">
      <c r="B23" s="20" t="s">
        <v>1475</v>
      </c>
      <c r="C23" s="59">
        <v>23</v>
      </c>
    </row>
    <row r="24" spans="2:3" x14ac:dyDescent="0.35">
      <c r="B24" s="20" t="s">
        <v>1437</v>
      </c>
      <c r="C24" s="59">
        <v>14</v>
      </c>
    </row>
    <row r="25" spans="2:3" x14ac:dyDescent="0.35">
      <c r="B25" s="20" t="s">
        <v>1438</v>
      </c>
      <c r="C25" s="59">
        <v>20</v>
      </c>
    </row>
    <row r="26" spans="2:3" x14ac:dyDescent="0.35">
      <c r="B26" s="20" t="s">
        <v>1486</v>
      </c>
      <c r="C26" s="59">
        <v>18</v>
      </c>
    </row>
    <row r="27" spans="2:3" x14ac:dyDescent="0.35">
      <c r="B27" s="20" t="s">
        <v>1481</v>
      </c>
      <c r="C27" s="59">
        <v>21</v>
      </c>
    </row>
    <row r="28" spans="2:3" x14ac:dyDescent="0.35">
      <c r="B28" s="20" t="s">
        <v>1482</v>
      </c>
      <c r="C28" s="59">
        <v>20</v>
      </c>
    </row>
    <row r="29" spans="2:3" x14ac:dyDescent="0.35">
      <c r="B29" s="20" t="s">
        <v>1483</v>
      </c>
      <c r="C29" s="59">
        <v>21</v>
      </c>
    </row>
    <row r="30" spans="2:3" x14ac:dyDescent="0.35">
      <c r="B30" s="19" t="s">
        <v>1472</v>
      </c>
      <c r="C30" s="59">
        <v>168</v>
      </c>
    </row>
    <row r="31" spans="2:3" x14ac:dyDescent="0.35">
      <c r="B31" s="20" t="s">
        <v>1477</v>
      </c>
      <c r="C31" s="59">
        <v>16</v>
      </c>
    </row>
    <row r="32" spans="2:3" x14ac:dyDescent="0.35">
      <c r="B32" s="20" t="s">
        <v>1478</v>
      </c>
      <c r="C32" s="59">
        <v>16</v>
      </c>
    </row>
    <row r="33" spans="2:3" x14ac:dyDescent="0.35">
      <c r="B33" s="20" t="s">
        <v>1479</v>
      </c>
      <c r="C33" s="59">
        <v>20</v>
      </c>
    </row>
    <row r="34" spans="2:3" x14ac:dyDescent="0.35">
      <c r="B34" s="20" t="s">
        <v>1473</v>
      </c>
      <c r="C34" s="59">
        <v>25</v>
      </c>
    </row>
    <row r="35" spans="2:3" x14ac:dyDescent="0.35">
      <c r="B35" s="20" t="s">
        <v>1474</v>
      </c>
      <c r="C35" s="59">
        <v>18</v>
      </c>
    </row>
    <row r="36" spans="2:3" x14ac:dyDescent="0.35">
      <c r="B36" s="20" t="s">
        <v>1475</v>
      </c>
      <c r="C36" s="59">
        <v>24</v>
      </c>
    </row>
    <row r="37" spans="2:3" x14ac:dyDescent="0.35">
      <c r="B37" s="20" t="s">
        <v>1437</v>
      </c>
      <c r="C37" s="59">
        <v>16</v>
      </c>
    </row>
    <row r="38" spans="2:3" x14ac:dyDescent="0.35">
      <c r="B38" s="20" t="s">
        <v>1438</v>
      </c>
      <c r="C38" s="59">
        <v>21</v>
      </c>
    </row>
    <row r="39" spans="2:3" x14ac:dyDescent="0.35">
      <c r="B39" s="20" t="s">
        <v>1486</v>
      </c>
      <c r="C39" s="59">
        <v>12</v>
      </c>
    </row>
    <row r="40" spans="2:3" x14ac:dyDescent="0.35">
      <c r="B40" s="19" t="s">
        <v>1436</v>
      </c>
      <c r="C40" s="59">
        <v>630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6B30D-B17F-4109-A0B8-3E53E90E0FB2}">
  <dimension ref="B3:C12"/>
  <sheetViews>
    <sheetView workbookViewId="0">
      <selection activeCell="A24" sqref="A24"/>
    </sheetView>
  </sheetViews>
  <sheetFormatPr defaultRowHeight="14.5" x14ac:dyDescent="0.35"/>
  <cols>
    <col min="2" max="2" width="12.6328125" bestFit="1" customWidth="1"/>
    <col min="3" max="3" width="26" bestFit="1" customWidth="1"/>
  </cols>
  <sheetData>
    <row r="3" spans="2:3" x14ac:dyDescent="0.35">
      <c r="B3" s="18" t="s">
        <v>1435</v>
      </c>
      <c r="C3" t="s">
        <v>1440</v>
      </c>
    </row>
    <row r="4" spans="2:3" x14ac:dyDescent="0.35">
      <c r="B4" s="19" t="s">
        <v>716</v>
      </c>
      <c r="C4" s="9">
        <v>368283.45703419996</v>
      </c>
    </row>
    <row r="5" spans="2:3" x14ac:dyDescent="0.35">
      <c r="B5" s="19" t="s">
        <v>719</v>
      </c>
      <c r="C5" s="9">
        <v>334511.85026019998</v>
      </c>
    </row>
    <row r="6" spans="2:3" x14ac:dyDescent="0.35">
      <c r="B6" s="19" t="s">
        <v>721</v>
      </c>
      <c r="C6" s="9">
        <v>331672.57562590006</v>
      </c>
    </row>
    <row r="7" spans="2:3" x14ac:dyDescent="0.35">
      <c r="B7" s="19" t="s">
        <v>720</v>
      </c>
      <c r="C7" s="9">
        <v>330964.23503329995</v>
      </c>
    </row>
    <row r="8" spans="2:3" x14ac:dyDescent="0.35">
      <c r="B8" s="19" t="s">
        <v>711</v>
      </c>
      <c r="C8" s="9">
        <v>278032.71460930002</v>
      </c>
    </row>
    <row r="9" spans="2:3" x14ac:dyDescent="0.35">
      <c r="B9" s="19" t="s">
        <v>717</v>
      </c>
      <c r="C9" s="9">
        <v>220975.30156680002</v>
      </c>
    </row>
    <row r="10" spans="2:3" x14ac:dyDescent="0.35">
      <c r="B10" s="19" t="s">
        <v>725</v>
      </c>
      <c r="C10" s="9">
        <v>212123.41235520004</v>
      </c>
    </row>
    <row r="11" spans="2:3" x14ac:dyDescent="0.35">
      <c r="B11" s="19" t="s">
        <v>714</v>
      </c>
      <c r="C11" s="9">
        <v>177140.18875560004</v>
      </c>
    </row>
    <row r="12" spans="2:3" x14ac:dyDescent="0.35">
      <c r="B12" s="19" t="s">
        <v>1436</v>
      </c>
      <c r="C12" s="9">
        <v>2253703.7352405004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A4B2-5CE1-46FC-8028-63EE20010022}">
  <dimension ref="A3:E9"/>
  <sheetViews>
    <sheetView workbookViewId="0">
      <selection activeCell="E23" sqref="E23"/>
    </sheetView>
  </sheetViews>
  <sheetFormatPr defaultRowHeight="14.5" x14ac:dyDescent="0.35"/>
  <cols>
    <col min="1" max="1" width="20.1796875" bestFit="1" customWidth="1"/>
    <col min="2" max="2" width="15.6328125" bestFit="1" customWidth="1"/>
    <col min="3" max="6" width="12.7265625" bestFit="1" customWidth="1"/>
    <col min="7" max="7" width="13.81640625" bestFit="1" customWidth="1"/>
  </cols>
  <sheetData>
    <row r="3" spans="1:5" x14ac:dyDescent="0.35">
      <c r="A3" s="18" t="s">
        <v>1441</v>
      </c>
      <c r="B3" s="18" t="s">
        <v>1442</v>
      </c>
    </row>
    <row r="4" spans="1:5" x14ac:dyDescent="0.35">
      <c r="A4" s="18" t="s">
        <v>1435</v>
      </c>
      <c r="B4" t="s">
        <v>708</v>
      </c>
      <c r="C4" t="s">
        <v>707</v>
      </c>
      <c r="D4" t="s">
        <v>706</v>
      </c>
      <c r="E4" t="s">
        <v>1436</v>
      </c>
    </row>
    <row r="5" spans="1:5" x14ac:dyDescent="0.35">
      <c r="A5" s="19" t="s">
        <v>645</v>
      </c>
      <c r="B5" s="9">
        <v>571713.44028440001</v>
      </c>
      <c r="C5" s="9">
        <v>455714.9541518999</v>
      </c>
      <c r="D5" s="9">
        <v>561224.11134119995</v>
      </c>
      <c r="E5" s="9">
        <v>1588652.5057774999</v>
      </c>
    </row>
    <row r="6" spans="1:5" x14ac:dyDescent="0.35">
      <c r="A6" s="19" t="s">
        <v>647</v>
      </c>
      <c r="B6" s="9">
        <v>397823.03944380011</v>
      </c>
      <c r="C6" s="9">
        <v>674978.55556840007</v>
      </c>
      <c r="D6" s="9">
        <v>334886.62183960003</v>
      </c>
      <c r="E6" s="9">
        <v>1407688.2168518002</v>
      </c>
    </row>
    <row r="7" spans="1:5" x14ac:dyDescent="0.35">
      <c r="A7" s="19" t="s">
        <v>646</v>
      </c>
      <c r="B7" s="9">
        <v>630646.38765500009</v>
      </c>
      <c r="C7" s="9">
        <v>413661.50968999986</v>
      </c>
      <c r="D7" s="9">
        <v>767795.54875720025</v>
      </c>
      <c r="E7" s="9">
        <v>1812103.4461022001</v>
      </c>
    </row>
    <row r="8" spans="1:5" x14ac:dyDescent="0.35">
      <c r="A8" s="19" t="s">
        <v>648</v>
      </c>
      <c r="B8" s="9">
        <v>727553.64741199999</v>
      </c>
      <c r="C8" s="9">
        <v>612892.68391200004</v>
      </c>
      <c r="D8" s="9">
        <v>534555.08513900009</v>
      </c>
      <c r="E8" s="9">
        <v>1875001.416463</v>
      </c>
    </row>
    <row r="9" spans="1:5" x14ac:dyDescent="0.35">
      <c r="A9" s="19" t="s">
        <v>1436</v>
      </c>
      <c r="B9" s="9">
        <v>2327736.5147952</v>
      </c>
      <c r="C9" s="9">
        <v>2157247.7033222998</v>
      </c>
      <c r="D9" s="9">
        <v>2198461.3670770004</v>
      </c>
      <c r="E9" s="9">
        <v>6683445.5851945002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9288-A1C4-4496-8DBE-CE500FC64E44}">
  <dimension ref="A3:R108"/>
  <sheetViews>
    <sheetView topLeftCell="G1" workbookViewId="0">
      <selection activeCell="N33" sqref="N33"/>
    </sheetView>
  </sheetViews>
  <sheetFormatPr defaultRowHeight="14.5" x14ac:dyDescent="0.35"/>
  <cols>
    <col min="1" max="1" width="16.453125" bestFit="1" customWidth="1"/>
    <col min="2" max="2" width="15.6328125" bestFit="1" customWidth="1"/>
    <col min="3" max="3" width="4.90625" bestFit="1" customWidth="1"/>
    <col min="4" max="4" width="10.7265625" bestFit="1" customWidth="1"/>
    <col min="8" max="8" width="14.7265625" bestFit="1" customWidth="1"/>
    <col min="9" max="9" width="15.54296875" bestFit="1" customWidth="1"/>
    <col min="13" max="13" width="13.90625" customWidth="1"/>
    <col min="17" max="17" width="16.453125" bestFit="1" customWidth="1"/>
    <col min="18" max="18" width="31.1796875" bestFit="1" customWidth="1"/>
    <col min="19" max="19" width="11.7265625" bestFit="1" customWidth="1"/>
    <col min="20" max="20" width="7.453125" bestFit="1" customWidth="1"/>
    <col min="21" max="21" width="8.7265625" bestFit="1" customWidth="1"/>
    <col min="22" max="22" width="10.90625" bestFit="1" customWidth="1"/>
    <col min="23" max="23" width="7.1796875" bestFit="1" customWidth="1"/>
    <col min="24" max="24" width="7.6328125" bestFit="1" customWidth="1"/>
    <col min="25" max="26" width="10.7265625" bestFit="1" customWidth="1"/>
    <col min="27" max="27" width="11.7265625" bestFit="1" customWidth="1"/>
    <col min="28" max="28" width="7.453125" bestFit="1" customWidth="1"/>
    <col min="29" max="29" width="8.7265625" bestFit="1" customWidth="1"/>
    <col min="30" max="30" width="10.90625" bestFit="1" customWidth="1"/>
    <col min="31" max="31" width="7.1796875" bestFit="1" customWidth="1"/>
    <col min="32" max="32" width="7.6328125" bestFit="1" customWidth="1"/>
    <col min="33" max="33" width="11.81640625" bestFit="1" customWidth="1"/>
    <col min="34" max="34" width="10.7265625" bestFit="1" customWidth="1"/>
    <col min="35" max="35" width="11.7265625" bestFit="1" customWidth="1"/>
    <col min="36" max="36" width="7.453125" bestFit="1" customWidth="1"/>
    <col min="38" max="38" width="10.90625" bestFit="1" customWidth="1"/>
    <col min="39" max="39" width="7.1796875" bestFit="1" customWidth="1"/>
    <col min="40" max="40" width="7.6328125" bestFit="1" customWidth="1"/>
    <col min="41" max="41" width="10.36328125" bestFit="1" customWidth="1"/>
    <col min="42" max="42" width="10.7265625" bestFit="1" customWidth="1"/>
    <col min="43" max="43" width="11.7265625" bestFit="1" customWidth="1"/>
    <col min="44" max="44" width="7.453125" bestFit="1" customWidth="1"/>
    <col min="46" max="46" width="10.90625" bestFit="1" customWidth="1"/>
    <col min="47" max="47" width="7.1796875" bestFit="1" customWidth="1"/>
    <col min="48" max="48" width="7.6328125" bestFit="1" customWidth="1"/>
    <col min="49" max="49" width="11.1796875" bestFit="1" customWidth="1"/>
    <col min="50" max="50" width="10.7265625" bestFit="1" customWidth="1"/>
    <col min="51" max="51" width="11.7265625" bestFit="1" customWidth="1"/>
    <col min="52" max="52" width="7.453125" bestFit="1" customWidth="1"/>
    <col min="54" max="54" width="10.90625" bestFit="1" customWidth="1"/>
    <col min="55" max="55" width="7.1796875" bestFit="1" customWidth="1"/>
    <col min="56" max="56" width="7.6328125" bestFit="1" customWidth="1"/>
    <col min="57" max="57" width="13.453125" bestFit="1" customWidth="1"/>
    <col min="58" max="58" width="10.7265625" bestFit="1" customWidth="1"/>
    <col min="59" max="59" width="11.7265625" bestFit="1" customWidth="1"/>
    <col min="60" max="60" width="7.453125" bestFit="1" customWidth="1"/>
    <col min="62" max="62" width="10.90625" bestFit="1" customWidth="1"/>
    <col min="63" max="63" width="7.1796875" bestFit="1" customWidth="1"/>
    <col min="64" max="64" width="7.6328125" bestFit="1" customWidth="1"/>
    <col min="65" max="65" width="9.81640625" bestFit="1" customWidth="1"/>
    <col min="66" max="66" width="10.7265625" bestFit="1" customWidth="1"/>
    <col min="67" max="67" width="11.7265625" bestFit="1" customWidth="1"/>
    <col min="68" max="68" width="7.453125" bestFit="1" customWidth="1"/>
    <col min="70" max="70" width="10.90625" bestFit="1" customWidth="1"/>
    <col min="71" max="71" width="7.1796875" bestFit="1" customWidth="1"/>
    <col min="72" max="72" width="7.6328125" bestFit="1" customWidth="1"/>
    <col min="73" max="73" width="10.36328125" bestFit="1" customWidth="1"/>
    <col min="74" max="74" width="10.7265625" bestFit="1" customWidth="1"/>
    <col min="75" max="75" width="11.7265625" bestFit="1" customWidth="1"/>
    <col min="76" max="76" width="7.453125" bestFit="1" customWidth="1"/>
    <col min="78" max="78" width="10.90625" bestFit="1" customWidth="1"/>
    <col min="79" max="79" width="7.1796875" bestFit="1" customWidth="1"/>
    <col min="80" max="80" width="7.6328125" bestFit="1" customWidth="1"/>
    <col min="81" max="82" width="10.7265625" bestFit="1" customWidth="1"/>
    <col min="83" max="83" width="11.7265625" bestFit="1" customWidth="1"/>
    <col min="84" max="84" width="7.453125" bestFit="1" customWidth="1"/>
    <col min="86" max="86" width="10.90625" bestFit="1" customWidth="1"/>
    <col min="87" max="87" width="7.1796875" bestFit="1" customWidth="1"/>
    <col min="88" max="88" width="7.6328125" bestFit="1" customWidth="1"/>
    <col min="89" max="89" width="11.7265625" bestFit="1" customWidth="1"/>
    <col min="90" max="90" width="12.81640625" bestFit="1" customWidth="1"/>
    <col min="91" max="91" width="11.7265625" bestFit="1" customWidth="1"/>
    <col min="92" max="92" width="7.453125" bestFit="1" customWidth="1"/>
    <col min="94" max="94" width="10.90625" bestFit="1" customWidth="1"/>
    <col min="95" max="95" width="7.1796875" bestFit="1" customWidth="1"/>
    <col min="96" max="96" width="7.6328125" bestFit="1" customWidth="1"/>
    <col min="97" max="97" width="15.90625" bestFit="1" customWidth="1"/>
    <col min="98" max="98" width="16.453125" bestFit="1" customWidth="1"/>
    <col min="99" max="99" width="11.7265625" bestFit="1" customWidth="1"/>
    <col min="100" max="100" width="7.453125" bestFit="1" customWidth="1"/>
    <col min="102" max="102" width="10.90625" bestFit="1" customWidth="1"/>
    <col min="103" max="103" width="7.1796875" bestFit="1" customWidth="1"/>
    <col min="104" max="104" width="7.6328125" bestFit="1" customWidth="1"/>
    <col min="105" max="105" width="19.6328125" bestFit="1" customWidth="1"/>
    <col min="106" max="106" width="10.7265625" bestFit="1" customWidth="1"/>
    <col min="107" max="107" width="11.7265625" bestFit="1" customWidth="1"/>
    <col min="108" max="108" width="7.453125" bestFit="1" customWidth="1"/>
    <col min="110" max="110" width="10.90625" bestFit="1" customWidth="1"/>
    <col min="111" max="111" width="7.1796875" bestFit="1" customWidth="1"/>
    <col min="112" max="112" width="7.6328125" bestFit="1" customWidth="1"/>
    <col min="113" max="113" width="9.08984375" bestFit="1" customWidth="1"/>
    <col min="114" max="114" width="10.7265625" bestFit="1" customWidth="1"/>
  </cols>
  <sheetData>
    <row r="3" spans="1:18" x14ac:dyDescent="0.35">
      <c r="A3" s="18" t="s">
        <v>1439</v>
      </c>
      <c r="B3" s="18" t="s">
        <v>1442</v>
      </c>
    </row>
    <row r="4" spans="1:18" ht="29" x14ac:dyDescent="0.35">
      <c r="A4" s="18" t="s">
        <v>1435</v>
      </c>
      <c r="B4" t="s">
        <v>1448</v>
      </c>
      <c r="C4" t="s">
        <v>1449</v>
      </c>
      <c r="D4" t="s">
        <v>1436</v>
      </c>
      <c r="H4" s="23" t="s">
        <v>4</v>
      </c>
      <c r="I4" s="23" t="s">
        <v>1450</v>
      </c>
      <c r="J4" s="23" t="s">
        <v>1448</v>
      </c>
      <c r="K4" s="23" t="s">
        <v>1449</v>
      </c>
      <c r="L4" s="23" t="s">
        <v>1451</v>
      </c>
      <c r="M4" s="24" t="s">
        <v>1452</v>
      </c>
    </row>
    <row r="5" spans="1:18" x14ac:dyDescent="0.35">
      <c r="A5" s="19" t="s">
        <v>654</v>
      </c>
      <c r="B5" s="59">
        <v>18</v>
      </c>
      <c r="C5" s="59">
        <v>44</v>
      </c>
      <c r="D5" s="59">
        <v>62</v>
      </c>
      <c r="H5" t="s">
        <v>654</v>
      </c>
      <c r="I5" t="s">
        <v>732</v>
      </c>
      <c r="J5">
        <v>4</v>
      </c>
      <c r="K5">
        <v>6</v>
      </c>
      <c r="L5">
        <v>10</v>
      </c>
      <c r="M5" s="4">
        <f>(J5/L5)*100%</f>
        <v>0.4</v>
      </c>
    </row>
    <row r="6" spans="1:18" x14ac:dyDescent="0.35">
      <c r="A6" s="20" t="s">
        <v>732</v>
      </c>
      <c r="B6" s="59">
        <v>4</v>
      </c>
      <c r="C6" s="59">
        <v>6</v>
      </c>
      <c r="D6" s="59">
        <v>10</v>
      </c>
      <c r="H6" t="s">
        <v>654</v>
      </c>
      <c r="I6" t="s">
        <v>726</v>
      </c>
      <c r="J6">
        <v>1</v>
      </c>
      <c r="K6">
        <v>6</v>
      </c>
      <c r="L6">
        <v>7</v>
      </c>
      <c r="M6" s="4">
        <f t="shared" ref="M6:M61" si="0">(J6/L6)*100%</f>
        <v>0.14285714285714285</v>
      </c>
    </row>
    <row r="7" spans="1:18" x14ac:dyDescent="0.35">
      <c r="A7" s="20" t="s">
        <v>726</v>
      </c>
      <c r="B7" s="59">
        <v>1</v>
      </c>
      <c r="C7" s="59">
        <v>6</v>
      </c>
      <c r="D7" s="59">
        <v>7</v>
      </c>
      <c r="H7" t="s">
        <v>654</v>
      </c>
      <c r="I7" t="s">
        <v>730</v>
      </c>
      <c r="J7">
        <v>1</v>
      </c>
      <c r="K7">
        <v>4</v>
      </c>
      <c r="L7">
        <v>5</v>
      </c>
      <c r="M7" s="4">
        <f t="shared" si="0"/>
        <v>0.2</v>
      </c>
    </row>
    <row r="8" spans="1:18" x14ac:dyDescent="0.35">
      <c r="A8" s="20" t="s">
        <v>730</v>
      </c>
      <c r="B8" s="59">
        <v>1</v>
      </c>
      <c r="C8" s="59">
        <v>4</v>
      </c>
      <c r="D8" s="59">
        <v>5</v>
      </c>
      <c r="H8" t="s">
        <v>654</v>
      </c>
      <c r="I8" t="s">
        <v>731</v>
      </c>
      <c r="J8">
        <v>3</v>
      </c>
      <c r="K8">
        <v>9</v>
      </c>
      <c r="L8">
        <v>12</v>
      </c>
      <c r="M8" s="4">
        <f t="shared" si="0"/>
        <v>0.25</v>
      </c>
    </row>
    <row r="9" spans="1:18" x14ac:dyDescent="0.35">
      <c r="A9" s="20" t="s">
        <v>731</v>
      </c>
      <c r="B9" s="59">
        <v>3</v>
      </c>
      <c r="C9" s="59">
        <v>9</v>
      </c>
      <c r="D9" s="59">
        <v>12</v>
      </c>
      <c r="H9" t="s">
        <v>654</v>
      </c>
      <c r="I9" t="s">
        <v>728</v>
      </c>
      <c r="J9">
        <v>2</v>
      </c>
      <c r="K9">
        <v>10</v>
      </c>
      <c r="L9">
        <v>12</v>
      </c>
      <c r="M9" s="4">
        <f t="shared" si="0"/>
        <v>0.16666666666666666</v>
      </c>
    </row>
    <row r="10" spans="1:18" x14ac:dyDescent="0.35">
      <c r="A10" s="20" t="s">
        <v>728</v>
      </c>
      <c r="B10" s="59">
        <v>2</v>
      </c>
      <c r="C10" s="59">
        <v>10</v>
      </c>
      <c r="D10" s="59">
        <v>12</v>
      </c>
      <c r="H10" t="s">
        <v>654</v>
      </c>
      <c r="I10" t="s">
        <v>729</v>
      </c>
      <c r="J10">
        <v>5</v>
      </c>
      <c r="K10">
        <v>4</v>
      </c>
      <c r="L10">
        <v>9</v>
      </c>
      <c r="M10" s="4">
        <f t="shared" si="0"/>
        <v>0.55555555555555558</v>
      </c>
    </row>
    <row r="11" spans="1:18" x14ac:dyDescent="0.35">
      <c r="A11" s="20" t="s">
        <v>729</v>
      </c>
      <c r="B11" s="59">
        <v>5</v>
      </c>
      <c r="C11" s="59">
        <v>4</v>
      </c>
      <c r="D11" s="59">
        <v>9</v>
      </c>
      <c r="H11" t="s">
        <v>654</v>
      </c>
      <c r="I11" t="s">
        <v>727</v>
      </c>
      <c r="J11">
        <v>2</v>
      </c>
      <c r="K11">
        <v>5</v>
      </c>
      <c r="L11">
        <v>7</v>
      </c>
      <c r="M11" s="4">
        <f t="shared" si="0"/>
        <v>0.2857142857142857</v>
      </c>
      <c r="Q11" s="18" t="s">
        <v>1435</v>
      </c>
      <c r="R11" t="s">
        <v>1453</v>
      </c>
    </row>
    <row r="12" spans="1:18" x14ac:dyDescent="0.35">
      <c r="A12" s="20" t="s">
        <v>727</v>
      </c>
      <c r="B12" s="59">
        <v>2</v>
      </c>
      <c r="C12" s="59">
        <v>5</v>
      </c>
      <c r="D12" s="59">
        <v>7</v>
      </c>
      <c r="H12" t="s">
        <v>652</v>
      </c>
      <c r="I12" t="s">
        <v>732</v>
      </c>
      <c r="J12">
        <v>2</v>
      </c>
      <c r="K12">
        <v>4</v>
      </c>
      <c r="L12">
        <v>6</v>
      </c>
      <c r="M12" s="4">
        <f t="shared" si="0"/>
        <v>0.33333333333333331</v>
      </c>
      <c r="Q12" s="19" t="s">
        <v>654</v>
      </c>
      <c r="R12" s="25">
        <v>2.0007936507936508</v>
      </c>
    </row>
    <row r="13" spans="1:18" x14ac:dyDescent="0.35">
      <c r="A13" s="19" t="s">
        <v>652</v>
      </c>
      <c r="B13" s="59">
        <v>9</v>
      </c>
      <c r="C13" s="59">
        <v>35</v>
      </c>
      <c r="D13" s="59">
        <v>44</v>
      </c>
      <c r="H13" t="s">
        <v>652</v>
      </c>
      <c r="I13" t="s">
        <v>726</v>
      </c>
      <c r="J13">
        <v>3</v>
      </c>
      <c r="K13">
        <v>3</v>
      </c>
      <c r="L13">
        <v>6</v>
      </c>
      <c r="M13" s="4">
        <f t="shared" si="0"/>
        <v>0.5</v>
      </c>
      <c r="Q13" s="20" t="s">
        <v>732</v>
      </c>
      <c r="R13" s="25">
        <v>0.4</v>
      </c>
    </row>
    <row r="14" spans="1:18" x14ac:dyDescent="0.35">
      <c r="A14" s="20" t="s">
        <v>732</v>
      </c>
      <c r="B14" s="59">
        <v>2</v>
      </c>
      <c r="C14" s="59">
        <v>4</v>
      </c>
      <c r="D14" s="59">
        <v>6</v>
      </c>
      <c r="H14" t="s">
        <v>652</v>
      </c>
      <c r="I14" t="s">
        <v>730</v>
      </c>
      <c r="J14">
        <v>2</v>
      </c>
      <c r="K14">
        <v>4</v>
      </c>
      <c r="L14">
        <v>6</v>
      </c>
      <c r="M14" s="4">
        <f t="shared" si="0"/>
        <v>0.33333333333333331</v>
      </c>
      <c r="Q14" s="20" t="s">
        <v>726</v>
      </c>
      <c r="R14" s="25">
        <v>0.14285714285714285</v>
      </c>
    </row>
    <row r="15" spans="1:18" x14ac:dyDescent="0.35">
      <c r="A15" s="20" t="s">
        <v>726</v>
      </c>
      <c r="B15" s="59">
        <v>3</v>
      </c>
      <c r="C15" s="59">
        <v>3</v>
      </c>
      <c r="D15" s="59">
        <v>6</v>
      </c>
      <c r="H15" t="s">
        <v>652</v>
      </c>
      <c r="I15" t="s">
        <v>731</v>
      </c>
      <c r="K15">
        <v>7</v>
      </c>
      <c r="L15">
        <v>7</v>
      </c>
      <c r="M15" s="4">
        <f t="shared" si="0"/>
        <v>0</v>
      </c>
      <c r="Q15" s="20" t="s">
        <v>730</v>
      </c>
      <c r="R15" s="25">
        <v>0.2</v>
      </c>
    </row>
    <row r="16" spans="1:18" x14ac:dyDescent="0.35">
      <c r="A16" s="20" t="s">
        <v>730</v>
      </c>
      <c r="B16" s="59">
        <v>2</v>
      </c>
      <c r="C16" s="59">
        <v>4</v>
      </c>
      <c r="D16" s="59">
        <v>6</v>
      </c>
      <c r="H16" t="s">
        <v>652</v>
      </c>
      <c r="I16" t="s">
        <v>728</v>
      </c>
      <c r="K16">
        <v>3</v>
      </c>
      <c r="L16">
        <v>3</v>
      </c>
      <c r="M16" s="4">
        <f t="shared" si="0"/>
        <v>0</v>
      </c>
      <c r="Q16" s="20" t="s">
        <v>731</v>
      </c>
      <c r="R16" s="25">
        <v>0.25</v>
      </c>
    </row>
    <row r="17" spans="1:18" x14ac:dyDescent="0.35">
      <c r="A17" s="20" t="s">
        <v>731</v>
      </c>
      <c r="B17" s="59"/>
      <c r="C17" s="59">
        <v>7</v>
      </c>
      <c r="D17" s="59">
        <v>7</v>
      </c>
      <c r="H17" t="s">
        <v>652</v>
      </c>
      <c r="I17" t="s">
        <v>729</v>
      </c>
      <c r="K17">
        <v>3</v>
      </c>
      <c r="L17">
        <v>3</v>
      </c>
      <c r="M17" s="4">
        <f t="shared" si="0"/>
        <v>0</v>
      </c>
      <c r="Q17" s="20" t="s">
        <v>728</v>
      </c>
      <c r="R17" s="25">
        <v>0.16666666666666666</v>
      </c>
    </row>
    <row r="18" spans="1:18" x14ac:dyDescent="0.35">
      <c r="A18" s="20" t="s">
        <v>728</v>
      </c>
      <c r="B18" s="59"/>
      <c r="C18" s="59">
        <v>3</v>
      </c>
      <c r="D18" s="59">
        <v>3</v>
      </c>
      <c r="H18" t="s">
        <v>652</v>
      </c>
      <c r="I18" t="s">
        <v>727</v>
      </c>
      <c r="J18">
        <v>2</v>
      </c>
      <c r="K18">
        <v>11</v>
      </c>
      <c r="L18">
        <v>13</v>
      </c>
      <c r="M18" s="4">
        <f t="shared" si="0"/>
        <v>0.15384615384615385</v>
      </c>
      <c r="Q18" s="20" t="s">
        <v>729</v>
      </c>
      <c r="R18" s="25">
        <v>0.55555555555555558</v>
      </c>
    </row>
    <row r="19" spans="1:18" x14ac:dyDescent="0.35">
      <c r="A19" s="20" t="s">
        <v>729</v>
      </c>
      <c r="B19" s="59"/>
      <c r="C19" s="59">
        <v>3</v>
      </c>
      <c r="D19" s="59">
        <v>3</v>
      </c>
      <c r="H19" t="s">
        <v>658</v>
      </c>
      <c r="I19" t="s">
        <v>732</v>
      </c>
      <c r="J19">
        <v>3</v>
      </c>
      <c r="K19">
        <v>1</v>
      </c>
      <c r="L19">
        <v>4</v>
      </c>
      <c r="M19" s="4">
        <f t="shared" si="0"/>
        <v>0.75</v>
      </c>
      <c r="Q19" s="20" t="s">
        <v>727</v>
      </c>
      <c r="R19" s="25">
        <v>0.2857142857142857</v>
      </c>
    </row>
    <row r="20" spans="1:18" x14ac:dyDescent="0.35">
      <c r="A20" s="20" t="s">
        <v>727</v>
      </c>
      <c r="B20" s="59">
        <v>2</v>
      </c>
      <c r="C20" s="59">
        <v>11</v>
      </c>
      <c r="D20" s="59">
        <v>13</v>
      </c>
      <c r="H20" t="s">
        <v>658</v>
      </c>
      <c r="I20" t="s">
        <v>726</v>
      </c>
      <c r="K20">
        <v>10</v>
      </c>
      <c r="L20">
        <v>10</v>
      </c>
      <c r="M20" s="4">
        <f t="shared" si="0"/>
        <v>0</v>
      </c>
      <c r="Q20" s="19" t="s">
        <v>652</v>
      </c>
      <c r="R20" s="25">
        <v>1.3205128205128203</v>
      </c>
    </row>
    <row r="21" spans="1:18" x14ac:dyDescent="0.35">
      <c r="A21" s="19" t="s">
        <v>658</v>
      </c>
      <c r="B21" s="59">
        <v>10</v>
      </c>
      <c r="C21" s="59">
        <v>41</v>
      </c>
      <c r="D21" s="59">
        <v>51</v>
      </c>
      <c r="H21" t="s">
        <v>658</v>
      </c>
      <c r="I21" t="s">
        <v>730</v>
      </c>
      <c r="J21">
        <v>1</v>
      </c>
      <c r="K21">
        <v>4</v>
      </c>
      <c r="L21">
        <v>5</v>
      </c>
      <c r="M21" s="4">
        <f t="shared" si="0"/>
        <v>0.2</v>
      </c>
      <c r="Q21" s="20" t="s">
        <v>732</v>
      </c>
      <c r="R21" s="25">
        <v>0.33333333333333331</v>
      </c>
    </row>
    <row r="22" spans="1:18" x14ac:dyDescent="0.35">
      <c r="A22" s="20" t="s">
        <v>732</v>
      </c>
      <c r="B22" s="59">
        <v>3</v>
      </c>
      <c r="C22" s="59">
        <v>1</v>
      </c>
      <c r="D22" s="59">
        <v>4</v>
      </c>
      <c r="H22" t="s">
        <v>658</v>
      </c>
      <c r="I22" t="s">
        <v>731</v>
      </c>
      <c r="J22">
        <v>1</v>
      </c>
      <c r="K22">
        <v>5</v>
      </c>
      <c r="L22">
        <v>6</v>
      </c>
      <c r="M22" s="4">
        <f t="shared" si="0"/>
        <v>0.16666666666666666</v>
      </c>
      <c r="Q22" s="20" t="s">
        <v>726</v>
      </c>
      <c r="R22" s="25">
        <v>0.5</v>
      </c>
    </row>
    <row r="23" spans="1:18" x14ac:dyDescent="0.35">
      <c r="A23" s="20" t="s">
        <v>726</v>
      </c>
      <c r="B23" s="59"/>
      <c r="C23" s="59">
        <v>10</v>
      </c>
      <c r="D23" s="59">
        <v>10</v>
      </c>
      <c r="H23" t="s">
        <v>658</v>
      </c>
      <c r="I23" t="s">
        <v>728</v>
      </c>
      <c r="J23">
        <v>4</v>
      </c>
      <c r="K23">
        <v>4</v>
      </c>
      <c r="L23">
        <v>8</v>
      </c>
      <c r="M23" s="4">
        <f t="shared" si="0"/>
        <v>0.5</v>
      </c>
      <c r="Q23" s="20" t="s">
        <v>730</v>
      </c>
      <c r="R23" s="25">
        <v>0.33333333333333331</v>
      </c>
    </row>
    <row r="24" spans="1:18" x14ac:dyDescent="0.35">
      <c r="A24" s="20" t="s">
        <v>730</v>
      </c>
      <c r="B24" s="59">
        <v>1</v>
      </c>
      <c r="C24" s="59">
        <v>4</v>
      </c>
      <c r="D24" s="59">
        <v>5</v>
      </c>
      <c r="H24" t="s">
        <v>658</v>
      </c>
      <c r="I24" t="s">
        <v>729</v>
      </c>
      <c r="J24">
        <v>1</v>
      </c>
      <c r="K24">
        <v>6</v>
      </c>
      <c r="L24">
        <v>7</v>
      </c>
      <c r="M24" s="4">
        <f t="shared" si="0"/>
        <v>0.14285714285714285</v>
      </c>
      <c r="Q24" s="20" t="s">
        <v>731</v>
      </c>
      <c r="R24" s="25">
        <v>0</v>
      </c>
    </row>
    <row r="25" spans="1:18" x14ac:dyDescent="0.35">
      <c r="A25" s="20" t="s">
        <v>731</v>
      </c>
      <c r="B25" s="59">
        <v>1</v>
      </c>
      <c r="C25" s="59">
        <v>5</v>
      </c>
      <c r="D25" s="59">
        <v>6</v>
      </c>
      <c r="H25" t="s">
        <v>658</v>
      </c>
      <c r="I25" t="s">
        <v>727</v>
      </c>
      <c r="K25">
        <v>11</v>
      </c>
      <c r="L25">
        <v>11</v>
      </c>
      <c r="M25" s="4">
        <f t="shared" si="0"/>
        <v>0</v>
      </c>
      <c r="Q25" s="20" t="s">
        <v>728</v>
      </c>
      <c r="R25" s="25">
        <v>0</v>
      </c>
    </row>
    <row r="26" spans="1:18" x14ac:dyDescent="0.35">
      <c r="A26" s="20" t="s">
        <v>728</v>
      </c>
      <c r="B26" s="59">
        <v>4</v>
      </c>
      <c r="C26" s="59">
        <v>4</v>
      </c>
      <c r="D26" s="59">
        <v>8</v>
      </c>
      <c r="H26" t="s">
        <v>656</v>
      </c>
      <c r="I26" t="s">
        <v>732</v>
      </c>
      <c r="J26">
        <v>1</v>
      </c>
      <c r="K26">
        <v>6</v>
      </c>
      <c r="L26">
        <v>7</v>
      </c>
      <c r="M26" s="4">
        <f t="shared" si="0"/>
        <v>0.14285714285714285</v>
      </c>
      <c r="Q26" s="20" t="s">
        <v>729</v>
      </c>
      <c r="R26" s="25">
        <v>0</v>
      </c>
    </row>
    <row r="27" spans="1:18" x14ac:dyDescent="0.35">
      <c r="A27" s="20" t="s">
        <v>729</v>
      </c>
      <c r="B27" s="59">
        <v>1</v>
      </c>
      <c r="C27" s="59">
        <v>6</v>
      </c>
      <c r="D27" s="59">
        <v>7</v>
      </c>
      <c r="H27" t="s">
        <v>656</v>
      </c>
      <c r="I27" t="s">
        <v>726</v>
      </c>
      <c r="J27">
        <v>3</v>
      </c>
      <c r="K27">
        <v>7</v>
      </c>
      <c r="L27">
        <v>10</v>
      </c>
      <c r="M27" s="4">
        <f t="shared" si="0"/>
        <v>0.3</v>
      </c>
      <c r="Q27" s="20" t="s">
        <v>727</v>
      </c>
      <c r="R27" s="25">
        <v>0.15384615384615385</v>
      </c>
    </row>
    <row r="28" spans="1:18" x14ac:dyDescent="0.35">
      <c r="A28" s="20" t="s">
        <v>727</v>
      </c>
      <c r="B28" s="59"/>
      <c r="C28" s="59">
        <v>11</v>
      </c>
      <c r="D28" s="59">
        <v>11</v>
      </c>
      <c r="H28" t="s">
        <v>656</v>
      </c>
      <c r="I28" t="s">
        <v>730</v>
      </c>
      <c r="J28">
        <v>2</v>
      </c>
      <c r="K28">
        <v>4</v>
      </c>
      <c r="L28">
        <v>6</v>
      </c>
      <c r="M28" s="4">
        <f t="shared" si="0"/>
        <v>0.33333333333333331</v>
      </c>
      <c r="Q28" s="19" t="s">
        <v>658</v>
      </c>
      <c r="R28" s="25">
        <v>1.7595238095238095</v>
      </c>
    </row>
    <row r="29" spans="1:18" x14ac:dyDescent="0.35">
      <c r="A29" s="19" t="s">
        <v>656</v>
      </c>
      <c r="B29" s="59">
        <v>13</v>
      </c>
      <c r="C29" s="59">
        <v>41</v>
      </c>
      <c r="D29" s="59">
        <v>54</v>
      </c>
      <c r="H29" t="s">
        <v>656</v>
      </c>
      <c r="I29" t="s">
        <v>731</v>
      </c>
      <c r="J29">
        <v>3</v>
      </c>
      <c r="K29">
        <v>7</v>
      </c>
      <c r="L29">
        <v>10</v>
      </c>
      <c r="M29" s="4">
        <f t="shared" si="0"/>
        <v>0.3</v>
      </c>
      <c r="Q29" s="20" t="s">
        <v>732</v>
      </c>
      <c r="R29" s="25">
        <v>0.75</v>
      </c>
    </row>
    <row r="30" spans="1:18" x14ac:dyDescent="0.35">
      <c r="A30" s="20" t="s">
        <v>732</v>
      </c>
      <c r="B30" s="59">
        <v>1</v>
      </c>
      <c r="C30" s="59">
        <v>6</v>
      </c>
      <c r="D30" s="59">
        <v>7</v>
      </c>
      <c r="H30" t="s">
        <v>656</v>
      </c>
      <c r="I30" t="s">
        <v>728</v>
      </c>
      <c r="J30">
        <v>2</v>
      </c>
      <c r="K30">
        <v>4</v>
      </c>
      <c r="L30">
        <v>6</v>
      </c>
      <c r="M30" s="4">
        <f t="shared" si="0"/>
        <v>0.33333333333333331</v>
      </c>
      <c r="Q30" s="20" t="s">
        <v>726</v>
      </c>
      <c r="R30" s="25">
        <v>0</v>
      </c>
    </row>
    <row r="31" spans="1:18" x14ac:dyDescent="0.35">
      <c r="A31" s="20" t="s">
        <v>726</v>
      </c>
      <c r="B31" s="59">
        <v>3</v>
      </c>
      <c r="C31" s="59">
        <v>7</v>
      </c>
      <c r="D31" s="59">
        <v>10</v>
      </c>
      <c r="H31" t="s">
        <v>656</v>
      </c>
      <c r="I31" t="s">
        <v>729</v>
      </c>
      <c r="K31">
        <v>3</v>
      </c>
      <c r="L31">
        <v>3</v>
      </c>
      <c r="M31" s="4">
        <f t="shared" si="0"/>
        <v>0</v>
      </c>
      <c r="Q31" s="20" t="s">
        <v>730</v>
      </c>
      <c r="R31" s="25">
        <v>0.2</v>
      </c>
    </row>
    <row r="32" spans="1:18" x14ac:dyDescent="0.35">
      <c r="A32" s="20" t="s">
        <v>730</v>
      </c>
      <c r="B32" s="59">
        <v>2</v>
      </c>
      <c r="C32" s="59">
        <v>4</v>
      </c>
      <c r="D32" s="59">
        <v>6</v>
      </c>
      <c r="H32" t="s">
        <v>656</v>
      </c>
      <c r="I32" t="s">
        <v>727</v>
      </c>
      <c r="J32">
        <v>2</v>
      </c>
      <c r="K32">
        <v>10</v>
      </c>
      <c r="L32">
        <v>12</v>
      </c>
      <c r="M32" s="4">
        <f t="shared" si="0"/>
        <v>0.16666666666666666</v>
      </c>
      <c r="Q32" s="20" t="s">
        <v>731</v>
      </c>
      <c r="R32" s="25">
        <v>0.16666666666666666</v>
      </c>
    </row>
    <row r="33" spans="1:18" x14ac:dyDescent="0.35">
      <c r="A33" s="20" t="s">
        <v>731</v>
      </c>
      <c r="B33" s="59">
        <v>3</v>
      </c>
      <c r="C33" s="59">
        <v>7</v>
      </c>
      <c r="D33" s="59">
        <v>10</v>
      </c>
      <c r="H33" t="s">
        <v>655</v>
      </c>
      <c r="I33" t="s">
        <v>732</v>
      </c>
      <c r="J33">
        <v>4</v>
      </c>
      <c r="K33">
        <v>5</v>
      </c>
      <c r="L33">
        <v>9</v>
      </c>
      <c r="M33" s="4">
        <f t="shared" si="0"/>
        <v>0.44444444444444442</v>
      </c>
      <c r="Q33" s="20" t="s">
        <v>728</v>
      </c>
      <c r="R33" s="25">
        <v>0.5</v>
      </c>
    </row>
    <row r="34" spans="1:18" x14ac:dyDescent="0.35">
      <c r="A34" s="20" t="s">
        <v>728</v>
      </c>
      <c r="B34" s="59">
        <v>2</v>
      </c>
      <c r="C34" s="59">
        <v>4</v>
      </c>
      <c r="D34" s="59">
        <v>6</v>
      </c>
      <c r="H34" t="s">
        <v>655</v>
      </c>
      <c r="I34" t="s">
        <v>726</v>
      </c>
      <c r="J34">
        <v>2</v>
      </c>
      <c r="K34">
        <v>4</v>
      </c>
      <c r="L34">
        <v>6</v>
      </c>
      <c r="M34" s="4">
        <f t="shared" si="0"/>
        <v>0.33333333333333331</v>
      </c>
      <c r="Q34" s="20" t="s">
        <v>729</v>
      </c>
      <c r="R34" s="25">
        <v>0.14285714285714285</v>
      </c>
    </row>
    <row r="35" spans="1:18" x14ac:dyDescent="0.35">
      <c r="A35" s="20" t="s">
        <v>729</v>
      </c>
      <c r="B35" s="59"/>
      <c r="C35" s="59">
        <v>3</v>
      </c>
      <c r="D35" s="59">
        <v>3</v>
      </c>
      <c r="H35" t="s">
        <v>655</v>
      </c>
      <c r="I35" t="s">
        <v>730</v>
      </c>
      <c r="J35">
        <v>2</v>
      </c>
      <c r="K35">
        <v>5</v>
      </c>
      <c r="L35">
        <v>7</v>
      </c>
      <c r="M35" s="4">
        <f t="shared" si="0"/>
        <v>0.2857142857142857</v>
      </c>
      <c r="Q35" s="20" t="s">
        <v>727</v>
      </c>
      <c r="R35" s="25">
        <v>0</v>
      </c>
    </row>
    <row r="36" spans="1:18" x14ac:dyDescent="0.35">
      <c r="A36" s="20" t="s">
        <v>727</v>
      </c>
      <c r="B36" s="59">
        <v>2</v>
      </c>
      <c r="C36" s="59">
        <v>10</v>
      </c>
      <c r="D36" s="59">
        <v>12</v>
      </c>
      <c r="H36" t="s">
        <v>655</v>
      </c>
      <c r="I36" t="s">
        <v>731</v>
      </c>
      <c r="J36">
        <v>1</v>
      </c>
      <c r="K36">
        <v>9</v>
      </c>
      <c r="L36">
        <v>10</v>
      </c>
      <c r="M36" s="4">
        <f t="shared" si="0"/>
        <v>0.1</v>
      </c>
      <c r="Q36" s="19" t="s">
        <v>656</v>
      </c>
      <c r="R36" s="25">
        <v>1.5761904761904761</v>
      </c>
    </row>
    <row r="37" spans="1:18" x14ac:dyDescent="0.35">
      <c r="A37" s="19" t="s">
        <v>655</v>
      </c>
      <c r="B37" s="59">
        <v>12</v>
      </c>
      <c r="C37" s="59">
        <v>39</v>
      </c>
      <c r="D37" s="59">
        <v>51</v>
      </c>
      <c r="H37" t="s">
        <v>655</v>
      </c>
      <c r="I37" t="s">
        <v>728</v>
      </c>
      <c r="J37">
        <v>1</v>
      </c>
      <c r="K37">
        <v>3</v>
      </c>
      <c r="L37">
        <v>4</v>
      </c>
      <c r="M37" s="4">
        <f t="shared" si="0"/>
        <v>0.25</v>
      </c>
      <c r="Q37" s="20" t="s">
        <v>732</v>
      </c>
      <c r="R37" s="25">
        <v>0.14285714285714285</v>
      </c>
    </row>
    <row r="38" spans="1:18" x14ac:dyDescent="0.35">
      <c r="A38" s="20" t="s">
        <v>732</v>
      </c>
      <c r="B38" s="59">
        <v>4</v>
      </c>
      <c r="C38" s="59">
        <v>5</v>
      </c>
      <c r="D38" s="59">
        <v>9</v>
      </c>
      <c r="H38" t="s">
        <v>655</v>
      </c>
      <c r="I38" t="s">
        <v>729</v>
      </c>
      <c r="J38">
        <v>1</v>
      </c>
      <c r="K38">
        <v>6</v>
      </c>
      <c r="L38">
        <v>7</v>
      </c>
      <c r="M38" s="4">
        <f t="shared" si="0"/>
        <v>0.14285714285714285</v>
      </c>
      <c r="Q38" s="20" t="s">
        <v>726</v>
      </c>
      <c r="R38" s="25">
        <v>0.3</v>
      </c>
    </row>
    <row r="39" spans="1:18" x14ac:dyDescent="0.35">
      <c r="A39" s="20" t="s">
        <v>726</v>
      </c>
      <c r="B39" s="59">
        <v>2</v>
      </c>
      <c r="C39" s="59">
        <v>4</v>
      </c>
      <c r="D39" s="59">
        <v>6</v>
      </c>
      <c r="H39" t="s">
        <v>655</v>
      </c>
      <c r="I39" t="s">
        <v>727</v>
      </c>
      <c r="J39">
        <v>1</v>
      </c>
      <c r="K39">
        <v>7</v>
      </c>
      <c r="L39">
        <v>8</v>
      </c>
      <c r="M39" s="4">
        <f t="shared" si="0"/>
        <v>0.125</v>
      </c>
      <c r="Q39" s="20" t="s">
        <v>730</v>
      </c>
      <c r="R39" s="25">
        <v>0.33333333333333331</v>
      </c>
    </row>
    <row r="40" spans="1:18" x14ac:dyDescent="0.35">
      <c r="A40" s="20" t="s">
        <v>730</v>
      </c>
      <c r="B40" s="59">
        <v>2</v>
      </c>
      <c r="C40" s="59">
        <v>5</v>
      </c>
      <c r="D40" s="59">
        <v>7</v>
      </c>
      <c r="H40" t="s">
        <v>653</v>
      </c>
      <c r="I40" t="s">
        <v>732</v>
      </c>
      <c r="J40">
        <v>2</v>
      </c>
      <c r="K40">
        <v>5</v>
      </c>
      <c r="L40">
        <v>7</v>
      </c>
      <c r="M40" s="4">
        <f t="shared" si="0"/>
        <v>0.2857142857142857</v>
      </c>
      <c r="Q40" s="20" t="s">
        <v>731</v>
      </c>
      <c r="R40" s="25">
        <v>0.3</v>
      </c>
    </row>
    <row r="41" spans="1:18" x14ac:dyDescent="0.35">
      <c r="A41" s="20" t="s">
        <v>731</v>
      </c>
      <c r="B41" s="59">
        <v>1</v>
      </c>
      <c r="C41" s="59">
        <v>9</v>
      </c>
      <c r="D41" s="59">
        <v>10</v>
      </c>
      <c r="H41" t="s">
        <v>653</v>
      </c>
      <c r="I41" t="s">
        <v>726</v>
      </c>
      <c r="J41">
        <v>2</v>
      </c>
      <c r="K41">
        <v>8</v>
      </c>
      <c r="L41">
        <v>10</v>
      </c>
      <c r="M41" s="4">
        <f t="shared" si="0"/>
        <v>0.2</v>
      </c>
      <c r="Q41" s="20" t="s">
        <v>728</v>
      </c>
      <c r="R41" s="25">
        <v>0.33333333333333331</v>
      </c>
    </row>
    <row r="42" spans="1:18" x14ac:dyDescent="0.35">
      <c r="A42" s="20" t="s">
        <v>728</v>
      </c>
      <c r="B42" s="59">
        <v>1</v>
      </c>
      <c r="C42" s="59">
        <v>3</v>
      </c>
      <c r="D42" s="59">
        <v>4</v>
      </c>
      <c r="H42" t="s">
        <v>653</v>
      </c>
      <c r="I42" t="s">
        <v>730</v>
      </c>
      <c r="J42">
        <v>1</v>
      </c>
      <c r="K42">
        <v>8</v>
      </c>
      <c r="L42">
        <v>9</v>
      </c>
      <c r="M42" s="4">
        <f t="shared" si="0"/>
        <v>0.1111111111111111</v>
      </c>
      <c r="Q42" s="20" t="s">
        <v>729</v>
      </c>
      <c r="R42" s="25">
        <v>0</v>
      </c>
    </row>
    <row r="43" spans="1:18" x14ac:dyDescent="0.35">
      <c r="A43" s="20" t="s">
        <v>729</v>
      </c>
      <c r="B43" s="59">
        <v>1</v>
      </c>
      <c r="C43" s="59">
        <v>6</v>
      </c>
      <c r="D43" s="59">
        <v>7</v>
      </c>
      <c r="H43" t="s">
        <v>653</v>
      </c>
      <c r="I43" t="s">
        <v>731</v>
      </c>
      <c r="J43">
        <v>2</v>
      </c>
      <c r="K43">
        <v>10</v>
      </c>
      <c r="L43">
        <v>12</v>
      </c>
      <c r="M43" s="4">
        <f t="shared" si="0"/>
        <v>0.16666666666666666</v>
      </c>
      <c r="Q43" s="20" t="s">
        <v>727</v>
      </c>
      <c r="R43" s="25">
        <v>0.16666666666666666</v>
      </c>
    </row>
    <row r="44" spans="1:18" x14ac:dyDescent="0.35">
      <c r="A44" s="20" t="s">
        <v>727</v>
      </c>
      <c r="B44" s="59">
        <v>1</v>
      </c>
      <c r="C44" s="59">
        <v>7</v>
      </c>
      <c r="D44" s="59">
        <v>8</v>
      </c>
      <c r="H44" t="s">
        <v>653</v>
      </c>
      <c r="I44" t="s">
        <v>728</v>
      </c>
      <c r="J44">
        <v>1</v>
      </c>
      <c r="K44">
        <v>6</v>
      </c>
      <c r="L44">
        <v>7</v>
      </c>
      <c r="M44" s="4">
        <f t="shared" si="0"/>
        <v>0.14285714285714285</v>
      </c>
      <c r="Q44" s="19" t="s">
        <v>655</v>
      </c>
      <c r="R44" s="25">
        <v>1.6813492063492061</v>
      </c>
    </row>
    <row r="45" spans="1:18" x14ac:dyDescent="0.35">
      <c r="A45" s="19" t="s">
        <v>653</v>
      </c>
      <c r="B45" s="59">
        <v>12</v>
      </c>
      <c r="C45" s="59">
        <v>48</v>
      </c>
      <c r="D45" s="59">
        <v>60</v>
      </c>
      <c r="H45" t="s">
        <v>653</v>
      </c>
      <c r="I45" t="s">
        <v>729</v>
      </c>
      <c r="J45">
        <v>2</v>
      </c>
      <c r="K45">
        <v>7</v>
      </c>
      <c r="L45">
        <v>9</v>
      </c>
      <c r="M45" s="4">
        <f t="shared" si="0"/>
        <v>0.22222222222222221</v>
      </c>
      <c r="Q45" s="20" t="s">
        <v>732</v>
      </c>
      <c r="R45" s="25">
        <v>0.44444444444444442</v>
      </c>
    </row>
    <row r="46" spans="1:18" x14ac:dyDescent="0.35">
      <c r="A46" s="20" t="s">
        <v>732</v>
      </c>
      <c r="B46" s="59">
        <v>2</v>
      </c>
      <c r="C46" s="59">
        <v>5</v>
      </c>
      <c r="D46" s="59">
        <v>7</v>
      </c>
      <c r="H46" t="s">
        <v>653</v>
      </c>
      <c r="I46" t="s">
        <v>727</v>
      </c>
      <c r="J46">
        <v>2</v>
      </c>
      <c r="K46">
        <v>4</v>
      </c>
      <c r="L46">
        <v>6</v>
      </c>
      <c r="M46" s="4">
        <f t="shared" si="0"/>
        <v>0.33333333333333331</v>
      </c>
      <c r="Q46" s="20" t="s">
        <v>726</v>
      </c>
      <c r="R46" s="25">
        <v>0.33333333333333331</v>
      </c>
    </row>
    <row r="47" spans="1:18" x14ac:dyDescent="0.35">
      <c r="A47" s="20" t="s">
        <v>726</v>
      </c>
      <c r="B47" s="59">
        <v>2</v>
      </c>
      <c r="C47" s="59">
        <v>8</v>
      </c>
      <c r="D47" s="59">
        <v>10</v>
      </c>
      <c r="H47" t="s">
        <v>651</v>
      </c>
      <c r="I47" t="s">
        <v>732</v>
      </c>
      <c r="J47">
        <v>1</v>
      </c>
      <c r="K47">
        <v>4</v>
      </c>
      <c r="L47">
        <v>5</v>
      </c>
      <c r="M47" s="4">
        <f t="shared" si="0"/>
        <v>0.2</v>
      </c>
      <c r="Q47" s="20" t="s">
        <v>730</v>
      </c>
      <c r="R47" s="25">
        <v>0.2857142857142857</v>
      </c>
    </row>
    <row r="48" spans="1:18" x14ac:dyDescent="0.35">
      <c r="A48" s="20" t="s">
        <v>730</v>
      </c>
      <c r="B48" s="59">
        <v>1</v>
      </c>
      <c r="C48" s="59">
        <v>8</v>
      </c>
      <c r="D48" s="59">
        <v>9</v>
      </c>
      <c r="H48" t="s">
        <v>651</v>
      </c>
      <c r="I48" t="s">
        <v>726</v>
      </c>
      <c r="J48">
        <v>3</v>
      </c>
      <c r="K48">
        <v>5</v>
      </c>
      <c r="L48">
        <v>8</v>
      </c>
      <c r="M48" s="4">
        <f t="shared" si="0"/>
        <v>0.375</v>
      </c>
      <c r="Q48" s="20" t="s">
        <v>731</v>
      </c>
      <c r="R48" s="25">
        <v>0.1</v>
      </c>
    </row>
    <row r="49" spans="1:18" x14ac:dyDescent="0.35">
      <c r="A49" s="20" t="s">
        <v>731</v>
      </c>
      <c r="B49" s="59">
        <v>2</v>
      </c>
      <c r="C49" s="59">
        <v>10</v>
      </c>
      <c r="D49" s="59">
        <v>12</v>
      </c>
      <c r="H49" t="s">
        <v>651</v>
      </c>
      <c r="I49" t="s">
        <v>730</v>
      </c>
      <c r="J49">
        <v>3</v>
      </c>
      <c r="K49">
        <v>4</v>
      </c>
      <c r="L49">
        <v>7</v>
      </c>
      <c r="M49" s="4">
        <f t="shared" si="0"/>
        <v>0.42857142857142855</v>
      </c>
      <c r="Q49" s="20" t="s">
        <v>728</v>
      </c>
      <c r="R49" s="25">
        <v>0.25</v>
      </c>
    </row>
    <row r="50" spans="1:18" x14ac:dyDescent="0.35">
      <c r="A50" s="20" t="s">
        <v>728</v>
      </c>
      <c r="B50" s="59">
        <v>1</v>
      </c>
      <c r="C50" s="59">
        <v>6</v>
      </c>
      <c r="D50" s="59">
        <v>7</v>
      </c>
      <c r="H50" t="s">
        <v>651</v>
      </c>
      <c r="I50" t="s">
        <v>731</v>
      </c>
      <c r="J50">
        <v>2</v>
      </c>
      <c r="K50">
        <v>5</v>
      </c>
      <c r="L50">
        <v>7</v>
      </c>
      <c r="M50" s="4">
        <f t="shared" si="0"/>
        <v>0.2857142857142857</v>
      </c>
      <c r="Q50" s="20" t="s">
        <v>729</v>
      </c>
      <c r="R50" s="25">
        <v>0.14285714285714285</v>
      </c>
    </row>
    <row r="51" spans="1:18" x14ac:dyDescent="0.35">
      <c r="A51" s="20" t="s">
        <v>729</v>
      </c>
      <c r="B51" s="59">
        <v>2</v>
      </c>
      <c r="C51" s="59">
        <v>7</v>
      </c>
      <c r="D51" s="59">
        <v>9</v>
      </c>
      <c r="H51" t="s">
        <v>651</v>
      </c>
      <c r="I51" t="s">
        <v>728</v>
      </c>
      <c r="J51">
        <v>1</v>
      </c>
      <c r="K51">
        <v>11</v>
      </c>
      <c r="L51">
        <v>12</v>
      </c>
      <c r="M51" s="4">
        <f t="shared" si="0"/>
        <v>8.3333333333333329E-2</v>
      </c>
      <c r="Q51" s="20" t="s">
        <v>727</v>
      </c>
      <c r="R51" s="25">
        <v>0.125</v>
      </c>
    </row>
    <row r="52" spans="1:18" x14ac:dyDescent="0.35">
      <c r="A52" s="20" t="s">
        <v>727</v>
      </c>
      <c r="B52" s="59">
        <v>2</v>
      </c>
      <c r="C52" s="59">
        <v>4</v>
      </c>
      <c r="D52" s="59">
        <v>6</v>
      </c>
      <c r="H52" t="s">
        <v>651</v>
      </c>
      <c r="I52" t="s">
        <v>729</v>
      </c>
      <c r="J52">
        <v>1</v>
      </c>
      <c r="K52">
        <v>10</v>
      </c>
      <c r="L52">
        <v>11</v>
      </c>
      <c r="M52" s="4">
        <f t="shared" si="0"/>
        <v>9.0909090909090912E-2</v>
      </c>
      <c r="Q52" s="19" t="s">
        <v>653</v>
      </c>
      <c r="R52" s="25">
        <v>1.4619047619047618</v>
      </c>
    </row>
    <row r="53" spans="1:18" x14ac:dyDescent="0.35">
      <c r="A53" s="19" t="s">
        <v>651</v>
      </c>
      <c r="B53" s="59">
        <v>14</v>
      </c>
      <c r="C53" s="59">
        <v>45</v>
      </c>
      <c r="D53" s="59">
        <v>59</v>
      </c>
      <c r="H53" t="s">
        <v>651</v>
      </c>
      <c r="I53" t="s">
        <v>727</v>
      </c>
      <c r="J53">
        <v>3</v>
      </c>
      <c r="K53">
        <v>6</v>
      </c>
      <c r="L53">
        <v>9</v>
      </c>
      <c r="M53" s="4">
        <f t="shared" si="0"/>
        <v>0.33333333333333331</v>
      </c>
      <c r="Q53" s="20" t="s">
        <v>732</v>
      </c>
      <c r="R53" s="25">
        <v>0.2857142857142857</v>
      </c>
    </row>
    <row r="54" spans="1:18" x14ac:dyDescent="0.35">
      <c r="A54" s="20" t="s">
        <v>732</v>
      </c>
      <c r="B54" s="59">
        <v>1</v>
      </c>
      <c r="C54" s="59">
        <v>4</v>
      </c>
      <c r="D54" s="59">
        <v>5</v>
      </c>
      <c r="H54" t="s">
        <v>649</v>
      </c>
      <c r="I54" t="s">
        <v>732</v>
      </c>
      <c r="J54">
        <v>4</v>
      </c>
      <c r="K54">
        <v>6</v>
      </c>
      <c r="L54">
        <v>10</v>
      </c>
      <c r="M54" s="4">
        <f t="shared" si="0"/>
        <v>0.4</v>
      </c>
      <c r="Q54" s="20" t="s">
        <v>726</v>
      </c>
      <c r="R54" s="25">
        <v>0.2</v>
      </c>
    </row>
    <row r="55" spans="1:18" x14ac:dyDescent="0.35">
      <c r="A55" s="20" t="s">
        <v>726</v>
      </c>
      <c r="B55" s="59">
        <v>3</v>
      </c>
      <c r="C55" s="59">
        <v>5</v>
      </c>
      <c r="D55" s="59">
        <v>8</v>
      </c>
      <c r="H55" t="s">
        <v>649</v>
      </c>
      <c r="I55" t="s">
        <v>726</v>
      </c>
      <c r="J55">
        <v>1</v>
      </c>
      <c r="K55">
        <v>4</v>
      </c>
      <c r="L55">
        <v>5</v>
      </c>
      <c r="M55" s="4">
        <f t="shared" si="0"/>
        <v>0.2</v>
      </c>
      <c r="Q55" s="20" t="s">
        <v>730</v>
      </c>
      <c r="R55" s="25">
        <v>0.1111111111111111</v>
      </c>
    </row>
    <row r="56" spans="1:18" x14ac:dyDescent="0.35">
      <c r="A56" s="20" t="s">
        <v>730</v>
      </c>
      <c r="B56" s="59">
        <v>3</v>
      </c>
      <c r="C56" s="59">
        <v>4</v>
      </c>
      <c r="D56" s="59">
        <v>7</v>
      </c>
      <c r="H56" t="s">
        <v>649</v>
      </c>
      <c r="I56" t="s">
        <v>730</v>
      </c>
      <c r="J56">
        <v>7</v>
      </c>
      <c r="K56">
        <v>3</v>
      </c>
      <c r="L56">
        <v>10</v>
      </c>
      <c r="M56" s="4">
        <f t="shared" si="0"/>
        <v>0.7</v>
      </c>
      <c r="Q56" s="20" t="s">
        <v>731</v>
      </c>
      <c r="R56" s="25">
        <v>0.16666666666666666</v>
      </c>
    </row>
    <row r="57" spans="1:18" x14ac:dyDescent="0.35">
      <c r="A57" s="20" t="s">
        <v>731</v>
      </c>
      <c r="B57" s="59">
        <v>2</v>
      </c>
      <c r="C57" s="59">
        <v>5</v>
      </c>
      <c r="D57" s="59">
        <v>7</v>
      </c>
      <c r="H57" t="s">
        <v>649</v>
      </c>
      <c r="I57" t="s">
        <v>731</v>
      </c>
      <c r="K57">
        <v>2</v>
      </c>
      <c r="L57">
        <v>2</v>
      </c>
      <c r="M57" s="4">
        <f t="shared" si="0"/>
        <v>0</v>
      </c>
      <c r="Q57" s="20" t="s">
        <v>728</v>
      </c>
      <c r="R57" s="25">
        <v>0.14285714285714285</v>
      </c>
    </row>
    <row r="58" spans="1:18" x14ac:dyDescent="0.35">
      <c r="A58" s="20" t="s">
        <v>728</v>
      </c>
      <c r="B58" s="59">
        <v>1</v>
      </c>
      <c r="C58" s="59">
        <v>11</v>
      </c>
      <c r="D58" s="59">
        <v>12</v>
      </c>
      <c r="H58" t="s">
        <v>649</v>
      </c>
      <c r="I58" t="s">
        <v>728</v>
      </c>
      <c r="J58">
        <v>2</v>
      </c>
      <c r="K58">
        <v>4</v>
      </c>
      <c r="L58">
        <v>6</v>
      </c>
      <c r="M58" s="4">
        <f t="shared" si="0"/>
        <v>0.33333333333333331</v>
      </c>
      <c r="Q58" s="20" t="s">
        <v>729</v>
      </c>
      <c r="R58" s="25">
        <v>0.22222222222222221</v>
      </c>
    </row>
    <row r="59" spans="1:18" x14ac:dyDescent="0.35">
      <c r="A59" s="20" t="s">
        <v>729</v>
      </c>
      <c r="B59" s="59">
        <v>1</v>
      </c>
      <c r="C59" s="59">
        <v>10</v>
      </c>
      <c r="D59" s="59">
        <v>11</v>
      </c>
      <c r="H59" t="s">
        <v>649</v>
      </c>
      <c r="I59" t="s">
        <v>729</v>
      </c>
      <c r="J59">
        <v>2</v>
      </c>
      <c r="K59">
        <v>13</v>
      </c>
      <c r="L59">
        <v>15</v>
      </c>
      <c r="M59" s="4">
        <f t="shared" si="0"/>
        <v>0.13333333333333333</v>
      </c>
      <c r="Q59" s="20" t="s">
        <v>727</v>
      </c>
      <c r="R59" s="25">
        <v>0.33333333333333331</v>
      </c>
    </row>
    <row r="60" spans="1:18" x14ac:dyDescent="0.35">
      <c r="A60" s="20" t="s">
        <v>727</v>
      </c>
      <c r="B60" s="59">
        <v>3</v>
      </c>
      <c r="C60" s="59">
        <v>6</v>
      </c>
      <c r="D60" s="59">
        <v>9</v>
      </c>
      <c r="H60" t="s">
        <v>649</v>
      </c>
      <c r="I60" t="s">
        <v>727</v>
      </c>
      <c r="J60">
        <v>1</v>
      </c>
      <c r="K60">
        <v>7</v>
      </c>
      <c r="L60">
        <v>8</v>
      </c>
      <c r="M60" s="4">
        <f t="shared" si="0"/>
        <v>0.125</v>
      </c>
      <c r="Q60" s="19" t="s">
        <v>651</v>
      </c>
      <c r="R60" s="25">
        <v>1.7968614718614715</v>
      </c>
    </row>
    <row r="61" spans="1:18" x14ac:dyDescent="0.35">
      <c r="A61" s="19" t="s">
        <v>649</v>
      </c>
      <c r="B61" s="59">
        <v>17</v>
      </c>
      <c r="C61" s="59">
        <v>39</v>
      </c>
      <c r="D61" s="59">
        <v>56</v>
      </c>
      <c r="H61" t="s">
        <v>650</v>
      </c>
      <c r="I61" t="s">
        <v>732</v>
      </c>
      <c r="J61">
        <v>6</v>
      </c>
      <c r="K61">
        <v>7</v>
      </c>
      <c r="L61">
        <v>13</v>
      </c>
      <c r="M61" s="4">
        <f t="shared" si="0"/>
        <v>0.46153846153846156</v>
      </c>
      <c r="Q61" s="20" t="s">
        <v>732</v>
      </c>
      <c r="R61" s="25">
        <v>0.2</v>
      </c>
    </row>
    <row r="62" spans="1:18" x14ac:dyDescent="0.35">
      <c r="A62" s="20" t="s">
        <v>732</v>
      </c>
      <c r="B62" s="59">
        <v>4</v>
      </c>
      <c r="C62" s="59">
        <v>6</v>
      </c>
      <c r="D62" s="59">
        <v>10</v>
      </c>
      <c r="H62" t="s">
        <v>650</v>
      </c>
      <c r="I62" t="s">
        <v>726</v>
      </c>
      <c r="J62">
        <v>2</v>
      </c>
      <c r="K62">
        <v>4</v>
      </c>
      <c r="L62">
        <v>6</v>
      </c>
      <c r="M62" s="4">
        <f t="shared" ref="M62:M89" si="1">(J62/L62)*100%</f>
        <v>0.33333333333333331</v>
      </c>
      <c r="Q62" s="20" t="s">
        <v>726</v>
      </c>
      <c r="R62" s="25">
        <v>0.375</v>
      </c>
    </row>
    <row r="63" spans="1:18" x14ac:dyDescent="0.35">
      <c r="A63" s="20" t="s">
        <v>726</v>
      </c>
      <c r="B63" s="59">
        <v>1</v>
      </c>
      <c r="C63" s="59">
        <v>4</v>
      </c>
      <c r="D63" s="59">
        <v>5</v>
      </c>
      <c r="H63" t="s">
        <v>650</v>
      </c>
      <c r="I63" t="s">
        <v>730</v>
      </c>
      <c r="J63">
        <v>3</v>
      </c>
      <c r="K63">
        <v>3</v>
      </c>
      <c r="L63">
        <v>6</v>
      </c>
      <c r="M63" s="4">
        <f t="shared" si="1"/>
        <v>0.5</v>
      </c>
      <c r="Q63" s="20" t="s">
        <v>730</v>
      </c>
      <c r="R63" s="25">
        <v>0.42857142857142855</v>
      </c>
    </row>
    <row r="64" spans="1:18" x14ac:dyDescent="0.35">
      <c r="A64" s="20" t="s">
        <v>730</v>
      </c>
      <c r="B64" s="59">
        <v>7</v>
      </c>
      <c r="C64" s="59">
        <v>3</v>
      </c>
      <c r="D64" s="59">
        <v>10</v>
      </c>
      <c r="H64" t="s">
        <v>650</v>
      </c>
      <c r="I64" t="s">
        <v>731</v>
      </c>
      <c r="J64">
        <v>3</v>
      </c>
      <c r="K64">
        <v>2</v>
      </c>
      <c r="L64">
        <v>5</v>
      </c>
      <c r="M64" s="4">
        <f t="shared" si="1"/>
        <v>0.6</v>
      </c>
      <c r="Q64" s="20" t="s">
        <v>731</v>
      </c>
      <c r="R64" s="25">
        <v>0.2857142857142857</v>
      </c>
    </row>
    <row r="65" spans="1:18" x14ac:dyDescent="0.35">
      <c r="A65" s="20" t="s">
        <v>731</v>
      </c>
      <c r="B65" s="59"/>
      <c r="C65" s="59">
        <v>2</v>
      </c>
      <c r="D65" s="59">
        <v>2</v>
      </c>
      <c r="H65" t="s">
        <v>650</v>
      </c>
      <c r="I65" t="s">
        <v>728</v>
      </c>
      <c r="J65">
        <v>1</v>
      </c>
      <c r="K65">
        <v>1</v>
      </c>
      <c r="L65">
        <v>2</v>
      </c>
      <c r="M65" s="4">
        <f t="shared" si="1"/>
        <v>0.5</v>
      </c>
      <c r="Q65" s="20" t="s">
        <v>728</v>
      </c>
      <c r="R65" s="25">
        <v>8.3333333333333329E-2</v>
      </c>
    </row>
    <row r="66" spans="1:18" x14ac:dyDescent="0.35">
      <c r="A66" s="20" t="s">
        <v>728</v>
      </c>
      <c r="B66" s="59">
        <v>2</v>
      </c>
      <c r="C66" s="59">
        <v>4</v>
      </c>
      <c r="D66" s="59">
        <v>6</v>
      </c>
      <c r="H66" t="s">
        <v>650</v>
      </c>
      <c r="I66" t="s">
        <v>729</v>
      </c>
      <c r="J66">
        <v>1</v>
      </c>
      <c r="K66">
        <v>5</v>
      </c>
      <c r="L66">
        <v>6</v>
      </c>
      <c r="M66" s="4">
        <f t="shared" si="1"/>
        <v>0.16666666666666666</v>
      </c>
      <c r="Q66" s="20" t="s">
        <v>729</v>
      </c>
      <c r="R66" s="25">
        <v>9.0909090909090912E-2</v>
      </c>
    </row>
    <row r="67" spans="1:18" x14ac:dyDescent="0.35">
      <c r="A67" s="20" t="s">
        <v>729</v>
      </c>
      <c r="B67" s="59">
        <v>2</v>
      </c>
      <c r="C67" s="59">
        <v>13</v>
      </c>
      <c r="D67" s="59">
        <v>15</v>
      </c>
      <c r="H67" t="s">
        <v>650</v>
      </c>
      <c r="I67" t="s">
        <v>727</v>
      </c>
      <c r="J67">
        <v>3</v>
      </c>
      <c r="K67">
        <v>3</v>
      </c>
      <c r="L67">
        <v>6</v>
      </c>
      <c r="M67" s="4">
        <f t="shared" si="1"/>
        <v>0.5</v>
      </c>
      <c r="Q67" s="20" t="s">
        <v>727</v>
      </c>
      <c r="R67" s="25">
        <v>0.33333333333333331</v>
      </c>
    </row>
    <row r="68" spans="1:18" x14ac:dyDescent="0.35">
      <c r="A68" s="20" t="s">
        <v>727</v>
      </c>
      <c r="B68" s="59">
        <v>1</v>
      </c>
      <c r="C68" s="59">
        <v>7</v>
      </c>
      <c r="D68" s="59">
        <v>8</v>
      </c>
      <c r="H68" t="s">
        <v>660</v>
      </c>
      <c r="I68" t="s">
        <v>732</v>
      </c>
      <c r="J68">
        <v>2</v>
      </c>
      <c r="K68">
        <v>2</v>
      </c>
      <c r="L68">
        <v>4</v>
      </c>
      <c r="M68" s="4">
        <f t="shared" si="1"/>
        <v>0.5</v>
      </c>
      <c r="Q68" s="19" t="s">
        <v>649</v>
      </c>
      <c r="R68" s="25">
        <v>1.8916666666666666</v>
      </c>
    </row>
    <row r="69" spans="1:18" x14ac:dyDescent="0.35">
      <c r="A69" s="19" t="s">
        <v>650</v>
      </c>
      <c r="B69" s="59">
        <v>19</v>
      </c>
      <c r="C69" s="59">
        <v>25</v>
      </c>
      <c r="D69" s="59">
        <v>44</v>
      </c>
      <c r="H69" t="s">
        <v>660</v>
      </c>
      <c r="I69" t="s">
        <v>726</v>
      </c>
      <c r="J69">
        <v>5</v>
      </c>
      <c r="K69">
        <v>6</v>
      </c>
      <c r="L69">
        <v>11</v>
      </c>
      <c r="M69" s="4">
        <f t="shared" si="1"/>
        <v>0.45454545454545453</v>
      </c>
      <c r="Q69" s="20" t="s">
        <v>732</v>
      </c>
      <c r="R69" s="25">
        <v>0.4</v>
      </c>
    </row>
    <row r="70" spans="1:18" x14ac:dyDescent="0.35">
      <c r="A70" s="20" t="s">
        <v>732</v>
      </c>
      <c r="B70" s="59">
        <v>6</v>
      </c>
      <c r="C70" s="59">
        <v>7</v>
      </c>
      <c r="D70" s="59">
        <v>13</v>
      </c>
      <c r="H70" t="s">
        <v>660</v>
      </c>
      <c r="I70" t="s">
        <v>730</v>
      </c>
      <c r="J70">
        <v>2</v>
      </c>
      <c r="K70">
        <v>5</v>
      </c>
      <c r="L70">
        <v>7</v>
      </c>
      <c r="M70" s="4">
        <f t="shared" si="1"/>
        <v>0.2857142857142857</v>
      </c>
      <c r="Q70" s="20" t="s">
        <v>726</v>
      </c>
      <c r="R70" s="25">
        <v>0.2</v>
      </c>
    </row>
    <row r="71" spans="1:18" x14ac:dyDescent="0.35">
      <c r="A71" s="20" t="s">
        <v>726</v>
      </c>
      <c r="B71" s="59">
        <v>2</v>
      </c>
      <c r="C71" s="59">
        <v>4</v>
      </c>
      <c r="D71" s="59">
        <v>6</v>
      </c>
      <c r="H71" t="s">
        <v>660</v>
      </c>
      <c r="I71" t="s">
        <v>731</v>
      </c>
      <c r="J71">
        <v>1</v>
      </c>
      <c r="K71">
        <v>6</v>
      </c>
      <c r="L71">
        <v>7</v>
      </c>
      <c r="M71" s="4">
        <f t="shared" si="1"/>
        <v>0.14285714285714285</v>
      </c>
      <c r="Q71" s="20" t="s">
        <v>730</v>
      </c>
      <c r="R71" s="25">
        <v>0.7</v>
      </c>
    </row>
    <row r="72" spans="1:18" x14ac:dyDescent="0.35">
      <c r="A72" s="20" t="s">
        <v>730</v>
      </c>
      <c r="B72" s="59">
        <v>3</v>
      </c>
      <c r="C72" s="59">
        <v>3</v>
      </c>
      <c r="D72" s="59">
        <v>6</v>
      </c>
      <c r="H72" t="s">
        <v>660</v>
      </c>
      <c r="I72" t="s">
        <v>728</v>
      </c>
      <c r="J72">
        <v>2</v>
      </c>
      <c r="K72">
        <v>5</v>
      </c>
      <c r="L72">
        <v>7</v>
      </c>
      <c r="M72" s="4">
        <f t="shared" si="1"/>
        <v>0.2857142857142857</v>
      </c>
      <c r="Q72" s="20" t="s">
        <v>731</v>
      </c>
      <c r="R72" s="25">
        <v>0</v>
      </c>
    </row>
    <row r="73" spans="1:18" x14ac:dyDescent="0.35">
      <c r="A73" s="20" t="s">
        <v>731</v>
      </c>
      <c r="B73" s="59">
        <v>3</v>
      </c>
      <c r="C73" s="59">
        <v>2</v>
      </c>
      <c r="D73" s="59">
        <v>5</v>
      </c>
      <c r="H73" t="s">
        <v>660</v>
      </c>
      <c r="I73" t="s">
        <v>729</v>
      </c>
      <c r="J73">
        <v>2</v>
      </c>
      <c r="K73">
        <v>2</v>
      </c>
      <c r="L73">
        <v>4</v>
      </c>
      <c r="M73" s="4">
        <f t="shared" si="1"/>
        <v>0.5</v>
      </c>
      <c r="Q73" s="20" t="s">
        <v>728</v>
      </c>
      <c r="R73" s="25">
        <v>0.33333333333333331</v>
      </c>
    </row>
    <row r="74" spans="1:18" x14ac:dyDescent="0.35">
      <c r="A74" s="20" t="s">
        <v>728</v>
      </c>
      <c r="B74" s="59">
        <v>1</v>
      </c>
      <c r="C74" s="59">
        <v>1</v>
      </c>
      <c r="D74" s="59">
        <v>2</v>
      </c>
      <c r="H74" t="s">
        <v>660</v>
      </c>
      <c r="I74" t="s">
        <v>727</v>
      </c>
      <c r="J74">
        <v>1</v>
      </c>
      <c r="K74">
        <v>4</v>
      </c>
      <c r="L74">
        <v>5</v>
      </c>
      <c r="M74" s="4">
        <f t="shared" si="1"/>
        <v>0.2</v>
      </c>
      <c r="Q74" s="20" t="s">
        <v>729</v>
      </c>
      <c r="R74" s="25">
        <v>0.13333333333333333</v>
      </c>
    </row>
    <row r="75" spans="1:18" x14ac:dyDescent="0.35">
      <c r="A75" s="20" t="s">
        <v>729</v>
      </c>
      <c r="B75" s="59">
        <v>1</v>
      </c>
      <c r="C75" s="59">
        <v>5</v>
      </c>
      <c r="D75" s="59">
        <v>6</v>
      </c>
      <c r="H75" t="s">
        <v>657</v>
      </c>
      <c r="I75" t="s">
        <v>732</v>
      </c>
      <c r="J75">
        <v>1</v>
      </c>
      <c r="K75">
        <v>7</v>
      </c>
      <c r="L75">
        <v>8</v>
      </c>
      <c r="M75" s="4">
        <f t="shared" si="1"/>
        <v>0.125</v>
      </c>
      <c r="Q75" s="20" t="s">
        <v>727</v>
      </c>
      <c r="R75" s="25">
        <v>0.125</v>
      </c>
    </row>
    <row r="76" spans="1:18" x14ac:dyDescent="0.35">
      <c r="A76" s="20" t="s">
        <v>727</v>
      </c>
      <c r="B76" s="59">
        <v>3</v>
      </c>
      <c r="C76" s="59">
        <v>3</v>
      </c>
      <c r="D76" s="59">
        <v>6</v>
      </c>
      <c r="H76" t="s">
        <v>657</v>
      </c>
      <c r="I76" t="s">
        <v>726</v>
      </c>
      <c r="J76">
        <v>2</v>
      </c>
      <c r="K76">
        <v>5</v>
      </c>
      <c r="L76">
        <v>7</v>
      </c>
      <c r="M76" s="4">
        <f t="shared" si="1"/>
        <v>0.2857142857142857</v>
      </c>
      <c r="Q76" s="19" t="s">
        <v>650</v>
      </c>
      <c r="R76" s="25">
        <v>3.0615384615384613</v>
      </c>
    </row>
    <row r="77" spans="1:18" x14ac:dyDescent="0.35">
      <c r="A77" s="19" t="s">
        <v>660</v>
      </c>
      <c r="B77" s="59">
        <v>15</v>
      </c>
      <c r="C77" s="59">
        <v>30</v>
      </c>
      <c r="D77" s="59">
        <v>45</v>
      </c>
      <c r="H77" t="s">
        <v>657</v>
      </c>
      <c r="I77" t="s">
        <v>730</v>
      </c>
      <c r="J77">
        <v>4</v>
      </c>
      <c r="K77">
        <v>5</v>
      </c>
      <c r="L77">
        <v>9</v>
      </c>
      <c r="M77" s="4">
        <f t="shared" si="1"/>
        <v>0.44444444444444442</v>
      </c>
      <c r="Q77" s="20" t="s">
        <v>732</v>
      </c>
      <c r="R77" s="25">
        <v>0.46153846153846156</v>
      </c>
    </row>
    <row r="78" spans="1:18" x14ac:dyDescent="0.35">
      <c r="A78" s="20" t="s">
        <v>732</v>
      </c>
      <c r="B78" s="59">
        <v>2</v>
      </c>
      <c r="C78" s="59">
        <v>2</v>
      </c>
      <c r="D78" s="59">
        <v>4</v>
      </c>
      <c r="H78" t="s">
        <v>657</v>
      </c>
      <c r="I78" t="s">
        <v>731</v>
      </c>
      <c r="J78">
        <v>2</v>
      </c>
      <c r="K78">
        <v>5</v>
      </c>
      <c r="L78">
        <v>7</v>
      </c>
      <c r="M78" s="4">
        <f t="shared" si="1"/>
        <v>0.2857142857142857</v>
      </c>
      <c r="Q78" s="20" t="s">
        <v>726</v>
      </c>
      <c r="R78" s="25">
        <v>0.33333333333333331</v>
      </c>
    </row>
    <row r="79" spans="1:18" x14ac:dyDescent="0.35">
      <c r="A79" s="20" t="s">
        <v>726</v>
      </c>
      <c r="B79" s="59">
        <v>5</v>
      </c>
      <c r="C79" s="59">
        <v>6</v>
      </c>
      <c r="D79" s="59">
        <v>11</v>
      </c>
      <c r="H79" t="s">
        <v>657</v>
      </c>
      <c r="I79" t="s">
        <v>728</v>
      </c>
      <c r="J79">
        <v>2</v>
      </c>
      <c r="K79">
        <v>7</v>
      </c>
      <c r="L79">
        <v>9</v>
      </c>
      <c r="M79" s="4">
        <f t="shared" si="1"/>
        <v>0.22222222222222221</v>
      </c>
      <c r="Q79" s="20" t="s">
        <v>730</v>
      </c>
      <c r="R79" s="25">
        <v>0.5</v>
      </c>
    </row>
    <row r="80" spans="1:18" x14ac:dyDescent="0.35">
      <c r="A80" s="20" t="s">
        <v>730</v>
      </c>
      <c r="B80" s="59">
        <v>2</v>
      </c>
      <c r="C80" s="59">
        <v>5</v>
      </c>
      <c r="D80" s="59">
        <v>7</v>
      </c>
      <c r="H80" t="s">
        <v>657</v>
      </c>
      <c r="I80" t="s">
        <v>729</v>
      </c>
      <c r="J80">
        <v>1</v>
      </c>
      <c r="K80">
        <v>3</v>
      </c>
      <c r="L80">
        <v>4</v>
      </c>
      <c r="M80" s="4">
        <f t="shared" si="1"/>
        <v>0.25</v>
      </c>
      <c r="Q80" s="20" t="s">
        <v>731</v>
      </c>
      <c r="R80" s="25">
        <v>0.6</v>
      </c>
    </row>
    <row r="81" spans="1:18" x14ac:dyDescent="0.35">
      <c r="A81" s="20" t="s">
        <v>731</v>
      </c>
      <c r="B81" s="59">
        <v>1</v>
      </c>
      <c r="C81" s="59">
        <v>6</v>
      </c>
      <c r="D81" s="59">
        <v>7</v>
      </c>
      <c r="H81" t="s">
        <v>657</v>
      </c>
      <c r="I81" t="s">
        <v>727</v>
      </c>
      <c r="J81">
        <v>3</v>
      </c>
      <c r="K81">
        <v>7</v>
      </c>
      <c r="L81">
        <v>10</v>
      </c>
      <c r="M81" s="4">
        <f t="shared" si="1"/>
        <v>0.3</v>
      </c>
      <c r="Q81" s="20" t="s">
        <v>728</v>
      </c>
      <c r="R81" s="25">
        <v>0.5</v>
      </c>
    </row>
    <row r="82" spans="1:18" x14ac:dyDescent="0.35">
      <c r="A82" s="20" t="s">
        <v>728</v>
      </c>
      <c r="B82" s="59">
        <v>2</v>
      </c>
      <c r="C82" s="59">
        <v>5</v>
      </c>
      <c r="D82" s="59">
        <v>7</v>
      </c>
      <c r="H82" t="s">
        <v>659</v>
      </c>
      <c r="I82" t="s">
        <v>732</v>
      </c>
      <c r="J82">
        <v>2</v>
      </c>
      <c r="K82">
        <v>2</v>
      </c>
      <c r="L82">
        <v>4</v>
      </c>
      <c r="M82" s="4">
        <f t="shared" si="1"/>
        <v>0.5</v>
      </c>
      <c r="Q82" s="20" t="s">
        <v>729</v>
      </c>
      <c r="R82" s="25">
        <v>0.16666666666666666</v>
      </c>
    </row>
    <row r="83" spans="1:18" x14ac:dyDescent="0.35">
      <c r="A83" s="20" t="s">
        <v>729</v>
      </c>
      <c r="B83" s="59">
        <v>2</v>
      </c>
      <c r="C83" s="59">
        <v>2</v>
      </c>
      <c r="D83" s="59">
        <v>4</v>
      </c>
      <c r="H83" t="s">
        <v>659</v>
      </c>
      <c r="I83" t="s">
        <v>726</v>
      </c>
      <c r="J83">
        <v>2</v>
      </c>
      <c r="K83">
        <v>3</v>
      </c>
      <c r="L83">
        <v>5</v>
      </c>
      <c r="M83" s="4">
        <f t="shared" si="1"/>
        <v>0.4</v>
      </c>
      <c r="Q83" s="20" t="s">
        <v>727</v>
      </c>
      <c r="R83" s="25">
        <v>0.5</v>
      </c>
    </row>
    <row r="84" spans="1:18" x14ac:dyDescent="0.35">
      <c r="A84" s="20" t="s">
        <v>727</v>
      </c>
      <c r="B84" s="59">
        <v>1</v>
      </c>
      <c r="C84" s="59">
        <v>4</v>
      </c>
      <c r="D84" s="59">
        <v>5</v>
      </c>
      <c r="H84" t="s">
        <v>659</v>
      </c>
      <c r="I84" t="s">
        <v>730</v>
      </c>
      <c r="J84">
        <v>1</v>
      </c>
      <c r="K84">
        <v>4</v>
      </c>
      <c r="L84">
        <v>5</v>
      </c>
      <c r="M84" s="4">
        <f t="shared" si="1"/>
        <v>0.2</v>
      </c>
      <c r="Q84" s="19" t="s">
        <v>660</v>
      </c>
      <c r="R84" s="25">
        <v>2.3688311688311687</v>
      </c>
    </row>
    <row r="85" spans="1:18" x14ac:dyDescent="0.35">
      <c r="A85" s="19" t="s">
        <v>657</v>
      </c>
      <c r="B85" s="59">
        <v>15</v>
      </c>
      <c r="C85" s="59">
        <v>39</v>
      </c>
      <c r="D85" s="59">
        <v>54</v>
      </c>
      <c r="H85" t="s">
        <v>659</v>
      </c>
      <c r="I85" t="s">
        <v>731</v>
      </c>
      <c r="J85">
        <v>1</v>
      </c>
      <c r="K85">
        <v>8</v>
      </c>
      <c r="L85">
        <v>9</v>
      </c>
      <c r="M85" s="4">
        <f t="shared" si="1"/>
        <v>0.1111111111111111</v>
      </c>
      <c r="Q85" s="20" t="s">
        <v>732</v>
      </c>
      <c r="R85" s="25">
        <v>0.5</v>
      </c>
    </row>
    <row r="86" spans="1:18" x14ac:dyDescent="0.35">
      <c r="A86" s="20" t="s">
        <v>732</v>
      </c>
      <c r="B86" s="59">
        <v>1</v>
      </c>
      <c r="C86" s="59">
        <v>7</v>
      </c>
      <c r="D86" s="59">
        <v>8</v>
      </c>
      <c r="H86" t="s">
        <v>659</v>
      </c>
      <c r="I86" t="s">
        <v>728</v>
      </c>
      <c r="J86">
        <v>5</v>
      </c>
      <c r="K86">
        <v>4</v>
      </c>
      <c r="L86">
        <v>9</v>
      </c>
      <c r="M86" s="4">
        <f t="shared" si="1"/>
        <v>0.55555555555555558</v>
      </c>
      <c r="Q86" s="20" t="s">
        <v>726</v>
      </c>
      <c r="R86" s="25">
        <v>0.45454545454545453</v>
      </c>
    </row>
    <row r="87" spans="1:18" x14ac:dyDescent="0.35">
      <c r="A87" s="20" t="s">
        <v>726</v>
      </c>
      <c r="B87" s="59">
        <v>2</v>
      </c>
      <c r="C87" s="59">
        <v>5</v>
      </c>
      <c r="D87" s="59">
        <v>7</v>
      </c>
      <c r="H87" t="s">
        <v>659</v>
      </c>
      <c r="I87" t="s">
        <v>729</v>
      </c>
      <c r="J87">
        <v>1</v>
      </c>
      <c r="K87">
        <v>9</v>
      </c>
      <c r="L87">
        <v>10</v>
      </c>
      <c r="M87" s="4">
        <f t="shared" si="1"/>
        <v>0.1</v>
      </c>
      <c r="Q87" s="20" t="s">
        <v>730</v>
      </c>
      <c r="R87" s="25">
        <v>0.2857142857142857</v>
      </c>
    </row>
    <row r="88" spans="1:18" x14ac:dyDescent="0.35">
      <c r="A88" s="20" t="s">
        <v>730</v>
      </c>
      <c r="B88" s="59">
        <v>4</v>
      </c>
      <c r="C88" s="59">
        <v>5</v>
      </c>
      <c r="D88" s="59">
        <v>9</v>
      </c>
      <c r="H88" t="s">
        <v>659</v>
      </c>
      <c r="I88" t="s">
        <v>727</v>
      </c>
      <c r="J88">
        <v>6</v>
      </c>
      <c r="K88">
        <v>2</v>
      </c>
      <c r="L88">
        <v>8</v>
      </c>
      <c r="M88" s="4">
        <f t="shared" si="1"/>
        <v>0.75</v>
      </c>
      <c r="Q88" s="20" t="s">
        <v>731</v>
      </c>
      <c r="R88" s="25">
        <v>0.14285714285714285</v>
      </c>
    </row>
    <row r="89" spans="1:18" x14ac:dyDescent="0.35">
      <c r="A89" s="20" t="s">
        <v>731</v>
      </c>
      <c r="B89" s="59">
        <v>2</v>
      </c>
      <c r="C89" s="59">
        <v>5</v>
      </c>
      <c r="D89" s="59">
        <v>7</v>
      </c>
      <c r="I89" t="s">
        <v>1436</v>
      </c>
      <c r="J89">
        <v>172</v>
      </c>
      <c r="K89">
        <v>458</v>
      </c>
      <c r="L89">
        <v>630</v>
      </c>
      <c r="M89" s="4">
        <f t="shared" si="1"/>
        <v>0.27301587301587299</v>
      </c>
      <c r="Q89" s="20" t="s">
        <v>728</v>
      </c>
      <c r="R89" s="25">
        <v>0.2857142857142857</v>
      </c>
    </row>
    <row r="90" spans="1:18" x14ac:dyDescent="0.35">
      <c r="A90" s="20" t="s">
        <v>728</v>
      </c>
      <c r="B90" s="59">
        <v>2</v>
      </c>
      <c r="C90" s="59">
        <v>7</v>
      </c>
      <c r="D90" s="59">
        <v>9</v>
      </c>
      <c r="Q90" s="20" t="s">
        <v>729</v>
      </c>
      <c r="R90" s="25">
        <v>0.5</v>
      </c>
    </row>
    <row r="91" spans="1:18" x14ac:dyDescent="0.35">
      <c r="A91" s="20" t="s">
        <v>729</v>
      </c>
      <c r="B91" s="59">
        <v>1</v>
      </c>
      <c r="C91" s="59">
        <v>3</v>
      </c>
      <c r="D91" s="59">
        <v>4</v>
      </c>
      <c r="Q91" s="20" t="s">
        <v>727</v>
      </c>
      <c r="R91" s="25">
        <v>0.2</v>
      </c>
    </row>
    <row r="92" spans="1:18" x14ac:dyDescent="0.35">
      <c r="A92" s="20" t="s">
        <v>727</v>
      </c>
      <c r="B92" s="59">
        <v>3</v>
      </c>
      <c r="C92" s="59">
        <v>7</v>
      </c>
      <c r="D92" s="59">
        <v>10</v>
      </c>
      <c r="Q92" s="19" t="s">
        <v>657</v>
      </c>
      <c r="R92" s="25">
        <v>1.9130952380952382</v>
      </c>
    </row>
    <row r="93" spans="1:18" x14ac:dyDescent="0.35">
      <c r="A93" s="19" t="s">
        <v>659</v>
      </c>
      <c r="B93" s="59">
        <v>18</v>
      </c>
      <c r="C93" s="59">
        <v>32</v>
      </c>
      <c r="D93" s="59">
        <v>50</v>
      </c>
      <c r="Q93" s="20" t="s">
        <v>732</v>
      </c>
      <c r="R93" s="25">
        <v>0.125</v>
      </c>
    </row>
    <row r="94" spans="1:18" x14ac:dyDescent="0.35">
      <c r="A94" s="20" t="s">
        <v>732</v>
      </c>
      <c r="B94" s="59">
        <v>2</v>
      </c>
      <c r="C94" s="59">
        <v>2</v>
      </c>
      <c r="D94" s="59">
        <v>4</v>
      </c>
      <c r="Q94" s="20" t="s">
        <v>726</v>
      </c>
      <c r="R94" s="25">
        <v>0.2857142857142857</v>
      </c>
    </row>
    <row r="95" spans="1:18" x14ac:dyDescent="0.35">
      <c r="A95" s="20" t="s">
        <v>726</v>
      </c>
      <c r="B95" s="59">
        <v>2</v>
      </c>
      <c r="C95" s="59">
        <v>3</v>
      </c>
      <c r="D95" s="59">
        <v>5</v>
      </c>
      <c r="Q95" s="20" t="s">
        <v>730</v>
      </c>
      <c r="R95" s="25">
        <v>0.44444444444444442</v>
      </c>
    </row>
    <row r="96" spans="1:18" x14ac:dyDescent="0.35">
      <c r="A96" s="20" t="s">
        <v>730</v>
      </c>
      <c r="B96" s="59">
        <v>1</v>
      </c>
      <c r="C96" s="59">
        <v>4</v>
      </c>
      <c r="D96" s="59">
        <v>5</v>
      </c>
      <c r="Q96" s="20" t="s">
        <v>731</v>
      </c>
      <c r="R96" s="25">
        <v>0.2857142857142857</v>
      </c>
    </row>
    <row r="97" spans="1:18" x14ac:dyDescent="0.35">
      <c r="A97" s="20" t="s">
        <v>731</v>
      </c>
      <c r="B97" s="59">
        <v>1</v>
      </c>
      <c r="C97" s="59">
        <v>8</v>
      </c>
      <c r="D97" s="59">
        <v>9</v>
      </c>
      <c r="Q97" s="20" t="s">
        <v>728</v>
      </c>
      <c r="R97" s="25">
        <v>0.22222222222222221</v>
      </c>
    </row>
    <row r="98" spans="1:18" x14ac:dyDescent="0.35">
      <c r="A98" s="20" t="s">
        <v>728</v>
      </c>
      <c r="B98" s="59">
        <v>5</v>
      </c>
      <c r="C98" s="59">
        <v>4</v>
      </c>
      <c r="D98" s="59">
        <v>9</v>
      </c>
      <c r="Q98" s="20" t="s">
        <v>729</v>
      </c>
      <c r="R98" s="25">
        <v>0.25</v>
      </c>
    </row>
    <row r="99" spans="1:18" x14ac:dyDescent="0.35">
      <c r="A99" s="20" t="s">
        <v>729</v>
      </c>
      <c r="B99" s="59">
        <v>1</v>
      </c>
      <c r="C99" s="59">
        <v>9</v>
      </c>
      <c r="D99" s="59">
        <v>10</v>
      </c>
      <c r="Q99" s="20" t="s">
        <v>727</v>
      </c>
      <c r="R99" s="25">
        <v>0.3</v>
      </c>
    </row>
    <row r="100" spans="1:18" x14ac:dyDescent="0.35">
      <c r="A100" s="20" t="s">
        <v>727</v>
      </c>
      <c r="B100" s="59">
        <v>6</v>
      </c>
      <c r="C100" s="59">
        <v>2</v>
      </c>
      <c r="D100" s="59">
        <v>8</v>
      </c>
      <c r="Q100" s="19" t="s">
        <v>659</v>
      </c>
      <c r="R100" s="25">
        <v>2.6166666666666671</v>
      </c>
    </row>
    <row r="101" spans="1:18" x14ac:dyDescent="0.35">
      <c r="A101" s="19" t="s">
        <v>1436</v>
      </c>
      <c r="B101" s="59">
        <v>172</v>
      </c>
      <c r="C101" s="59">
        <v>458</v>
      </c>
      <c r="D101" s="59">
        <v>630</v>
      </c>
      <c r="Q101" s="20" t="s">
        <v>732</v>
      </c>
      <c r="R101" s="25">
        <v>0.5</v>
      </c>
    </row>
    <row r="102" spans="1:18" x14ac:dyDescent="0.35">
      <c r="Q102" s="20" t="s">
        <v>726</v>
      </c>
      <c r="R102" s="25">
        <v>0.4</v>
      </c>
    </row>
    <row r="103" spans="1:18" x14ac:dyDescent="0.35">
      <c r="Q103" s="20" t="s">
        <v>730</v>
      </c>
      <c r="R103" s="25">
        <v>0.2</v>
      </c>
    </row>
    <row r="104" spans="1:18" x14ac:dyDescent="0.35">
      <c r="Q104" s="20" t="s">
        <v>731</v>
      </c>
      <c r="R104" s="25">
        <v>0.1111111111111111</v>
      </c>
    </row>
    <row r="105" spans="1:18" x14ac:dyDescent="0.35">
      <c r="Q105" s="20" t="s">
        <v>728</v>
      </c>
      <c r="R105" s="25">
        <v>0.55555555555555558</v>
      </c>
    </row>
    <row r="106" spans="1:18" x14ac:dyDescent="0.35">
      <c r="Q106" s="20" t="s">
        <v>729</v>
      </c>
      <c r="R106" s="25">
        <v>0.1</v>
      </c>
    </row>
    <row r="107" spans="1:18" x14ac:dyDescent="0.35">
      <c r="Q107" s="20" t="s">
        <v>727</v>
      </c>
      <c r="R107" s="25">
        <v>0.75</v>
      </c>
    </row>
    <row r="108" spans="1:18" x14ac:dyDescent="0.35">
      <c r="Q108" s="19" t="s">
        <v>1436</v>
      </c>
      <c r="R108" s="25">
        <v>23.448934398934391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76C-5F1B-4E1F-9BB6-15DDCADA0C84}">
  <dimension ref="A1"/>
  <sheetViews>
    <sheetView tabSelected="1" workbookViewId="0">
      <selection activeCell="T3" sqref="T3"/>
    </sheetView>
  </sheetViews>
  <sheetFormatPr defaultRowHeight="14.5" x14ac:dyDescent="0.35"/>
  <cols>
    <col min="1" max="1" width="12.26953125" style="28" bestFit="1" customWidth="1"/>
    <col min="2" max="2" width="10.7265625" style="28" bestFit="1" customWidth="1"/>
    <col min="3" max="3" width="20.1796875" style="28" bestFit="1" customWidth="1"/>
    <col min="4" max="16384" width="8.72656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35C1-C46D-4861-8AB7-B69CE4CC1F9F}">
  <dimension ref="B3:C196"/>
  <sheetViews>
    <sheetView workbookViewId="0">
      <selection activeCell="E11" sqref="E11"/>
    </sheetView>
  </sheetViews>
  <sheetFormatPr defaultRowHeight="14.5" x14ac:dyDescent="0.35"/>
  <cols>
    <col min="2" max="2" width="19.26953125" bestFit="1" customWidth="1"/>
    <col min="3" max="3" width="13.6328125" bestFit="1" customWidth="1"/>
  </cols>
  <sheetData>
    <row r="3" spans="2:3" x14ac:dyDescent="0.35">
      <c r="B3" s="18" t="s">
        <v>1435</v>
      </c>
      <c r="C3" t="s">
        <v>1456</v>
      </c>
    </row>
    <row r="4" spans="2:3" x14ac:dyDescent="0.35">
      <c r="B4" s="19" t="s">
        <v>645</v>
      </c>
      <c r="C4" s="59">
        <v>145</v>
      </c>
    </row>
    <row r="5" spans="2:3" x14ac:dyDescent="0.35">
      <c r="B5" s="20" t="s">
        <v>649</v>
      </c>
      <c r="C5" s="59">
        <v>56</v>
      </c>
    </row>
    <row r="6" spans="2:3" x14ac:dyDescent="0.35">
      <c r="B6" s="26" t="s">
        <v>719</v>
      </c>
      <c r="C6" s="59">
        <v>3</v>
      </c>
    </row>
    <row r="7" spans="2:3" x14ac:dyDescent="0.35">
      <c r="B7" s="26" t="s">
        <v>716</v>
      </c>
      <c r="C7" s="59">
        <v>5</v>
      </c>
    </row>
    <row r="8" spans="2:3" x14ac:dyDescent="0.35">
      <c r="B8" s="26" t="s">
        <v>711</v>
      </c>
      <c r="C8" s="59">
        <v>6</v>
      </c>
    </row>
    <row r="9" spans="2:3" x14ac:dyDescent="0.35">
      <c r="B9" s="26" t="s">
        <v>725</v>
      </c>
      <c r="C9" s="59">
        <v>4</v>
      </c>
    </row>
    <row r="10" spans="2:3" x14ac:dyDescent="0.35">
      <c r="B10" s="26" t="s">
        <v>717</v>
      </c>
      <c r="C10" s="59">
        <v>1</v>
      </c>
    </row>
    <row r="11" spans="2:3" x14ac:dyDescent="0.35">
      <c r="B11" s="26" t="s">
        <v>720</v>
      </c>
      <c r="C11" s="59">
        <v>4</v>
      </c>
    </row>
    <row r="12" spans="2:3" x14ac:dyDescent="0.35">
      <c r="B12" s="26" t="s">
        <v>721</v>
      </c>
      <c r="C12" s="59">
        <v>4</v>
      </c>
    </row>
    <row r="13" spans="2:3" x14ac:dyDescent="0.35">
      <c r="B13" s="26" t="s">
        <v>713</v>
      </c>
      <c r="C13" s="59">
        <v>2</v>
      </c>
    </row>
    <row r="14" spans="2:3" x14ac:dyDescent="0.35">
      <c r="B14" s="26" t="s">
        <v>712</v>
      </c>
      <c r="C14" s="59">
        <v>6</v>
      </c>
    </row>
    <row r="15" spans="2:3" x14ac:dyDescent="0.35">
      <c r="B15" s="26" t="s">
        <v>722</v>
      </c>
      <c r="C15" s="59">
        <v>3</v>
      </c>
    </row>
    <row r="16" spans="2:3" x14ac:dyDescent="0.35">
      <c r="B16" s="26" t="s">
        <v>715</v>
      </c>
      <c r="C16" s="59">
        <v>5</v>
      </c>
    </row>
    <row r="17" spans="2:3" x14ac:dyDescent="0.35">
      <c r="B17" s="26" t="s">
        <v>723</v>
      </c>
      <c r="C17" s="59">
        <v>8</v>
      </c>
    </row>
    <row r="18" spans="2:3" x14ac:dyDescent="0.35">
      <c r="B18" s="26" t="s">
        <v>724</v>
      </c>
      <c r="C18" s="59">
        <v>2</v>
      </c>
    </row>
    <row r="19" spans="2:3" x14ac:dyDescent="0.35">
      <c r="B19" s="26" t="s">
        <v>718</v>
      </c>
      <c r="C19" s="59">
        <v>3</v>
      </c>
    </row>
    <row r="20" spans="2:3" x14ac:dyDescent="0.35">
      <c r="B20" s="20" t="s">
        <v>650</v>
      </c>
      <c r="C20" s="59">
        <v>44</v>
      </c>
    </row>
    <row r="21" spans="2:3" x14ac:dyDescent="0.35">
      <c r="B21" s="26" t="s">
        <v>719</v>
      </c>
      <c r="C21" s="59">
        <v>6</v>
      </c>
    </row>
    <row r="22" spans="2:3" x14ac:dyDescent="0.35">
      <c r="B22" s="26" t="s">
        <v>711</v>
      </c>
      <c r="C22" s="59">
        <v>1</v>
      </c>
    </row>
    <row r="23" spans="2:3" x14ac:dyDescent="0.35">
      <c r="B23" s="26" t="s">
        <v>725</v>
      </c>
      <c r="C23" s="59">
        <v>1</v>
      </c>
    </row>
    <row r="24" spans="2:3" x14ac:dyDescent="0.35">
      <c r="B24" s="26" t="s">
        <v>717</v>
      </c>
      <c r="C24" s="59">
        <v>2</v>
      </c>
    </row>
    <row r="25" spans="2:3" x14ac:dyDescent="0.35">
      <c r="B25" s="26" t="s">
        <v>720</v>
      </c>
      <c r="C25" s="59">
        <v>5</v>
      </c>
    </row>
    <row r="26" spans="2:3" x14ac:dyDescent="0.35">
      <c r="B26" s="26" t="s">
        <v>714</v>
      </c>
      <c r="C26" s="59">
        <v>2</v>
      </c>
    </row>
    <row r="27" spans="2:3" x14ac:dyDescent="0.35">
      <c r="B27" s="26" t="s">
        <v>721</v>
      </c>
      <c r="C27" s="59">
        <v>1</v>
      </c>
    </row>
    <row r="28" spans="2:3" x14ac:dyDescent="0.35">
      <c r="B28" s="26" t="s">
        <v>713</v>
      </c>
      <c r="C28" s="59">
        <v>5</v>
      </c>
    </row>
    <row r="29" spans="2:3" x14ac:dyDescent="0.35">
      <c r="B29" s="26" t="s">
        <v>712</v>
      </c>
      <c r="C29" s="59">
        <v>5</v>
      </c>
    </row>
    <row r="30" spans="2:3" x14ac:dyDescent="0.35">
      <c r="B30" s="26" t="s">
        <v>722</v>
      </c>
      <c r="C30" s="59">
        <v>5</v>
      </c>
    </row>
    <row r="31" spans="2:3" x14ac:dyDescent="0.35">
      <c r="B31" s="26" t="s">
        <v>715</v>
      </c>
      <c r="C31" s="59">
        <v>3</v>
      </c>
    </row>
    <row r="32" spans="2:3" x14ac:dyDescent="0.35">
      <c r="B32" s="26" t="s">
        <v>723</v>
      </c>
      <c r="C32" s="59">
        <v>4</v>
      </c>
    </row>
    <row r="33" spans="2:3" x14ac:dyDescent="0.35">
      <c r="B33" s="26" t="s">
        <v>718</v>
      </c>
      <c r="C33" s="59">
        <v>4</v>
      </c>
    </row>
    <row r="34" spans="2:3" x14ac:dyDescent="0.35">
      <c r="B34" s="20" t="s">
        <v>660</v>
      </c>
      <c r="C34" s="59">
        <v>45</v>
      </c>
    </row>
    <row r="35" spans="2:3" x14ac:dyDescent="0.35">
      <c r="B35" s="26" t="s">
        <v>719</v>
      </c>
      <c r="C35" s="59">
        <v>7</v>
      </c>
    </row>
    <row r="36" spans="2:3" x14ac:dyDescent="0.35">
      <c r="B36" s="26" t="s">
        <v>716</v>
      </c>
      <c r="C36" s="59">
        <v>3</v>
      </c>
    </row>
    <row r="37" spans="2:3" x14ac:dyDescent="0.35">
      <c r="B37" s="26" t="s">
        <v>711</v>
      </c>
      <c r="C37" s="59">
        <v>1</v>
      </c>
    </row>
    <row r="38" spans="2:3" x14ac:dyDescent="0.35">
      <c r="B38" s="26" t="s">
        <v>725</v>
      </c>
      <c r="C38" s="59">
        <v>5</v>
      </c>
    </row>
    <row r="39" spans="2:3" x14ac:dyDescent="0.35">
      <c r="B39" s="26" t="s">
        <v>717</v>
      </c>
      <c r="C39" s="59">
        <v>2</v>
      </c>
    </row>
    <row r="40" spans="2:3" x14ac:dyDescent="0.35">
      <c r="B40" s="26" t="s">
        <v>720</v>
      </c>
      <c r="C40" s="59">
        <v>5</v>
      </c>
    </row>
    <row r="41" spans="2:3" x14ac:dyDescent="0.35">
      <c r="B41" s="26" t="s">
        <v>714</v>
      </c>
      <c r="C41" s="59">
        <v>1</v>
      </c>
    </row>
    <row r="42" spans="2:3" x14ac:dyDescent="0.35">
      <c r="B42" s="26" t="s">
        <v>721</v>
      </c>
      <c r="C42" s="59">
        <v>2</v>
      </c>
    </row>
    <row r="43" spans="2:3" x14ac:dyDescent="0.35">
      <c r="B43" s="26" t="s">
        <v>713</v>
      </c>
      <c r="C43" s="59">
        <v>1</v>
      </c>
    </row>
    <row r="44" spans="2:3" x14ac:dyDescent="0.35">
      <c r="B44" s="26" t="s">
        <v>712</v>
      </c>
      <c r="C44" s="59">
        <v>2</v>
      </c>
    </row>
    <row r="45" spans="2:3" x14ac:dyDescent="0.35">
      <c r="B45" s="26" t="s">
        <v>722</v>
      </c>
      <c r="C45" s="59">
        <v>6</v>
      </c>
    </row>
    <row r="46" spans="2:3" x14ac:dyDescent="0.35">
      <c r="B46" s="26" t="s">
        <v>715</v>
      </c>
      <c r="C46" s="59">
        <v>2</v>
      </c>
    </row>
    <row r="47" spans="2:3" x14ac:dyDescent="0.35">
      <c r="B47" s="26" t="s">
        <v>723</v>
      </c>
      <c r="C47" s="59">
        <v>4</v>
      </c>
    </row>
    <row r="48" spans="2:3" x14ac:dyDescent="0.35">
      <c r="B48" s="26" t="s">
        <v>724</v>
      </c>
      <c r="C48" s="59">
        <v>2</v>
      </c>
    </row>
    <row r="49" spans="2:3" x14ac:dyDescent="0.35">
      <c r="B49" s="26" t="s">
        <v>718</v>
      </c>
      <c r="C49" s="59">
        <v>2</v>
      </c>
    </row>
    <row r="50" spans="2:3" x14ac:dyDescent="0.35">
      <c r="B50" s="19" t="s">
        <v>647</v>
      </c>
      <c r="C50" s="59">
        <v>156</v>
      </c>
    </row>
    <row r="51" spans="2:3" x14ac:dyDescent="0.35">
      <c r="B51" s="20" t="s">
        <v>654</v>
      </c>
      <c r="C51" s="59">
        <v>62</v>
      </c>
    </row>
    <row r="52" spans="2:3" x14ac:dyDescent="0.35">
      <c r="B52" s="26" t="s">
        <v>719</v>
      </c>
      <c r="C52" s="59">
        <v>6</v>
      </c>
    </row>
    <row r="53" spans="2:3" x14ac:dyDescent="0.35">
      <c r="B53" s="26" t="s">
        <v>716</v>
      </c>
      <c r="C53" s="59">
        <v>6</v>
      </c>
    </row>
    <row r="54" spans="2:3" x14ac:dyDescent="0.35">
      <c r="B54" s="26" t="s">
        <v>711</v>
      </c>
      <c r="C54" s="59">
        <v>7</v>
      </c>
    </row>
    <row r="55" spans="2:3" x14ac:dyDescent="0.35">
      <c r="B55" s="26" t="s">
        <v>725</v>
      </c>
      <c r="C55" s="59">
        <v>1</v>
      </c>
    </row>
    <row r="56" spans="2:3" x14ac:dyDescent="0.35">
      <c r="B56" s="26" t="s">
        <v>717</v>
      </c>
      <c r="C56" s="59">
        <v>2</v>
      </c>
    </row>
    <row r="57" spans="2:3" x14ac:dyDescent="0.35">
      <c r="B57" s="26" t="s">
        <v>720</v>
      </c>
      <c r="C57" s="59">
        <v>7</v>
      </c>
    </row>
    <row r="58" spans="2:3" x14ac:dyDescent="0.35">
      <c r="B58" s="26" t="s">
        <v>714</v>
      </c>
      <c r="C58" s="59">
        <v>3</v>
      </c>
    </row>
    <row r="59" spans="2:3" x14ac:dyDescent="0.35">
      <c r="B59" s="26" t="s">
        <v>713</v>
      </c>
      <c r="C59" s="59">
        <v>4</v>
      </c>
    </row>
    <row r="60" spans="2:3" x14ac:dyDescent="0.35">
      <c r="B60" s="26" t="s">
        <v>712</v>
      </c>
      <c r="C60" s="59">
        <v>6</v>
      </c>
    </row>
    <row r="61" spans="2:3" x14ac:dyDescent="0.35">
      <c r="B61" s="26" t="s">
        <v>722</v>
      </c>
      <c r="C61" s="59">
        <v>5</v>
      </c>
    </row>
    <row r="62" spans="2:3" x14ac:dyDescent="0.35">
      <c r="B62" s="26" t="s">
        <v>715</v>
      </c>
      <c r="C62" s="59">
        <v>7</v>
      </c>
    </row>
    <row r="63" spans="2:3" x14ac:dyDescent="0.35">
      <c r="B63" s="26" t="s">
        <v>723</v>
      </c>
      <c r="C63" s="59">
        <v>4</v>
      </c>
    </row>
    <row r="64" spans="2:3" x14ac:dyDescent="0.35">
      <c r="B64" s="26" t="s">
        <v>724</v>
      </c>
      <c r="C64" s="59">
        <v>3</v>
      </c>
    </row>
    <row r="65" spans="2:3" x14ac:dyDescent="0.35">
      <c r="B65" s="26" t="s">
        <v>718</v>
      </c>
      <c r="C65" s="59">
        <v>1</v>
      </c>
    </row>
    <row r="66" spans="2:3" x14ac:dyDescent="0.35">
      <c r="B66" s="20" t="s">
        <v>652</v>
      </c>
      <c r="C66" s="59">
        <v>44</v>
      </c>
    </row>
    <row r="67" spans="2:3" x14ac:dyDescent="0.35">
      <c r="B67" s="26" t="s">
        <v>719</v>
      </c>
      <c r="C67" s="59">
        <v>3</v>
      </c>
    </row>
    <row r="68" spans="2:3" x14ac:dyDescent="0.35">
      <c r="B68" s="26" t="s">
        <v>716</v>
      </c>
      <c r="C68" s="59">
        <v>1</v>
      </c>
    </row>
    <row r="69" spans="2:3" x14ac:dyDescent="0.35">
      <c r="B69" s="26" t="s">
        <v>711</v>
      </c>
      <c r="C69" s="59">
        <v>5</v>
      </c>
    </row>
    <row r="70" spans="2:3" x14ac:dyDescent="0.35">
      <c r="B70" s="26" t="s">
        <v>725</v>
      </c>
      <c r="C70" s="59">
        <v>4</v>
      </c>
    </row>
    <row r="71" spans="2:3" x14ac:dyDescent="0.35">
      <c r="B71" s="26" t="s">
        <v>717</v>
      </c>
      <c r="C71" s="59">
        <v>2</v>
      </c>
    </row>
    <row r="72" spans="2:3" x14ac:dyDescent="0.35">
      <c r="B72" s="26" t="s">
        <v>720</v>
      </c>
      <c r="C72" s="59">
        <v>5</v>
      </c>
    </row>
    <row r="73" spans="2:3" x14ac:dyDescent="0.35">
      <c r="B73" s="26" t="s">
        <v>714</v>
      </c>
      <c r="C73" s="59">
        <v>1</v>
      </c>
    </row>
    <row r="74" spans="2:3" x14ac:dyDescent="0.35">
      <c r="B74" s="26" t="s">
        <v>721</v>
      </c>
      <c r="C74" s="59">
        <v>2</v>
      </c>
    </row>
    <row r="75" spans="2:3" x14ac:dyDescent="0.35">
      <c r="B75" s="26" t="s">
        <v>713</v>
      </c>
      <c r="C75" s="59">
        <v>5</v>
      </c>
    </row>
    <row r="76" spans="2:3" x14ac:dyDescent="0.35">
      <c r="B76" s="26" t="s">
        <v>712</v>
      </c>
      <c r="C76" s="59">
        <v>1</v>
      </c>
    </row>
    <row r="77" spans="2:3" x14ac:dyDescent="0.35">
      <c r="B77" s="26" t="s">
        <v>722</v>
      </c>
      <c r="C77" s="59">
        <v>3</v>
      </c>
    </row>
    <row r="78" spans="2:3" x14ac:dyDescent="0.35">
      <c r="B78" s="26" t="s">
        <v>715</v>
      </c>
      <c r="C78" s="59">
        <v>1</v>
      </c>
    </row>
    <row r="79" spans="2:3" x14ac:dyDescent="0.35">
      <c r="B79" s="26" t="s">
        <v>723</v>
      </c>
      <c r="C79" s="59">
        <v>3</v>
      </c>
    </row>
    <row r="80" spans="2:3" x14ac:dyDescent="0.35">
      <c r="B80" s="26" t="s">
        <v>724</v>
      </c>
      <c r="C80" s="59">
        <v>2</v>
      </c>
    </row>
    <row r="81" spans="2:3" x14ac:dyDescent="0.35">
      <c r="B81" s="26" t="s">
        <v>718</v>
      </c>
      <c r="C81" s="59">
        <v>6</v>
      </c>
    </row>
    <row r="82" spans="2:3" x14ac:dyDescent="0.35">
      <c r="B82" s="20" t="s">
        <v>659</v>
      </c>
      <c r="C82" s="59">
        <v>50</v>
      </c>
    </row>
    <row r="83" spans="2:3" x14ac:dyDescent="0.35">
      <c r="B83" s="26" t="s">
        <v>719</v>
      </c>
      <c r="C83" s="59">
        <v>1</v>
      </c>
    </row>
    <row r="84" spans="2:3" x14ac:dyDescent="0.35">
      <c r="B84" s="26" t="s">
        <v>716</v>
      </c>
      <c r="C84" s="59">
        <v>1</v>
      </c>
    </row>
    <row r="85" spans="2:3" x14ac:dyDescent="0.35">
      <c r="B85" s="26" t="s">
        <v>711</v>
      </c>
      <c r="C85" s="59">
        <v>3</v>
      </c>
    </row>
    <row r="86" spans="2:3" x14ac:dyDescent="0.35">
      <c r="B86" s="26" t="s">
        <v>725</v>
      </c>
      <c r="C86" s="59">
        <v>3</v>
      </c>
    </row>
    <row r="87" spans="2:3" x14ac:dyDescent="0.35">
      <c r="B87" s="26" t="s">
        <v>717</v>
      </c>
      <c r="C87" s="59">
        <v>1</v>
      </c>
    </row>
    <row r="88" spans="2:3" x14ac:dyDescent="0.35">
      <c r="B88" s="26" t="s">
        <v>720</v>
      </c>
      <c r="C88" s="59">
        <v>3</v>
      </c>
    </row>
    <row r="89" spans="2:3" x14ac:dyDescent="0.35">
      <c r="B89" s="26" t="s">
        <v>714</v>
      </c>
      <c r="C89" s="59">
        <v>4</v>
      </c>
    </row>
    <row r="90" spans="2:3" x14ac:dyDescent="0.35">
      <c r="B90" s="26" t="s">
        <v>721</v>
      </c>
      <c r="C90" s="59">
        <v>7</v>
      </c>
    </row>
    <row r="91" spans="2:3" x14ac:dyDescent="0.35">
      <c r="B91" s="26" t="s">
        <v>713</v>
      </c>
      <c r="C91" s="59">
        <v>6</v>
      </c>
    </row>
    <row r="92" spans="2:3" x14ac:dyDescent="0.35">
      <c r="B92" s="26" t="s">
        <v>712</v>
      </c>
      <c r="C92" s="59">
        <v>3</v>
      </c>
    </row>
    <row r="93" spans="2:3" x14ac:dyDescent="0.35">
      <c r="B93" s="26" t="s">
        <v>722</v>
      </c>
      <c r="C93" s="59">
        <v>2</v>
      </c>
    </row>
    <row r="94" spans="2:3" x14ac:dyDescent="0.35">
      <c r="B94" s="26" t="s">
        <v>715</v>
      </c>
      <c r="C94" s="59">
        <v>4</v>
      </c>
    </row>
    <row r="95" spans="2:3" x14ac:dyDescent="0.35">
      <c r="B95" s="26" t="s">
        <v>723</v>
      </c>
      <c r="C95" s="59">
        <v>5</v>
      </c>
    </row>
    <row r="96" spans="2:3" x14ac:dyDescent="0.35">
      <c r="B96" s="26" t="s">
        <v>724</v>
      </c>
      <c r="C96" s="59">
        <v>2</v>
      </c>
    </row>
    <row r="97" spans="2:3" x14ac:dyDescent="0.35">
      <c r="B97" s="26" t="s">
        <v>718</v>
      </c>
      <c r="C97" s="59">
        <v>5</v>
      </c>
    </row>
    <row r="98" spans="2:3" x14ac:dyDescent="0.35">
      <c r="B98" s="19" t="s">
        <v>646</v>
      </c>
      <c r="C98" s="59">
        <v>170</v>
      </c>
    </row>
    <row r="99" spans="2:3" x14ac:dyDescent="0.35">
      <c r="B99" s="20" t="s">
        <v>658</v>
      </c>
      <c r="C99" s="59">
        <v>51</v>
      </c>
    </row>
    <row r="100" spans="2:3" x14ac:dyDescent="0.35">
      <c r="B100" s="26" t="s">
        <v>719</v>
      </c>
      <c r="C100" s="59">
        <v>3</v>
      </c>
    </row>
    <row r="101" spans="2:3" x14ac:dyDescent="0.35">
      <c r="B101" s="26" t="s">
        <v>716</v>
      </c>
      <c r="C101" s="59">
        <v>3</v>
      </c>
    </row>
    <row r="102" spans="2:3" x14ac:dyDescent="0.35">
      <c r="B102" s="26" t="s">
        <v>711</v>
      </c>
      <c r="C102" s="59">
        <v>3</v>
      </c>
    </row>
    <row r="103" spans="2:3" x14ac:dyDescent="0.35">
      <c r="B103" s="26" t="s">
        <v>725</v>
      </c>
      <c r="C103" s="59">
        <v>2</v>
      </c>
    </row>
    <row r="104" spans="2:3" x14ac:dyDescent="0.35">
      <c r="B104" s="26" t="s">
        <v>717</v>
      </c>
      <c r="C104" s="59">
        <v>3</v>
      </c>
    </row>
    <row r="105" spans="2:3" x14ac:dyDescent="0.35">
      <c r="B105" s="26" t="s">
        <v>720</v>
      </c>
      <c r="C105" s="59">
        <v>3</v>
      </c>
    </row>
    <row r="106" spans="2:3" x14ac:dyDescent="0.35">
      <c r="B106" s="26" t="s">
        <v>714</v>
      </c>
      <c r="C106" s="59">
        <v>3</v>
      </c>
    </row>
    <row r="107" spans="2:3" x14ac:dyDescent="0.35">
      <c r="B107" s="26" t="s">
        <v>721</v>
      </c>
      <c r="C107" s="59">
        <v>3</v>
      </c>
    </row>
    <row r="108" spans="2:3" x14ac:dyDescent="0.35">
      <c r="B108" s="26" t="s">
        <v>713</v>
      </c>
      <c r="C108" s="59">
        <v>2</v>
      </c>
    </row>
    <row r="109" spans="2:3" x14ac:dyDescent="0.35">
      <c r="B109" s="26" t="s">
        <v>712</v>
      </c>
      <c r="C109" s="59">
        <v>9</v>
      </c>
    </row>
    <row r="110" spans="2:3" x14ac:dyDescent="0.35">
      <c r="B110" s="26" t="s">
        <v>722</v>
      </c>
      <c r="C110" s="59">
        <v>4</v>
      </c>
    </row>
    <row r="111" spans="2:3" x14ac:dyDescent="0.35">
      <c r="B111" s="26" t="s">
        <v>715</v>
      </c>
      <c r="C111" s="59">
        <v>4</v>
      </c>
    </row>
    <row r="112" spans="2:3" x14ac:dyDescent="0.35">
      <c r="B112" s="26" t="s">
        <v>723</v>
      </c>
      <c r="C112" s="59">
        <v>4</v>
      </c>
    </row>
    <row r="113" spans="2:3" x14ac:dyDescent="0.35">
      <c r="B113" s="26" t="s">
        <v>724</v>
      </c>
      <c r="C113" s="59">
        <v>2</v>
      </c>
    </row>
    <row r="114" spans="2:3" x14ac:dyDescent="0.35">
      <c r="B114" s="26" t="s">
        <v>718</v>
      </c>
      <c r="C114" s="59">
        <v>3</v>
      </c>
    </row>
    <row r="115" spans="2:3" x14ac:dyDescent="0.35">
      <c r="B115" s="20" t="s">
        <v>653</v>
      </c>
      <c r="C115" s="59">
        <v>60</v>
      </c>
    </row>
    <row r="116" spans="2:3" x14ac:dyDescent="0.35">
      <c r="B116" s="26" t="s">
        <v>719</v>
      </c>
      <c r="C116" s="59">
        <v>4</v>
      </c>
    </row>
    <row r="117" spans="2:3" x14ac:dyDescent="0.35">
      <c r="B117" s="26" t="s">
        <v>716</v>
      </c>
      <c r="C117" s="59">
        <v>6</v>
      </c>
    </row>
    <row r="118" spans="2:3" x14ac:dyDescent="0.35">
      <c r="B118" s="26" t="s">
        <v>711</v>
      </c>
      <c r="C118" s="59">
        <v>5</v>
      </c>
    </row>
    <row r="119" spans="2:3" x14ac:dyDescent="0.35">
      <c r="B119" s="26" t="s">
        <v>725</v>
      </c>
      <c r="C119" s="59">
        <v>3</v>
      </c>
    </row>
    <row r="120" spans="2:3" x14ac:dyDescent="0.35">
      <c r="B120" s="26" t="s">
        <v>717</v>
      </c>
      <c r="C120" s="59">
        <v>4</v>
      </c>
    </row>
    <row r="121" spans="2:3" x14ac:dyDescent="0.35">
      <c r="B121" s="26" t="s">
        <v>720</v>
      </c>
      <c r="C121" s="59">
        <v>3</v>
      </c>
    </row>
    <row r="122" spans="2:3" x14ac:dyDescent="0.35">
      <c r="B122" s="26" t="s">
        <v>714</v>
      </c>
      <c r="C122" s="59">
        <v>5</v>
      </c>
    </row>
    <row r="123" spans="2:3" x14ac:dyDescent="0.35">
      <c r="B123" s="26" t="s">
        <v>721</v>
      </c>
      <c r="C123" s="59">
        <v>5</v>
      </c>
    </row>
    <row r="124" spans="2:3" x14ac:dyDescent="0.35">
      <c r="B124" s="26" t="s">
        <v>713</v>
      </c>
      <c r="C124" s="59">
        <v>2</v>
      </c>
    </row>
    <row r="125" spans="2:3" x14ac:dyDescent="0.35">
      <c r="B125" s="26" t="s">
        <v>712</v>
      </c>
      <c r="C125" s="59">
        <v>6</v>
      </c>
    </row>
    <row r="126" spans="2:3" x14ac:dyDescent="0.35">
      <c r="B126" s="26" t="s">
        <v>722</v>
      </c>
      <c r="C126" s="59">
        <v>2</v>
      </c>
    </row>
    <row r="127" spans="2:3" x14ac:dyDescent="0.35">
      <c r="B127" s="26" t="s">
        <v>715</v>
      </c>
      <c r="C127" s="59">
        <v>6</v>
      </c>
    </row>
    <row r="128" spans="2:3" x14ac:dyDescent="0.35">
      <c r="B128" s="26" t="s">
        <v>723</v>
      </c>
      <c r="C128" s="59">
        <v>4</v>
      </c>
    </row>
    <row r="129" spans="2:3" x14ac:dyDescent="0.35">
      <c r="B129" s="26" t="s">
        <v>724</v>
      </c>
      <c r="C129" s="59">
        <v>1</v>
      </c>
    </row>
    <row r="130" spans="2:3" x14ac:dyDescent="0.35">
      <c r="B130" s="26" t="s">
        <v>718</v>
      </c>
      <c r="C130" s="59">
        <v>4</v>
      </c>
    </row>
    <row r="131" spans="2:3" x14ac:dyDescent="0.35">
      <c r="B131" s="20" t="s">
        <v>651</v>
      </c>
      <c r="C131" s="59">
        <v>59</v>
      </c>
    </row>
    <row r="132" spans="2:3" x14ac:dyDescent="0.35">
      <c r="B132" s="26" t="s">
        <v>719</v>
      </c>
      <c r="C132" s="59">
        <v>3</v>
      </c>
    </row>
    <row r="133" spans="2:3" x14ac:dyDescent="0.35">
      <c r="B133" s="26" t="s">
        <v>716</v>
      </c>
      <c r="C133" s="59">
        <v>7</v>
      </c>
    </row>
    <row r="134" spans="2:3" x14ac:dyDescent="0.35">
      <c r="B134" s="26" t="s">
        <v>711</v>
      </c>
      <c r="C134" s="59">
        <v>2</v>
      </c>
    </row>
    <row r="135" spans="2:3" x14ac:dyDescent="0.35">
      <c r="B135" s="26" t="s">
        <v>725</v>
      </c>
      <c r="C135" s="59">
        <v>5</v>
      </c>
    </row>
    <row r="136" spans="2:3" x14ac:dyDescent="0.35">
      <c r="B136" s="26" t="s">
        <v>717</v>
      </c>
      <c r="C136" s="59">
        <v>1</v>
      </c>
    </row>
    <row r="137" spans="2:3" x14ac:dyDescent="0.35">
      <c r="B137" s="26" t="s">
        <v>720</v>
      </c>
      <c r="C137" s="59">
        <v>6</v>
      </c>
    </row>
    <row r="138" spans="2:3" x14ac:dyDescent="0.35">
      <c r="B138" s="26" t="s">
        <v>714</v>
      </c>
      <c r="C138" s="59">
        <v>3</v>
      </c>
    </row>
    <row r="139" spans="2:3" x14ac:dyDescent="0.35">
      <c r="B139" s="26" t="s">
        <v>721</v>
      </c>
      <c r="C139" s="59">
        <v>8</v>
      </c>
    </row>
    <row r="140" spans="2:3" x14ac:dyDescent="0.35">
      <c r="B140" s="26" t="s">
        <v>713</v>
      </c>
      <c r="C140" s="59">
        <v>4</v>
      </c>
    </row>
    <row r="141" spans="2:3" x14ac:dyDescent="0.35">
      <c r="B141" s="26" t="s">
        <v>712</v>
      </c>
      <c r="C141" s="59">
        <v>4</v>
      </c>
    </row>
    <row r="142" spans="2:3" x14ac:dyDescent="0.35">
      <c r="B142" s="26" t="s">
        <v>722</v>
      </c>
      <c r="C142" s="59">
        <v>1</v>
      </c>
    </row>
    <row r="143" spans="2:3" x14ac:dyDescent="0.35">
      <c r="B143" s="26" t="s">
        <v>715</v>
      </c>
      <c r="C143" s="59">
        <v>5</v>
      </c>
    </row>
    <row r="144" spans="2:3" x14ac:dyDescent="0.35">
      <c r="B144" s="26" t="s">
        <v>723</v>
      </c>
      <c r="C144" s="59">
        <v>2</v>
      </c>
    </row>
    <row r="145" spans="2:3" x14ac:dyDescent="0.35">
      <c r="B145" s="26" t="s">
        <v>724</v>
      </c>
      <c r="C145" s="59">
        <v>7</v>
      </c>
    </row>
    <row r="146" spans="2:3" x14ac:dyDescent="0.35">
      <c r="B146" s="26" t="s">
        <v>718</v>
      </c>
      <c r="C146" s="59">
        <v>1</v>
      </c>
    </row>
    <row r="147" spans="2:3" x14ac:dyDescent="0.35">
      <c r="B147" s="19" t="s">
        <v>648</v>
      </c>
      <c r="C147" s="59">
        <v>159</v>
      </c>
    </row>
    <row r="148" spans="2:3" x14ac:dyDescent="0.35">
      <c r="B148" s="20" t="s">
        <v>656</v>
      </c>
      <c r="C148" s="59">
        <v>54</v>
      </c>
    </row>
    <row r="149" spans="2:3" x14ac:dyDescent="0.35">
      <c r="B149" s="26" t="s">
        <v>719</v>
      </c>
      <c r="C149" s="59">
        <v>4</v>
      </c>
    </row>
    <row r="150" spans="2:3" x14ac:dyDescent="0.35">
      <c r="B150" s="26" t="s">
        <v>716</v>
      </c>
      <c r="C150" s="59">
        <v>4</v>
      </c>
    </row>
    <row r="151" spans="2:3" x14ac:dyDescent="0.35">
      <c r="B151" s="26" t="s">
        <v>711</v>
      </c>
      <c r="C151" s="59">
        <v>2</v>
      </c>
    </row>
    <row r="152" spans="2:3" x14ac:dyDescent="0.35">
      <c r="B152" s="26" t="s">
        <v>725</v>
      </c>
      <c r="C152" s="59">
        <v>2</v>
      </c>
    </row>
    <row r="153" spans="2:3" x14ac:dyDescent="0.35">
      <c r="B153" s="26" t="s">
        <v>717</v>
      </c>
      <c r="C153" s="59">
        <v>6</v>
      </c>
    </row>
    <row r="154" spans="2:3" x14ac:dyDescent="0.35">
      <c r="B154" s="26" t="s">
        <v>720</v>
      </c>
      <c r="C154" s="59">
        <v>6</v>
      </c>
    </row>
    <row r="155" spans="2:3" x14ac:dyDescent="0.35">
      <c r="B155" s="26" t="s">
        <v>714</v>
      </c>
      <c r="C155" s="59">
        <v>3</v>
      </c>
    </row>
    <row r="156" spans="2:3" x14ac:dyDescent="0.35">
      <c r="B156" s="26" t="s">
        <v>721</v>
      </c>
      <c r="C156" s="59">
        <v>6</v>
      </c>
    </row>
    <row r="157" spans="2:3" x14ac:dyDescent="0.35">
      <c r="B157" s="26" t="s">
        <v>713</v>
      </c>
      <c r="C157" s="59">
        <v>4</v>
      </c>
    </row>
    <row r="158" spans="2:3" x14ac:dyDescent="0.35">
      <c r="B158" s="26" t="s">
        <v>712</v>
      </c>
      <c r="C158" s="59">
        <v>4</v>
      </c>
    </row>
    <row r="159" spans="2:3" x14ac:dyDescent="0.35">
      <c r="B159" s="26" t="s">
        <v>722</v>
      </c>
      <c r="C159" s="59">
        <v>6</v>
      </c>
    </row>
    <row r="160" spans="2:3" x14ac:dyDescent="0.35">
      <c r="B160" s="26" t="s">
        <v>715</v>
      </c>
      <c r="C160" s="59">
        <v>1</v>
      </c>
    </row>
    <row r="161" spans="2:3" x14ac:dyDescent="0.35">
      <c r="B161" s="26" t="s">
        <v>723</v>
      </c>
      <c r="C161" s="59">
        <v>3</v>
      </c>
    </row>
    <row r="162" spans="2:3" x14ac:dyDescent="0.35">
      <c r="B162" s="26" t="s">
        <v>724</v>
      </c>
      <c r="C162" s="59">
        <v>1</v>
      </c>
    </row>
    <row r="163" spans="2:3" x14ac:dyDescent="0.35">
      <c r="B163" s="26" t="s">
        <v>718</v>
      </c>
      <c r="C163" s="59">
        <v>2</v>
      </c>
    </row>
    <row r="164" spans="2:3" x14ac:dyDescent="0.35">
      <c r="B164" s="20" t="s">
        <v>655</v>
      </c>
      <c r="C164" s="59">
        <v>51</v>
      </c>
    </row>
    <row r="165" spans="2:3" x14ac:dyDescent="0.35">
      <c r="B165" s="26" t="s">
        <v>719</v>
      </c>
      <c r="C165" s="59">
        <v>4</v>
      </c>
    </row>
    <row r="166" spans="2:3" x14ac:dyDescent="0.35">
      <c r="B166" s="26" t="s">
        <v>716</v>
      </c>
      <c r="C166" s="59">
        <v>7</v>
      </c>
    </row>
    <row r="167" spans="2:3" x14ac:dyDescent="0.35">
      <c r="B167" s="26" t="s">
        <v>711</v>
      </c>
      <c r="C167" s="59">
        <v>2</v>
      </c>
    </row>
    <row r="168" spans="2:3" x14ac:dyDescent="0.35">
      <c r="B168" s="26" t="s">
        <v>725</v>
      </c>
      <c r="C168" s="59">
        <v>2</v>
      </c>
    </row>
    <row r="169" spans="2:3" x14ac:dyDescent="0.35">
      <c r="B169" s="26" t="s">
        <v>717</v>
      </c>
      <c r="C169" s="59">
        <v>6</v>
      </c>
    </row>
    <row r="170" spans="2:3" x14ac:dyDescent="0.35">
      <c r="B170" s="26" t="s">
        <v>720</v>
      </c>
      <c r="C170" s="59">
        <v>4</v>
      </c>
    </row>
    <row r="171" spans="2:3" x14ac:dyDescent="0.35">
      <c r="B171" s="26" t="s">
        <v>714</v>
      </c>
      <c r="C171" s="59">
        <v>3</v>
      </c>
    </row>
    <row r="172" spans="2:3" x14ac:dyDescent="0.35">
      <c r="B172" s="26" t="s">
        <v>721</v>
      </c>
      <c r="C172" s="59">
        <v>3</v>
      </c>
    </row>
    <row r="173" spans="2:3" x14ac:dyDescent="0.35">
      <c r="B173" s="26" t="s">
        <v>713</v>
      </c>
      <c r="C173" s="59">
        <v>1</v>
      </c>
    </row>
    <row r="174" spans="2:3" x14ac:dyDescent="0.35">
      <c r="B174" s="26" t="s">
        <v>712</v>
      </c>
      <c r="C174" s="59">
        <v>1</v>
      </c>
    </row>
    <row r="175" spans="2:3" x14ac:dyDescent="0.35">
      <c r="B175" s="26" t="s">
        <v>722</v>
      </c>
      <c r="C175" s="59">
        <v>1</v>
      </c>
    </row>
    <row r="176" spans="2:3" x14ac:dyDescent="0.35">
      <c r="B176" s="26" t="s">
        <v>715</v>
      </c>
      <c r="C176" s="59">
        <v>5</v>
      </c>
    </row>
    <row r="177" spans="2:3" x14ac:dyDescent="0.35">
      <c r="B177" s="26" t="s">
        <v>723</v>
      </c>
      <c r="C177" s="59">
        <v>4</v>
      </c>
    </row>
    <row r="178" spans="2:3" x14ac:dyDescent="0.35">
      <c r="B178" s="26" t="s">
        <v>724</v>
      </c>
      <c r="C178" s="59">
        <v>3</v>
      </c>
    </row>
    <row r="179" spans="2:3" x14ac:dyDescent="0.35">
      <c r="B179" s="26" t="s">
        <v>718</v>
      </c>
      <c r="C179" s="59">
        <v>5</v>
      </c>
    </row>
    <row r="180" spans="2:3" x14ac:dyDescent="0.35">
      <c r="B180" s="20" t="s">
        <v>657</v>
      </c>
      <c r="C180" s="59">
        <v>54</v>
      </c>
    </row>
    <row r="181" spans="2:3" x14ac:dyDescent="0.35">
      <c r="B181" s="26" t="s">
        <v>719</v>
      </c>
      <c r="C181" s="59">
        <v>2</v>
      </c>
    </row>
    <row r="182" spans="2:3" x14ac:dyDescent="0.35">
      <c r="B182" s="26" t="s">
        <v>716</v>
      </c>
      <c r="C182" s="59">
        <v>4</v>
      </c>
    </row>
    <row r="183" spans="2:3" x14ac:dyDescent="0.35">
      <c r="B183" s="26" t="s">
        <v>711</v>
      </c>
      <c r="C183" s="59">
        <v>1</v>
      </c>
    </row>
    <row r="184" spans="2:3" x14ac:dyDescent="0.35">
      <c r="B184" s="26" t="s">
        <v>725</v>
      </c>
      <c r="C184" s="59">
        <v>7</v>
      </c>
    </row>
    <row r="185" spans="2:3" x14ac:dyDescent="0.35">
      <c r="B185" s="26" t="s">
        <v>717</v>
      </c>
      <c r="C185" s="59">
        <v>4</v>
      </c>
    </row>
    <row r="186" spans="2:3" x14ac:dyDescent="0.35">
      <c r="B186" s="26" t="s">
        <v>720</v>
      </c>
      <c r="C186" s="59">
        <v>1</v>
      </c>
    </row>
    <row r="187" spans="2:3" x14ac:dyDescent="0.35">
      <c r="B187" s="26" t="s">
        <v>714</v>
      </c>
      <c r="C187" s="59">
        <v>2</v>
      </c>
    </row>
    <row r="188" spans="2:3" x14ac:dyDescent="0.35">
      <c r="B188" s="26" t="s">
        <v>721</v>
      </c>
      <c r="C188" s="59">
        <v>5</v>
      </c>
    </row>
    <row r="189" spans="2:3" x14ac:dyDescent="0.35">
      <c r="B189" s="26" t="s">
        <v>713</v>
      </c>
      <c r="C189" s="59">
        <v>3</v>
      </c>
    </row>
    <row r="190" spans="2:3" x14ac:dyDescent="0.35">
      <c r="B190" s="26" t="s">
        <v>712</v>
      </c>
      <c r="C190" s="59">
        <v>4</v>
      </c>
    </row>
    <row r="191" spans="2:3" x14ac:dyDescent="0.35">
      <c r="B191" s="26" t="s">
        <v>722</v>
      </c>
      <c r="C191" s="59">
        <v>6</v>
      </c>
    </row>
    <row r="192" spans="2:3" x14ac:dyDescent="0.35">
      <c r="B192" s="26" t="s">
        <v>715</v>
      </c>
      <c r="C192" s="59">
        <v>4</v>
      </c>
    </row>
    <row r="193" spans="2:3" x14ac:dyDescent="0.35">
      <c r="B193" s="26" t="s">
        <v>723</v>
      </c>
      <c r="C193" s="59">
        <v>3</v>
      </c>
    </row>
    <row r="194" spans="2:3" x14ac:dyDescent="0.35">
      <c r="B194" s="26" t="s">
        <v>724</v>
      </c>
      <c r="C194" s="59">
        <v>7</v>
      </c>
    </row>
    <row r="195" spans="2:3" x14ac:dyDescent="0.35">
      <c r="B195" s="26" t="s">
        <v>718</v>
      </c>
      <c r="C195" s="59">
        <v>1</v>
      </c>
    </row>
    <row r="196" spans="2:3" x14ac:dyDescent="0.35">
      <c r="B196" s="19" t="s">
        <v>1436</v>
      </c>
      <c r="C196" s="59">
        <v>630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A838-1F67-4E5B-8DB2-0CD51DAB8102}">
  <dimension ref="B3:C16"/>
  <sheetViews>
    <sheetView workbookViewId="0">
      <selection activeCell="H33" sqref="H33"/>
    </sheetView>
  </sheetViews>
  <sheetFormatPr defaultRowHeight="14.5" x14ac:dyDescent="0.35"/>
  <cols>
    <col min="2" max="2" width="14.7265625" bestFit="1" customWidth="1"/>
    <col min="3" max="3" width="20.1796875" bestFit="1" customWidth="1"/>
    <col min="4" max="6" width="12.7265625" bestFit="1" customWidth="1"/>
    <col min="7" max="8" width="13.81640625" bestFit="1" customWidth="1"/>
  </cols>
  <sheetData>
    <row r="3" spans="2:3" x14ac:dyDescent="0.35">
      <c r="B3" s="18" t="s">
        <v>1435</v>
      </c>
      <c r="C3" t="s">
        <v>1441</v>
      </c>
    </row>
    <row r="4" spans="2:3" x14ac:dyDescent="0.35">
      <c r="B4" s="19" t="s">
        <v>654</v>
      </c>
      <c r="C4" s="9">
        <v>1114399.1290530004</v>
      </c>
    </row>
    <row r="5" spans="2:3" x14ac:dyDescent="0.35">
      <c r="B5" s="19" t="s">
        <v>652</v>
      </c>
      <c r="C5" s="9">
        <v>919877.99783499993</v>
      </c>
    </row>
    <row r="6" spans="2:3" x14ac:dyDescent="0.35">
      <c r="B6" s="19" t="s">
        <v>658</v>
      </c>
      <c r="C6" s="9">
        <v>965704.65219440009</v>
      </c>
    </row>
    <row r="7" spans="2:3" x14ac:dyDescent="0.35">
      <c r="B7" s="19" t="s">
        <v>656</v>
      </c>
      <c r="C7" s="9">
        <v>903660.05539599981</v>
      </c>
    </row>
    <row r="8" spans="2:3" x14ac:dyDescent="0.35">
      <c r="B8" s="19" t="s">
        <v>655</v>
      </c>
      <c r="C8" s="9">
        <v>939154.91640650015</v>
      </c>
    </row>
    <row r="9" spans="2:3" x14ac:dyDescent="0.35">
      <c r="B9" s="19" t="s">
        <v>653</v>
      </c>
      <c r="C9" s="9">
        <v>1163097.3415347999</v>
      </c>
    </row>
    <row r="10" spans="2:3" x14ac:dyDescent="0.35">
      <c r="B10" s="19" t="s">
        <v>651</v>
      </c>
      <c r="C10" s="9">
        <v>888636.53039419977</v>
      </c>
    </row>
    <row r="11" spans="2:3" x14ac:dyDescent="0.35">
      <c r="B11" s="19" t="s">
        <v>649</v>
      </c>
      <c r="C11" s="9">
        <v>1015941.9619468</v>
      </c>
    </row>
    <row r="12" spans="2:3" x14ac:dyDescent="0.35">
      <c r="B12" s="19" t="s">
        <v>650</v>
      </c>
      <c r="C12" s="9">
        <v>944211.11437259987</v>
      </c>
    </row>
    <row r="13" spans="2:3" x14ac:dyDescent="0.35">
      <c r="B13" s="19" t="s">
        <v>660</v>
      </c>
      <c r="C13" s="9">
        <v>803173.10077049967</v>
      </c>
    </row>
    <row r="14" spans="2:3" x14ac:dyDescent="0.35">
      <c r="B14" s="19" t="s">
        <v>657</v>
      </c>
      <c r="C14" s="9">
        <v>1240365.0545159006</v>
      </c>
    </row>
    <row r="15" spans="2:3" x14ac:dyDescent="0.35">
      <c r="B15" s="19" t="s">
        <v>659</v>
      </c>
      <c r="C15" s="9">
        <v>764638.10100559995</v>
      </c>
    </row>
    <row r="16" spans="2:3" x14ac:dyDescent="0.35">
      <c r="B16" s="19" t="s">
        <v>1436</v>
      </c>
      <c r="C16" s="9">
        <v>11662859.955425302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6618-4788-47E7-873D-E31A0D03E0C2}">
  <dimension ref="A3:B8"/>
  <sheetViews>
    <sheetView workbookViewId="0">
      <selection activeCell="B5" sqref="B5"/>
    </sheetView>
  </sheetViews>
  <sheetFormatPr defaultRowHeight="14.5" x14ac:dyDescent="0.35"/>
  <cols>
    <col min="1" max="1" width="12.6328125" bestFit="1" customWidth="1"/>
    <col min="2" max="2" width="20.1796875" bestFit="1" customWidth="1"/>
  </cols>
  <sheetData>
    <row r="3" spans="1:2" x14ac:dyDescent="0.35">
      <c r="A3" s="18" t="s">
        <v>1435</v>
      </c>
      <c r="B3" t="s">
        <v>1441</v>
      </c>
    </row>
    <row r="4" spans="1:2" x14ac:dyDescent="0.35">
      <c r="A4" s="19" t="s">
        <v>645</v>
      </c>
      <c r="B4" s="9">
        <v>2763326.1770899007</v>
      </c>
    </row>
    <row r="5" spans="1:2" x14ac:dyDescent="0.35">
      <c r="A5" s="19" t="s">
        <v>647</v>
      </c>
      <c r="B5" s="9">
        <v>2798915.2278935979</v>
      </c>
    </row>
    <row r="6" spans="1:2" x14ac:dyDescent="0.35">
      <c r="A6" s="19" t="s">
        <v>646</v>
      </c>
      <c r="B6" s="9">
        <v>3017438.5241233986</v>
      </c>
    </row>
    <row r="7" spans="1:2" x14ac:dyDescent="0.35">
      <c r="A7" s="19" t="s">
        <v>648</v>
      </c>
      <c r="B7" s="9">
        <v>3083180.0263184006</v>
      </c>
    </row>
    <row r="8" spans="1:2" x14ac:dyDescent="0.35">
      <c r="A8" s="19" t="s">
        <v>1436</v>
      </c>
      <c r="B8" s="9">
        <v>11662859.955425298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A146-0273-4B0A-B251-495020C7E2B3}">
  <dimension ref="B3:C9"/>
  <sheetViews>
    <sheetView workbookViewId="0">
      <selection activeCell="F8" sqref="F8"/>
    </sheetView>
  </sheetViews>
  <sheetFormatPr defaultRowHeight="14.5" x14ac:dyDescent="0.35"/>
  <cols>
    <col min="2" max="2" width="12.6328125" bestFit="1" customWidth="1"/>
    <col min="3" max="3" width="20.1796875" bestFit="1" customWidth="1"/>
  </cols>
  <sheetData>
    <row r="3" spans="2:3" x14ac:dyDescent="0.35">
      <c r="B3" s="18" t="s">
        <v>1435</v>
      </c>
      <c r="C3" t="s">
        <v>1441</v>
      </c>
    </row>
    <row r="4" spans="2:3" x14ac:dyDescent="0.35">
      <c r="B4" s="19" t="s">
        <v>710</v>
      </c>
      <c r="C4" s="9">
        <v>2832838.3674197984</v>
      </c>
    </row>
    <row r="5" spans="2:3" x14ac:dyDescent="0.35">
      <c r="B5" s="19" t="s">
        <v>709</v>
      </c>
      <c r="C5" s="9">
        <v>2146576.0028109998</v>
      </c>
    </row>
    <row r="6" spans="2:3" x14ac:dyDescent="0.35">
      <c r="B6" s="19" t="s">
        <v>708</v>
      </c>
      <c r="C6" s="9">
        <v>2327736.514795199</v>
      </c>
    </row>
    <row r="7" spans="2:3" x14ac:dyDescent="0.35">
      <c r="B7" s="19" t="s">
        <v>707</v>
      </c>
      <c r="C7" s="9">
        <v>2157247.7033222998</v>
      </c>
    </row>
    <row r="8" spans="2:3" x14ac:dyDescent="0.35">
      <c r="B8" s="19" t="s">
        <v>706</v>
      </c>
      <c r="C8" s="9">
        <v>2198461.367077</v>
      </c>
    </row>
    <row r="9" spans="2:3" x14ac:dyDescent="0.35">
      <c r="B9" s="19" t="s">
        <v>1436</v>
      </c>
      <c r="C9" s="9">
        <v>11662859.955425296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1B86-7DF7-4B57-9ACE-4D66EBFD2920}">
  <dimension ref="B3:C11"/>
  <sheetViews>
    <sheetView workbookViewId="0">
      <selection activeCell="C5" sqref="C5"/>
    </sheetView>
  </sheetViews>
  <sheetFormatPr defaultRowHeight="14.5" x14ac:dyDescent="0.35"/>
  <cols>
    <col min="2" max="2" width="12.6328125" bestFit="1" customWidth="1"/>
    <col min="3" max="3" width="20.1796875" bestFit="1" customWidth="1"/>
  </cols>
  <sheetData>
    <row r="3" spans="2:3" x14ac:dyDescent="0.35">
      <c r="B3" s="18" t="s">
        <v>1435</v>
      </c>
      <c r="C3" t="s">
        <v>1441</v>
      </c>
    </row>
    <row r="4" spans="2:3" x14ac:dyDescent="0.35">
      <c r="B4" s="19" t="s">
        <v>732</v>
      </c>
      <c r="C4" s="9">
        <v>1499651.9187534009</v>
      </c>
    </row>
    <row r="5" spans="2:3" x14ac:dyDescent="0.35">
      <c r="B5" s="19" t="s">
        <v>726</v>
      </c>
      <c r="C5" s="9">
        <v>1631350.508349</v>
      </c>
    </row>
    <row r="6" spans="2:3" x14ac:dyDescent="0.35">
      <c r="B6" s="19" t="s">
        <v>730</v>
      </c>
      <c r="C6" s="9">
        <v>1808891.2202314993</v>
      </c>
    </row>
    <row r="7" spans="2:3" x14ac:dyDescent="0.35">
      <c r="B7" s="19" t="s">
        <v>731</v>
      </c>
      <c r="C7" s="9">
        <v>1623141.2818553008</v>
      </c>
    </row>
    <row r="8" spans="2:3" x14ac:dyDescent="0.35">
      <c r="B8" s="19" t="s">
        <v>728</v>
      </c>
      <c r="C8" s="9">
        <v>1848488.8110944</v>
      </c>
    </row>
    <row r="9" spans="2:3" x14ac:dyDescent="0.35">
      <c r="B9" s="19" t="s">
        <v>729</v>
      </c>
      <c r="C9" s="9">
        <v>1517164.9927628001</v>
      </c>
    </row>
    <row r="10" spans="2:3" x14ac:dyDescent="0.35">
      <c r="B10" s="19" t="s">
        <v>727</v>
      </c>
      <c r="C10" s="9">
        <v>1734171.2223789005</v>
      </c>
    </row>
    <row r="11" spans="2:3" x14ac:dyDescent="0.35">
      <c r="B11" s="19" t="s">
        <v>1436</v>
      </c>
      <c r="C11" s="9">
        <v>11662859.955425302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D278D-20BF-405E-A97B-B2EAC42C0175}">
  <dimension ref="B3:C40"/>
  <sheetViews>
    <sheetView topLeftCell="A4" workbookViewId="0">
      <selection activeCell="C14" sqref="C14"/>
    </sheetView>
  </sheetViews>
  <sheetFormatPr defaultRowHeight="14.5" x14ac:dyDescent="0.35"/>
  <cols>
    <col min="2" max="2" width="12.6328125" bestFit="1" customWidth="1"/>
    <col min="3" max="3" width="15.36328125" bestFit="1" customWidth="1"/>
  </cols>
  <sheetData>
    <row r="3" spans="2:3" x14ac:dyDescent="0.35">
      <c r="B3" s="18" t="s">
        <v>1435</v>
      </c>
      <c r="C3" t="s">
        <v>1439</v>
      </c>
    </row>
    <row r="4" spans="2:3" x14ac:dyDescent="0.35">
      <c r="B4" s="19" t="s">
        <v>1484</v>
      </c>
      <c r="C4" s="59">
        <v>224</v>
      </c>
    </row>
    <row r="5" spans="2:3" x14ac:dyDescent="0.35">
      <c r="B5" s="20" t="s">
        <v>1477</v>
      </c>
      <c r="C5" s="59">
        <v>13</v>
      </c>
    </row>
    <row r="6" spans="2:3" x14ac:dyDescent="0.35">
      <c r="B6" s="20" t="s">
        <v>1478</v>
      </c>
      <c r="C6" s="59">
        <v>17</v>
      </c>
    </row>
    <row r="7" spans="2:3" x14ac:dyDescent="0.35">
      <c r="B7" s="20" t="s">
        <v>1479</v>
      </c>
      <c r="C7" s="59">
        <v>15</v>
      </c>
    </row>
    <row r="8" spans="2:3" x14ac:dyDescent="0.35">
      <c r="B8" s="20" t="s">
        <v>1473</v>
      </c>
      <c r="C8" s="59">
        <v>24</v>
      </c>
    </row>
    <row r="9" spans="2:3" x14ac:dyDescent="0.35">
      <c r="B9" s="20" t="s">
        <v>1474</v>
      </c>
      <c r="C9" s="59">
        <v>26</v>
      </c>
    </row>
    <row r="10" spans="2:3" x14ac:dyDescent="0.35">
      <c r="B10" s="20" t="s">
        <v>1475</v>
      </c>
      <c r="C10" s="59">
        <v>21</v>
      </c>
    </row>
    <row r="11" spans="2:3" x14ac:dyDescent="0.35">
      <c r="B11" s="20" t="s">
        <v>1437</v>
      </c>
      <c r="C11" s="59">
        <v>23</v>
      </c>
    </row>
    <row r="12" spans="2:3" x14ac:dyDescent="0.35">
      <c r="B12" s="20" t="s">
        <v>1438</v>
      </c>
      <c r="C12" s="59">
        <v>24</v>
      </c>
    </row>
    <row r="13" spans="2:3" x14ac:dyDescent="0.35">
      <c r="B13" s="20" t="s">
        <v>1480</v>
      </c>
      <c r="C13" s="59">
        <v>12</v>
      </c>
    </row>
    <row r="14" spans="2:3" x14ac:dyDescent="0.35">
      <c r="B14" s="20" t="s">
        <v>1481</v>
      </c>
      <c r="C14" s="59">
        <v>18</v>
      </c>
    </row>
    <row r="15" spans="2:3" x14ac:dyDescent="0.35">
      <c r="B15" s="20" t="s">
        <v>1482</v>
      </c>
      <c r="C15" s="59">
        <v>10</v>
      </c>
    </row>
    <row r="16" spans="2:3" x14ac:dyDescent="0.35">
      <c r="B16" s="20" t="s">
        <v>1483</v>
      </c>
      <c r="C16" s="59">
        <v>21</v>
      </c>
    </row>
    <row r="17" spans="2:3" x14ac:dyDescent="0.35">
      <c r="B17" s="19" t="s">
        <v>1485</v>
      </c>
      <c r="C17" s="59">
        <v>238</v>
      </c>
    </row>
    <row r="18" spans="2:3" x14ac:dyDescent="0.35">
      <c r="B18" s="20" t="s">
        <v>1477</v>
      </c>
      <c r="C18" s="59">
        <v>23</v>
      </c>
    </row>
    <row r="19" spans="2:3" x14ac:dyDescent="0.35">
      <c r="B19" s="20" t="s">
        <v>1478</v>
      </c>
      <c r="C19" s="59">
        <v>19</v>
      </c>
    </row>
    <row r="20" spans="2:3" x14ac:dyDescent="0.35">
      <c r="B20" s="20" t="s">
        <v>1479</v>
      </c>
      <c r="C20" s="59">
        <v>22</v>
      </c>
    </row>
    <row r="21" spans="2:3" x14ac:dyDescent="0.35">
      <c r="B21" s="20" t="s">
        <v>1473</v>
      </c>
      <c r="C21" s="59">
        <v>14</v>
      </c>
    </row>
    <row r="22" spans="2:3" x14ac:dyDescent="0.35">
      <c r="B22" s="20" t="s">
        <v>1474</v>
      </c>
      <c r="C22" s="59">
        <v>23</v>
      </c>
    </row>
    <row r="23" spans="2:3" x14ac:dyDescent="0.35">
      <c r="B23" s="20" t="s">
        <v>1475</v>
      </c>
      <c r="C23" s="59">
        <v>23</v>
      </c>
    </row>
    <row r="24" spans="2:3" x14ac:dyDescent="0.35">
      <c r="B24" s="20" t="s">
        <v>1437</v>
      </c>
      <c r="C24" s="59">
        <v>14</v>
      </c>
    </row>
    <row r="25" spans="2:3" x14ac:dyDescent="0.35">
      <c r="B25" s="20" t="s">
        <v>1438</v>
      </c>
      <c r="C25" s="59">
        <v>20</v>
      </c>
    </row>
    <row r="26" spans="2:3" x14ac:dyDescent="0.35">
      <c r="B26" s="20" t="s">
        <v>1480</v>
      </c>
      <c r="C26" s="59">
        <v>18</v>
      </c>
    </row>
    <row r="27" spans="2:3" x14ac:dyDescent="0.35">
      <c r="B27" s="20" t="s">
        <v>1481</v>
      </c>
      <c r="C27" s="59">
        <v>21</v>
      </c>
    </row>
    <row r="28" spans="2:3" x14ac:dyDescent="0.35">
      <c r="B28" s="20" t="s">
        <v>1482</v>
      </c>
      <c r="C28" s="59">
        <v>20</v>
      </c>
    </row>
    <row r="29" spans="2:3" x14ac:dyDescent="0.35">
      <c r="B29" s="20" t="s">
        <v>1483</v>
      </c>
      <c r="C29" s="59">
        <v>21</v>
      </c>
    </row>
    <row r="30" spans="2:3" x14ac:dyDescent="0.35">
      <c r="B30" s="19" t="s">
        <v>1472</v>
      </c>
      <c r="C30" s="59">
        <v>168</v>
      </c>
    </row>
    <row r="31" spans="2:3" x14ac:dyDescent="0.35">
      <c r="B31" s="20" t="s">
        <v>1477</v>
      </c>
      <c r="C31" s="59">
        <v>16</v>
      </c>
    </row>
    <row r="32" spans="2:3" x14ac:dyDescent="0.35">
      <c r="B32" s="20" t="s">
        <v>1478</v>
      </c>
      <c r="C32" s="59">
        <v>16</v>
      </c>
    </row>
    <row r="33" spans="2:3" x14ac:dyDescent="0.35">
      <c r="B33" s="20" t="s">
        <v>1479</v>
      </c>
      <c r="C33" s="59">
        <v>20</v>
      </c>
    </row>
    <row r="34" spans="2:3" x14ac:dyDescent="0.35">
      <c r="B34" s="20" t="s">
        <v>1473</v>
      </c>
      <c r="C34" s="59">
        <v>25</v>
      </c>
    </row>
    <row r="35" spans="2:3" x14ac:dyDescent="0.35">
      <c r="B35" s="20" t="s">
        <v>1474</v>
      </c>
      <c r="C35" s="59">
        <v>18</v>
      </c>
    </row>
    <row r="36" spans="2:3" x14ac:dyDescent="0.35">
      <c r="B36" s="20" t="s">
        <v>1475</v>
      </c>
      <c r="C36" s="59">
        <v>24</v>
      </c>
    </row>
    <row r="37" spans="2:3" x14ac:dyDescent="0.35">
      <c r="B37" s="20" t="s">
        <v>1437</v>
      </c>
      <c r="C37" s="59">
        <v>16</v>
      </c>
    </row>
    <row r="38" spans="2:3" x14ac:dyDescent="0.35">
      <c r="B38" s="20" t="s">
        <v>1438</v>
      </c>
      <c r="C38" s="59">
        <v>21</v>
      </c>
    </row>
    <row r="39" spans="2:3" x14ac:dyDescent="0.35">
      <c r="B39" s="20" t="s">
        <v>1480</v>
      </c>
      <c r="C39" s="59">
        <v>12</v>
      </c>
    </row>
    <row r="40" spans="2:3" x14ac:dyDescent="0.35">
      <c r="B40" s="19" t="s">
        <v>1436</v>
      </c>
      <c r="C40" s="59">
        <v>630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7F60-D40A-4B27-A0DB-51D8B535B50D}">
  <dimension ref="B3:C19"/>
  <sheetViews>
    <sheetView workbookViewId="0">
      <selection activeCell="B8" sqref="B8"/>
    </sheetView>
  </sheetViews>
  <sheetFormatPr defaultRowHeight="14.5" x14ac:dyDescent="0.35"/>
  <cols>
    <col min="2" max="2" width="12.6328125" bestFit="1" customWidth="1"/>
    <col min="3" max="3" width="20.1796875" bestFit="1" customWidth="1"/>
  </cols>
  <sheetData>
    <row r="3" spans="2:3" x14ac:dyDescent="0.35">
      <c r="B3" s="18" t="s">
        <v>1435</v>
      </c>
      <c r="C3" t="s">
        <v>1441</v>
      </c>
    </row>
    <row r="4" spans="2:3" x14ac:dyDescent="0.35">
      <c r="B4" s="19" t="s">
        <v>719</v>
      </c>
      <c r="C4" s="9">
        <v>933738.58026019996</v>
      </c>
    </row>
    <row r="5" spans="2:3" x14ac:dyDescent="0.35">
      <c r="B5" s="19" t="s">
        <v>716</v>
      </c>
      <c r="C5" s="9">
        <v>914496.64703420014</v>
      </c>
    </row>
    <row r="6" spans="2:3" x14ac:dyDescent="0.35">
      <c r="B6" s="19" t="s">
        <v>711</v>
      </c>
      <c r="C6" s="9">
        <v>743278.35460930003</v>
      </c>
    </row>
    <row r="7" spans="2:3" x14ac:dyDescent="0.35">
      <c r="B7" s="19" t="s">
        <v>725</v>
      </c>
      <c r="C7" s="9">
        <v>653956.51235520002</v>
      </c>
    </row>
    <row r="8" spans="2:3" x14ac:dyDescent="0.35">
      <c r="B8" s="19" t="s">
        <v>717</v>
      </c>
      <c r="C8" s="9">
        <v>559840.40156679996</v>
      </c>
    </row>
    <row r="9" spans="2:3" x14ac:dyDescent="0.35">
      <c r="B9" s="19" t="s">
        <v>720</v>
      </c>
      <c r="C9" s="9">
        <v>909249.11503330001</v>
      </c>
    </row>
    <row r="10" spans="2:3" x14ac:dyDescent="0.35">
      <c r="B10" s="19" t="s">
        <v>714</v>
      </c>
      <c r="C10" s="9">
        <v>515352.02875560004</v>
      </c>
    </row>
    <row r="11" spans="2:3" x14ac:dyDescent="0.35">
      <c r="B11" s="19" t="s">
        <v>721</v>
      </c>
      <c r="C11" s="9">
        <v>910648.58562589972</v>
      </c>
    </row>
    <row r="12" spans="2:3" x14ac:dyDescent="0.35">
      <c r="B12" s="19" t="s">
        <v>713</v>
      </c>
      <c r="C12" s="9">
        <v>628997.54985959991</v>
      </c>
    </row>
    <row r="13" spans="2:3" x14ac:dyDescent="0.35">
      <c r="B13" s="19" t="s">
        <v>712</v>
      </c>
      <c r="C13" s="9">
        <v>967009.84048989974</v>
      </c>
    </row>
    <row r="14" spans="2:3" x14ac:dyDescent="0.35">
      <c r="B14" s="19" t="s">
        <v>722</v>
      </c>
      <c r="C14" s="9">
        <v>904712.7123424001</v>
      </c>
    </row>
    <row r="15" spans="2:3" x14ac:dyDescent="0.35">
      <c r="B15" s="19" t="s">
        <v>715</v>
      </c>
      <c r="C15" s="9">
        <v>881208.01369639987</v>
      </c>
    </row>
    <row r="16" spans="2:3" x14ac:dyDescent="0.35">
      <c r="B16" s="19" t="s">
        <v>723</v>
      </c>
      <c r="C16" s="9">
        <v>1044239.2211887998</v>
      </c>
    </row>
    <row r="17" spans="2:3" x14ac:dyDescent="0.35">
      <c r="B17" s="19" t="s">
        <v>724</v>
      </c>
      <c r="C17" s="9">
        <v>429240.0672159</v>
      </c>
    </row>
    <row r="18" spans="2:3" x14ac:dyDescent="0.35">
      <c r="B18" s="19" t="s">
        <v>718</v>
      </c>
      <c r="C18" s="9">
        <v>666892.32539180003</v>
      </c>
    </row>
    <row r="19" spans="2:3" x14ac:dyDescent="0.35">
      <c r="B19" s="19" t="s">
        <v>1436</v>
      </c>
      <c r="C19" s="9">
        <v>11662859.9554253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65"/>
  <sheetViews>
    <sheetView topLeftCell="W1" workbookViewId="0">
      <pane ySplit="1" topLeftCell="A614" activePane="bottomLeft" state="frozen"/>
      <selection pane="bottomLeft" activeCell="AD2" sqref="AD2:AD631"/>
    </sheetView>
  </sheetViews>
  <sheetFormatPr defaultRowHeight="14.5" x14ac:dyDescent="0.35"/>
  <cols>
    <col min="1" max="1" width="15.90625" bestFit="1" customWidth="1"/>
    <col min="2" max="2" width="11.7265625" style="10" customWidth="1"/>
    <col min="3" max="3" width="14.6328125" style="10" customWidth="1"/>
    <col min="4" max="4" width="19.6328125" style="3" bestFit="1" customWidth="1"/>
    <col min="5" max="5" width="12.7265625" style="10" customWidth="1"/>
    <col min="6" max="6" width="11.26953125" bestFit="1" customWidth="1"/>
    <col min="7" max="7" width="14.7265625" bestFit="1" customWidth="1"/>
    <col min="8" max="8" width="12.90625" bestFit="1" customWidth="1"/>
    <col min="9" max="9" width="18.54296875" customWidth="1"/>
    <col min="10" max="10" width="11.453125" bestFit="1" customWidth="1"/>
    <col min="11" max="11" width="13.08984375" customWidth="1"/>
    <col min="12" max="12" width="16.90625" customWidth="1"/>
    <col min="13" max="13" width="9.81640625" bestFit="1" customWidth="1"/>
    <col min="14" max="14" width="12.81640625" style="3" bestFit="1" customWidth="1"/>
    <col min="15" max="15" width="13.36328125" style="7" bestFit="1" customWidth="1"/>
    <col min="16" max="16" width="12.81640625" customWidth="1"/>
    <col min="17" max="17" width="10.26953125" style="5" customWidth="1"/>
    <col min="18" max="18" width="16" customWidth="1"/>
    <col min="19" max="19" width="16.36328125" style="7" customWidth="1"/>
    <col min="20" max="20" width="14.1796875" customWidth="1"/>
    <col min="21" max="21" width="12.81640625" customWidth="1"/>
    <col min="22" max="22" width="19.08984375" customWidth="1"/>
    <col min="23" max="23" width="12.54296875" customWidth="1"/>
    <col min="24" max="24" width="18.7265625" customWidth="1"/>
    <col min="25" max="25" width="21.1796875" customWidth="1"/>
    <col min="26" max="26" width="14.7265625" customWidth="1"/>
    <col min="27" max="27" width="11.54296875" bestFit="1" customWidth="1"/>
    <col min="28" max="28" width="10.453125" style="21" bestFit="1" customWidth="1"/>
    <col min="29" max="29" width="10.453125" bestFit="1" customWidth="1"/>
    <col min="30" max="30" width="10.453125" customWidth="1"/>
    <col min="34" max="34" width="11.08984375" style="7" bestFit="1" customWidth="1"/>
    <col min="36" max="36" width="12.6328125" bestFit="1" customWidth="1"/>
    <col min="38" max="38" width="10.08984375" style="7" bestFit="1" customWidth="1"/>
    <col min="39" max="39" width="10.08984375" bestFit="1" customWidth="1"/>
    <col min="40" max="40" width="10.453125" style="21" bestFit="1" customWidth="1"/>
  </cols>
  <sheetData>
    <row r="1" spans="1:40" s="15" customFormat="1" ht="72.5" x14ac:dyDescent="0.35">
      <c r="A1" s="12" t="s">
        <v>0</v>
      </c>
      <c r="B1" s="13" t="s">
        <v>1</v>
      </c>
      <c r="C1" s="13" t="s">
        <v>2</v>
      </c>
      <c r="D1" s="14" t="s">
        <v>1426</v>
      </c>
      <c r="E1" s="13" t="s">
        <v>1476</v>
      </c>
      <c r="F1" s="12" t="s">
        <v>3</v>
      </c>
      <c r="G1" s="12" t="s">
        <v>4</v>
      </c>
      <c r="H1" s="12" t="s">
        <v>5</v>
      </c>
      <c r="I1" s="15" t="s">
        <v>6</v>
      </c>
      <c r="J1" s="12" t="s">
        <v>7</v>
      </c>
      <c r="K1" s="12" t="s">
        <v>8</v>
      </c>
      <c r="L1" s="12" t="s">
        <v>9</v>
      </c>
      <c r="M1" s="12" t="s">
        <v>10</v>
      </c>
      <c r="N1" s="14" t="s">
        <v>11</v>
      </c>
      <c r="O1" s="16" t="s">
        <v>12</v>
      </c>
      <c r="P1" s="12" t="s">
        <v>13</v>
      </c>
      <c r="Q1" s="12" t="s">
        <v>1457</v>
      </c>
      <c r="R1" s="17" t="s">
        <v>14</v>
      </c>
      <c r="S1" s="15" t="s">
        <v>1431</v>
      </c>
      <c r="T1" s="11" t="s">
        <v>1427</v>
      </c>
      <c r="U1" s="15" t="s">
        <v>1428</v>
      </c>
      <c r="V1" s="15" t="s">
        <v>1429</v>
      </c>
      <c r="W1" s="15" t="s">
        <v>1430</v>
      </c>
      <c r="X1" s="15" t="s">
        <v>1432</v>
      </c>
      <c r="Y1" s="15" t="s">
        <v>1433</v>
      </c>
      <c r="Z1" s="15" t="s">
        <v>1434</v>
      </c>
      <c r="AA1" s="15" t="s">
        <v>1443</v>
      </c>
      <c r="AB1" s="15" t="s">
        <v>1444</v>
      </c>
      <c r="AC1" s="22" t="s">
        <v>1445</v>
      </c>
      <c r="AD1" s="22" t="s">
        <v>1489</v>
      </c>
      <c r="AE1" s="15" t="s">
        <v>1446</v>
      </c>
      <c r="AF1" s="15" t="s">
        <v>1487</v>
      </c>
      <c r="AG1" s="15" t="s">
        <v>1455</v>
      </c>
      <c r="AH1" s="11" t="s">
        <v>1458</v>
      </c>
      <c r="AI1" s="15" t="s">
        <v>1468</v>
      </c>
      <c r="AJ1" s="15" t="s">
        <v>1467</v>
      </c>
      <c r="AK1" s="15" t="s">
        <v>1459</v>
      </c>
      <c r="AL1" s="11" t="s">
        <v>1469</v>
      </c>
      <c r="AM1" s="15" t="s">
        <v>1470</v>
      </c>
      <c r="AN1" s="22" t="s">
        <v>1488</v>
      </c>
    </row>
    <row r="2" spans="1:40" x14ac:dyDescent="0.35">
      <c r="A2" t="s">
        <v>20</v>
      </c>
      <c r="B2" s="21">
        <v>44928</v>
      </c>
      <c r="C2" s="10">
        <v>44931</v>
      </c>
      <c r="D2" s="3">
        <f t="shared" ref="D2:D65" si="0">DATEDIF(B2,C2,"d")</f>
        <v>3</v>
      </c>
      <c r="E2" s="10" t="str">
        <f t="shared" ref="E2:E65" si="1">"Q"&amp;ROUNDUP(MONTH(B2)/3,0)&amp; "-" &amp;YEAR(B2)</f>
        <v>Q1-2023</v>
      </c>
      <c r="F2" t="s">
        <v>647</v>
      </c>
      <c r="G2" t="s">
        <v>652</v>
      </c>
      <c r="H2" t="s">
        <v>666</v>
      </c>
      <c r="I2" t="s">
        <v>700</v>
      </c>
      <c r="J2" t="s">
        <v>709</v>
      </c>
      <c r="K2" t="s">
        <v>716</v>
      </c>
      <c r="L2" t="s">
        <v>730</v>
      </c>
      <c r="M2" t="s">
        <v>738</v>
      </c>
      <c r="N2" s="3">
        <v>315.87</v>
      </c>
      <c r="O2" s="3">
        <v>591.67999999999995</v>
      </c>
      <c r="P2" s="6">
        <v>0</v>
      </c>
      <c r="Q2" s="6">
        <f>IF(Table1[[#This Row],[DiscountPct]]&gt;25%,25%,Table1[[#This Row],[DiscountPct]])</f>
        <v>0</v>
      </c>
      <c r="R2" s="5">
        <v>7</v>
      </c>
      <c r="S2" s="6">
        <f t="shared" ref="S2:S65" si="2">(O2-N2)/N2</f>
        <v>0.87317567353658132</v>
      </c>
      <c r="T2" s="8">
        <f t="shared" ref="T2:T65" si="3">O2*R2*(1-P2)</f>
        <v>4141.7599999999993</v>
      </c>
      <c r="U2" s="8">
        <f t="shared" ref="U2:U65" si="4">N2*R2</f>
        <v>2211.09</v>
      </c>
      <c r="V2" s="9">
        <f t="shared" ref="V2:V65" si="5">T2-U2</f>
        <v>1930.6699999999992</v>
      </c>
      <c r="W2" s="6">
        <f t="shared" ref="W2:W65" si="6">V2/T2</f>
        <v>0.46614724175229844</v>
      </c>
      <c r="X2" t="str" cm="1">
        <f t="array" ref="X2">_xlfn.IFS(S2&lt;=25%, "Low", S2&lt;=75%, "Medium", S2&gt;75%, "High")</f>
        <v>High</v>
      </c>
      <c r="Y2" s="8">
        <f>Table1[[#This Row],[Quantity]]*(Table1[[#This Row],[UnitPrice]]*(1-Table1[[#This Row],[DiscountPct]]))</f>
        <v>4141.7599999999993</v>
      </c>
      <c r="Z2" s="9">
        <f t="shared" ref="Z2:Z65" si="7">Y2-(N2*R2)</f>
        <v>1930.6699999999992</v>
      </c>
      <c r="AA2">
        <f>COUNTIF($G$2:G3,G2)</f>
        <v>1</v>
      </c>
      <c r="AB2" s="21">
        <f t="shared" ref="AB2:AB65" si="8">IF(AA2=1,B2,AB1)</f>
        <v>44928</v>
      </c>
      <c r="AC2" s="21">
        <f t="shared" ref="AC2:AC65" si="9">EOMONTH(AB2,0)</f>
        <v>44957</v>
      </c>
      <c r="AD2" s="5">
        <f>(Table1[[#This Row],[OrderDate]]-Table1[[#This Row],[Date of first order]])/30</f>
        <v>0</v>
      </c>
      <c r="AE2" t="str">
        <f t="shared" ref="AE2:AE65" si="10">IF(D2&lt;=7,"Good","Poor")</f>
        <v>Good</v>
      </c>
      <c r="AF2">
        <f>COUNTIF($G$2:G3,Table1[[#This Row],[Country]])</f>
        <v>1</v>
      </c>
      <c r="AG2" t="str">
        <f t="shared" ref="AG2:AG65" si="11">IF(P2&gt;20%,"True","False")</f>
        <v>False</v>
      </c>
      <c r="AH2" s="7">
        <f>Table1[[#This Row],[UnitPrice]]*(1-Table1[[#This Row],[Disc Scenario]])*Table1[[#This Row],[Quantity]]</f>
        <v>4141.7599999999993</v>
      </c>
      <c r="AI2">
        <f>ROUNDDOWN((Table1[[#This Row],[Quantity]]*(1+20%)),0)</f>
        <v>8</v>
      </c>
      <c r="AJ2" s="7">
        <f>Table1[[#This Row],[Quantity increase by 20%]]*Table1[[#This Row],[UnitPrice]]</f>
        <v>4733.4399999999996</v>
      </c>
      <c r="AK2">
        <f>ROUNDDOWN(Table1[[#This Row],[Quantity]]*(1+20%),0)</f>
        <v>8</v>
      </c>
      <c r="AL2" s="7">
        <f>Table1[[#This Row],[UnitCost]]*(1+15%)</f>
        <v>363.25049999999999</v>
      </c>
      <c r="AM2" s="9">
        <f>Table1[[#This Row],[Quantity]]*Table1[[#This Row],[Cost of unit by inflation 15%]]</f>
        <v>2542.7534999999998</v>
      </c>
      <c r="AN2" s="21" cm="1">
        <f t="array" ref="AN2">_xlfn.UNIQUE(AC2)</f>
        <v>44957</v>
      </c>
    </row>
    <row r="3" spans="1:40" x14ac:dyDescent="0.35">
      <c r="A3" t="s">
        <v>610</v>
      </c>
      <c r="B3" s="21">
        <v>44933</v>
      </c>
      <c r="C3" s="10">
        <v>44956</v>
      </c>
      <c r="D3" s="3">
        <f t="shared" si="0"/>
        <v>23</v>
      </c>
      <c r="E3" s="10" t="str">
        <f t="shared" si="1"/>
        <v>Q1-2023</v>
      </c>
      <c r="F3" t="s">
        <v>645</v>
      </c>
      <c r="G3" t="s">
        <v>660</v>
      </c>
      <c r="H3" t="s">
        <v>694</v>
      </c>
      <c r="I3" t="s">
        <v>703</v>
      </c>
      <c r="J3" t="s">
        <v>707</v>
      </c>
      <c r="K3" t="s">
        <v>719</v>
      </c>
      <c r="L3" t="s">
        <v>727</v>
      </c>
      <c r="M3" t="s">
        <v>1326</v>
      </c>
      <c r="N3" s="3">
        <v>299.02</v>
      </c>
      <c r="O3" s="3">
        <v>724.7</v>
      </c>
      <c r="P3" s="6">
        <v>0.14000000000000001</v>
      </c>
      <c r="Q3" s="6">
        <f>IF(Table1[[#This Row],[DiscountPct]]&gt;25%,25%,Table1[[#This Row],[DiscountPct]])</f>
        <v>0.14000000000000001</v>
      </c>
      <c r="R3" s="5">
        <v>5</v>
      </c>
      <c r="S3" s="6">
        <f t="shared" si="2"/>
        <v>1.4235837067754669</v>
      </c>
      <c r="T3" s="8">
        <f t="shared" si="3"/>
        <v>3116.21</v>
      </c>
      <c r="U3" s="8">
        <f t="shared" si="4"/>
        <v>1495.1</v>
      </c>
      <c r="V3" s="9">
        <f t="shared" si="5"/>
        <v>1621.1100000000001</v>
      </c>
      <c r="W3" s="6">
        <f t="shared" si="6"/>
        <v>0.52021847051386139</v>
      </c>
      <c r="X3" t="str" cm="1">
        <f t="array" ref="X3">_xlfn.IFS(S3&lt;=25%, "Low", S3&lt;=75%, "Medium", S3&gt;75%, "High")</f>
        <v>High</v>
      </c>
      <c r="Y3" s="8">
        <f>Table1[[#This Row],[Quantity]]*(Table1[[#This Row],[UnitPrice]]*(1-Table1[[#This Row],[DiscountPct]]))</f>
        <v>3116.2100000000005</v>
      </c>
      <c r="Z3" s="9">
        <f t="shared" si="7"/>
        <v>1621.1100000000006</v>
      </c>
      <c r="AA3">
        <f>COUNTIF($G$2:G4,G3)</f>
        <v>1</v>
      </c>
      <c r="AB3" s="21">
        <f t="shared" si="8"/>
        <v>44933</v>
      </c>
      <c r="AC3" s="21">
        <f t="shared" si="9"/>
        <v>44957</v>
      </c>
      <c r="AD3" s="5">
        <f>(Table1[[#This Row],[OrderDate]]-Table1[[#This Row],[Date of first order]])/30</f>
        <v>0</v>
      </c>
      <c r="AE3" t="str">
        <f t="shared" si="10"/>
        <v>Poor</v>
      </c>
      <c r="AF3">
        <f>COUNTIF(AE$2:AE4,AE3)</f>
        <v>2</v>
      </c>
      <c r="AG3" t="str">
        <f t="shared" si="11"/>
        <v>False</v>
      </c>
      <c r="AH3" s="7">
        <f>Table1[[#This Row],[UnitPrice]]*(1-Table1[[#This Row],[Disc Scenario]])*Table1[[#This Row],[Quantity]]</f>
        <v>3116.2100000000005</v>
      </c>
      <c r="AI3">
        <f>ROUNDDOWN((Table1[[#This Row],[Quantity]]*(1+20%)),0)</f>
        <v>6</v>
      </c>
      <c r="AJ3" s="7">
        <f>Table1[[#This Row],[Quantity increase by 20%]]*Table1[[#This Row],[UnitPrice]]</f>
        <v>4348.2000000000007</v>
      </c>
      <c r="AK3">
        <f>ROUNDDOWN(Table1[[#This Row],[Quantity]]*(1+20%),0)</f>
        <v>6</v>
      </c>
      <c r="AL3" s="7">
        <f>Table1[[#This Row],[UnitCost]]*(1+15%)</f>
        <v>343.87299999999993</v>
      </c>
      <c r="AM3" s="9">
        <f>Table1[[#This Row],[Quantity]]*Table1[[#This Row],[Cost of unit by inflation 15%]]</f>
        <v>1719.3649999999998</v>
      </c>
      <c r="AN3" s="21" cm="1">
        <f t="array" ref="AN3">_xlfn.UNIQUE(AC3)</f>
        <v>44957</v>
      </c>
    </row>
    <row r="4" spans="1:40" x14ac:dyDescent="0.35">
      <c r="A4" t="s">
        <v>322</v>
      </c>
      <c r="B4" s="21">
        <v>44936</v>
      </c>
      <c r="C4" s="10">
        <v>44955</v>
      </c>
      <c r="D4" s="3">
        <f t="shared" si="0"/>
        <v>19</v>
      </c>
      <c r="E4" s="10" t="str">
        <f t="shared" si="1"/>
        <v>Q1-2023</v>
      </c>
      <c r="F4" t="s">
        <v>648</v>
      </c>
      <c r="G4" t="s">
        <v>656</v>
      </c>
      <c r="H4" t="s">
        <v>678</v>
      </c>
      <c r="I4" t="s">
        <v>702</v>
      </c>
      <c r="J4" t="s">
        <v>710</v>
      </c>
      <c r="K4" t="s">
        <v>725</v>
      </c>
      <c r="L4" t="s">
        <v>730</v>
      </c>
      <c r="M4" t="s">
        <v>1040</v>
      </c>
      <c r="N4" s="3">
        <v>401.66</v>
      </c>
      <c r="O4" s="3">
        <v>772.09</v>
      </c>
      <c r="P4" s="6">
        <v>8.8999999999999996E-2</v>
      </c>
      <c r="Q4" s="6">
        <f>IF(Table1[[#This Row],[DiscountPct]]&gt;25%,25%,Table1[[#This Row],[DiscountPct]])</f>
        <v>8.8999999999999996E-2</v>
      </c>
      <c r="R4" s="5">
        <v>14</v>
      </c>
      <c r="S4" s="6">
        <f t="shared" si="2"/>
        <v>0.92224767216053372</v>
      </c>
      <c r="T4" s="8">
        <f t="shared" si="3"/>
        <v>9847.2358600000007</v>
      </c>
      <c r="U4" s="8">
        <f t="shared" si="4"/>
        <v>5623.2400000000007</v>
      </c>
      <c r="V4" s="9">
        <f t="shared" si="5"/>
        <v>4223.99586</v>
      </c>
      <c r="W4" s="6">
        <f t="shared" si="6"/>
        <v>0.42895244107619046</v>
      </c>
      <c r="X4" t="str" cm="1">
        <f t="array" ref="X4">_xlfn.IFS(S4&lt;=25%, "Low", S4&lt;=75%, "Medium", S4&gt;75%, "High")</f>
        <v>High</v>
      </c>
      <c r="Y4" s="8">
        <f>Table1[[#This Row],[Quantity]]*(Table1[[#This Row],[UnitPrice]]*(1-Table1[[#This Row],[DiscountPct]]))</f>
        <v>9847.2358600000007</v>
      </c>
      <c r="Z4" s="9">
        <f t="shared" si="7"/>
        <v>4223.99586</v>
      </c>
      <c r="AA4">
        <f>COUNTIF($G$2:G5,G4)</f>
        <v>1</v>
      </c>
      <c r="AB4" s="21">
        <f t="shared" si="8"/>
        <v>44936</v>
      </c>
      <c r="AC4" s="21">
        <f t="shared" si="9"/>
        <v>44957</v>
      </c>
      <c r="AD4" s="5">
        <f>(Table1[[#This Row],[OrderDate]]-Table1[[#This Row],[Date of first order]])/30</f>
        <v>0</v>
      </c>
      <c r="AE4" t="str">
        <f t="shared" si="10"/>
        <v>Poor</v>
      </c>
      <c r="AF4">
        <f>COUNTIF(AE$2:AE5,AE4)</f>
        <v>3</v>
      </c>
      <c r="AG4" t="str">
        <f t="shared" si="11"/>
        <v>False</v>
      </c>
      <c r="AH4" s="7">
        <f>Table1[[#This Row],[UnitPrice]]*(1-Table1[[#This Row],[Disc Scenario]])*Table1[[#This Row],[Quantity]]</f>
        <v>9847.2358600000007</v>
      </c>
      <c r="AI4">
        <f>ROUNDDOWN((Table1[[#This Row],[Quantity]]*(1+20%)),0)</f>
        <v>16</v>
      </c>
      <c r="AJ4" s="7">
        <f>Table1[[#This Row],[Quantity increase by 20%]]*Table1[[#This Row],[UnitPrice]]</f>
        <v>12353.44</v>
      </c>
      <c r="AK4">
        <f>ROUNDDOWN(Table1[[#This Row],[Quantity]]*(1+20%),0)</f>
        <v>16</v>
      </c>
      <c r="AL4" s="7">
        <f>Table1[[#This Row],[UnitCost]]*(1+15%)</f>
        <v>461.90899999999999</v>
      </c>
      <c r="AM4" s="9">
        <f>Table1[[#This Row],[Quantity]]*Table1[[#This Row],[Cost of unit by inflation 15%]]</f>
        <v>6466.7259999999997</v>
      </c>
      <c r="AN4" s="21" cm="1">
        <f t="array" ref="AN4">_xlfn.UNIQUE(AC4)</f>
        <v>44957</v>
      </c>
    </row>
    <row r="5" spans="1:40" x14ac:dyDescent="0.35">
      <c r="A5" t="s">
        <v>540</v>
      </c>
      <c r="B5" s="21">
        <v>44938</v>
      </c>
      <c r="C5" s="10">
        <v>44952</v>
      </c>
      <c r="D5" s="3">
        <f t="shared" si="0"/>
        <v>14</v>
      </c>
      <c r="E5" s="10" t="str">
        <f t="shared" si="1"/>
        <v>Q1-2023</v>
      </c>
      <c r="F5" t="s">
        <v>646</v>
      </c>
      <c r="G5" t="s">
        <v>658</v>
      </c>
      <c r="H5" t="s">
        <v>675</v>
      </c>
      <c r="I5" t="s">
        <v>702</v>
      </c>
      <c r="J5" t="s">
        <v>706</v>
      </c>
      <c r="K5" t="s">
        <v>723</v>
      </c>
      <c r="L5" t="s">
        <v>727</v>
      </c>
      <c r="M5" t="s">
        <v>1257</v>
      </c>
      <c r="N5" s="3">
        <v>1083.0899999999999</v>
      </c>
      <c r="O5" s="3">
        <v>1425.87</v>
      </c>
      <c r="P5" s="6">
        <v>0</v>
      </c>
      <c r="Q5" s="6">
        <f>IF(Table1[[#This Row],[DiscountPct]]&gt;25%,25%,Table1[[#This Row],[DiscountPct]])</f>
        <v>0</v>
      </c>
      <c r="R5" s="5">
        <v>8</v>
      </c>
      <c r="S5" s="6">
        <f t="shared" si="2"/>
        <v>0.31648339473173975</v>
      </c>
      <c r="T5" s="8">
        <f t="shared" si="3"/>
        <v>11406.96</v>
      </c>
      <c r="U5" s="8">
        <f t="shared" si="4"/>
        <v>8664.7199999999993</v>
      </c>
      <c r="V5" s="9">
        <f t="shared" si="5"/>
        <v>2742.24</v>
      </c>
      <c r="W5" s="6">
        <f t="shared" si="6"/>
        <v>0.24040059752992909</v>
      </c>
      <c r="X5" t="str" cm="1">
        <f t="array" ref="X5">_xlfn.IFS(S5&lt;=25%, "Low", S5&lt;=75%, "Medium", S5&gt;75%, "High")</f>
        <v>Medium</v>
      </c>
      <c r="Y5" s="8">
        <f>Table1[[#This Row],[Quantity]]*(Table1[[#This Row],[UnitPrice]]*(1-Table1[[#This Row],[DiscountPct]]))</f>
        <v>11406.96</v>
      </c>
      <c r="Z5" s="9">
        <f t="shared" si="7"/>
        <v>2742.24</v>
      </c>
      <c r="AA5">
        <f>COUNTIF($G$2:G6,G5)</f>
        <v>1</v>
      </c>
      <c r="AB5" s="21">
        <f t="shared" si="8"/>
        <v>44938</v>
      </c>
      <c r="AC5" s="21">
        <f t="shared" si="9"/>
        <v>44957</v>
      </c>
      <c r="AD5" s="5">
        <f>(Table1[[#This Row],[OrderDate]]-Table1[[#This Row],[Date of first order]])/30</f>
        <v>0</v>
      </c>
      <c r="AE5" t="str">
        <f t="shared" si="10"/>
        <v>Poor</v>
      </c>
      <c r="AF5">
        <f>COUNTIF(AE$2:AE6,AE5)</f>
        <v>3</v>
      </c>
      <c r="AG5" t="str">
        <f t="shared" si="11"/>
        <v>False</v>
      </c>
      <c r="AH5" s="7">
        <f>Table1[[#This Row],[UnitPrice]]*(1-Table1[[#This Row],[Disc Scenario]])*Table1[[#This Row],[Quantity]]</f>
        <v>11406.96</v>
      </c>
      <c r="AI5">
        <f>ROUNDDOWN((Table1[[#This Row],[Quantity]]*(1+20%)),0)</f>
        <v>9</v>
      </c>
      <c r="AJ5" s="7">
        <f>Table1[[#This Row],[Quantity increase by 20%]]*Table1[[#This Row],[UnitPrice]]</f>
        <v>12832.829999999998</v>
      </c>
      <c r="AK5">
        <f>ROUNDDOWN(Table1[[#This Row],[Quantity]]*(1+20%),0)</f>
        <v>9</v>
      </c>
      <c r="AL5" s="7">
        <f>Table1[[#This Row],[UnitCost]]*(1+15%)</f>
        <v>1245.5534999999998</v>
      </c>
      <c r="AM5" s="9">
        <f>Table1[[#This Row],[Quantity]]*Table1[[#This Row],[Cost of unit by inflation 15%]]</f>
        <v>9964.4279999999981</v>
      </c>
      <c r="AN5" s="21" cm="1">
        <f t="array" ref="AN5">_xlfn.UNIQUE(AC5)</f>
        <v>44957</v>
      </c>
    </row>
    <row r="6" spans="1:40" x14ac:dyDescent="0.35">
      <c r="A6" t="s">
        <v>213</v>
      </c>
      <c r="B6" s="21">
        <v>44939</v>
      </c>
      <c r="C6" s="10">
        <v>44945</v>
      </c>
      <c r="D6" s="3">
        <f t="shared" si="0"/>
        <v>6</v>
      </c>
      <c r="E6" s="10" t="str">
        <f t="shared" si="1"/>
        <v>Q1-2023</v>
      </c>
      <c r="F6" t="s">
        <v>647</v>
      </c>
      <c r="G6" t="s">
        <v>659</v>
      </c>
      <c r="H6" t="s">
        <v>676</v>
      </c>
      <c r="I6" t="s">
        <v>700</v>
      </c>
      <c r="J6" t="s">
        <v>710</v>
      </c>
      <c r="K6" t="s">
        <v>721</v>
      </c>
      <c r="L6" t="s">
        <v>729</v>
      </c>
      <c r="M6" t="s">
        <v>931</v>
      </c>
      <c r="N6" s="3">
        <v>833.57</v>
      </c>
      <c r="O6" s="3">
        <v>881.57</v>
      </c>
      <c r="P6" s="6">
        <v>5.7000000000000002E-2</v>
      </c>
      <c r="Q6" s="6">
        <f>IF(Table1[[#This Row],[DiscountPct]]&gt;25%,25%,Table1[[#This Row],[DiscountPct]])</f>
        <v>5.7000000000000002E-2</v>
      </c>
      <c r="R6" s="5">
        <v>18</v>
      </c>
      <c r="S6" s="6">
        <f t="shared" si="2"/>
        <v>5.7583646244466567E-2</v>
      </c>
      <c r="T6" s="8">
        <f t="shared" si="3"/>
        <v>14963.769179999999</v>
      </c>
      <c r="U6" s="8">
        <f t="shared" si="4"/>
        <v>15004.26</v>
      </c>
      <c r="V6" s="9">
        <f t="shared" si="5"/>
        <v>-40.490820000000895</v>
      </c>
      <c r="W6" s="6">
        <f t="shared" si="6"/>
        <v>-2.7059238560107821E-3</v>
      </c>
      <c r="X6" t="str" cm="1">
        <f t="array" ref="X6">_xlfn.IFS(S6&lt;=25%, "Low", S6&lt;=75%, "Medium", S6&gt;75%, "High")</f>
        <v>Low</v>
      </c>
      <c r="Y6" s="8">
        <f>Table1[[#This Row],[Quantity]]*(Table1[[#This Row],[UnitPrice]]*(1-Table1[[#This Row],[DiscountPct]]))</f>
        <v>14963.769179999999</v>
      </c>
      <c r="Z6" s="9">
        <f t="shared" si="7"/>
        <v>-40.490820000000895</v>
      </c>
      <c r="AA6">
        <f>COUNTIF($G$2:G7,G6)</f>
        <v>1</v>
      </c>
      <c r="AB6" s="21">
        <f t="shared" si="8"/>
        <v>44939</v>
      </c>
      <c r="AC6" s="21">
        <f t="shared" si="9"/>
        <v>44957</v>
      </c>
      <c r="AD6" s="5">
        <f>(Table1[[#This Row],[OrderDate]]-Table1[[#This Row],[Date of first order]])/30</f>
        <v>0</v>
      </c>
      <c r="AE6" t="str">
        <f t="shared" si="10"/>
        <v>Good</v>
      </c>
      <c r="AF6">
        <f>COUNTIF(AE$2:AE7,AE6)</f>
        <v>3</v>
      </c>
      <c r="AG6" t="str">
        <f t="shared" si="11"/>
        <v>False</v>
      </c>
      <c r="AH6" s="7">
        <f>Table1[[#This Row],[UnitPrice]]*(1-Table1[[#This Row],[Disc Scenario]])*Table1[[#This Row],[Quantity]]</f>
        <v>14963.769179999999</v>
      </c>
      <c r="AI6">
        <f>ROUNDDOWN((Table1[[#This Row],[Quantity]]*(1+20%)),0)</f>
        <v>21</v>
      </c>
      <c r="AJ6" s="7">
        <f>Table1[[#This Row],[Quantity increase by 20%]]*Table1[[#This Row],[UnitPrice]]</f>
        <v>18512.97</v>
      </c>
      <c r="AK6">
        <f>ROUNDDOWN(Table1[[#This Row],[Quantity]]*(1+20%),0)</f>
        <v>21</v>
      </c>
      <c r="AL6" s="7">
        <f>Table1[[#This Row],[UnitCost]]*(1+15%)</f>
        <v>958.60550000000001</v>
      </c>
      <c r="AM6" s="9">
        <f>Table1[[#This Row],[Quantity]]*Table1[[#This Row],[Cost of unit by inflation 15%]]</f>
        <v>17254.899000000001</v>
      </c>
      <c r="AN6" s="21" cm="1">
        <f t="array" ref="AN6">_xlfn.UNIQUE(AC6)</f>
        <v>44957</v>
      </c>
    </row>
    <row r="7" spans="1:40" x14ac:dyDescent="0.35">
      <c r="A7" t="s">
        <v>22</v>
      </c>
      <c r="B7" s="21">
        <v>44939</v>
      </c>
      <c r="C7" s="10">
        <v>44941</v>
      </c>
      <c r="D7" s="3">
        <f t="shared" si="0"/>
        <v>2</v>
      </c>
      <c r="E7" s="10" t="str">
        <f t="shared" si="1"/>
        <v>Q1-2023</v>
      </c>
      <c r="F7" t="s">
        <v>645</v>
      </c>
      <c r="G7" t="s">
        <v>650</v>
      </c>
      <c r="H7" t="s">
        <v>668</v>
      </c>
      <c r="I7" t="s">
        <v>701</v>
      </c>
      <c r="J7" t="s">
        <v>707</v>
      </c>
      <c r="K7" t="s">
        <v>718</v>
      </c>
      <c r="L7" t="s">
        <v>727</v>
      </c>
      <c r="M7" t="s">
        <v>740</v>
      </c>
      <c r="N7" s="3">
        <v>28.38</v>
      </c>
      <c r="O7" s="3">
        <v>47.22</v>
      </c>
      <c r="P7" s="6">
        <v>0.19400000000000001</v>
      </c>
      <c r="Q7" s="6">
        <f>IF(Table1[[#This Row],[DiscountPct]]&gt;25%,25%,Table1[[#This Row],[DiscountPct]])</f>
        <v>0.19400000000000001</v>
      </c>
      <c r="R7" s="5">
        <v>18</v>
      </c>
      <c r="S7" s="6">
        <f t="shared" si="2"/>
        <v>0.66384778012684986</v>
      </c>
      <c r="T7" s="8">
        <f t="shared" si="3"/>
        <v>685.06776000000002</v>
      </c>
      <c r="U7" s="8">
        <f t="shared" si="4"/>
        <v>510.84</v>
      </c>
      <c r="V7" s="9">
        <f t="shared" si="5"/>
        <v>174.22776000000005</v>
      </c>
      <c r="W7" s="6">
        <f t="shared" si="6"/>
        <v>0.25432193743871417</v>
      </c>
      <c r="X7" t="str" cm="1">
        <f t="array" ref="X7">_xlfn.IFS(S7&lt;=25%, "Low", S7&lt;=75%, "Medium", S7&gt;75%, "High")</f>
        <v>Medium</v>
      </c>
      <c r="Y7" s="8">
        <f>Table1[[#This Row],[Quantity]]*(Table1[[#This Row],[UnitPrice]]*(1-Table1[[#This Row],[DiscountPct]]))</f>
        <v>685.06776000000002</v>
      </c>
      <c r="Z7" s="9">
        <f t="shared" si="7"/>
        <v>174.22776000000005</v>
      </c>
      <c r="AA7">
        <f>COUNTIF($G$2:G8,G7)</f>
        <v>1</v>
      </c>
      <c r="AB7" s="21">
        <f t="shared" si="8"/>
        <v>44939</v>
      </c>
      <c r="AC7" s="21">
        <f t="shared" si="9"/>
        <v>44957</v>
      </c>
      <c r="AD7" s="5">
        <f>(Table1[[#This Row],[OrderDate]]-Table1[[#This Row],[Date of first order]])/30</f>
        <v>0</v>
      </c>
      <c r="AE7" t="str">
        <f t="shared" si="10"/>
        <v>Good</v>
      </c>
      <c r="AF7">
        <f>COUNTIF(AE$2:AE8,AE7)</f>
        <v>3</v>
      </c>
      <c r="AG7" t="str">
        <f t="shared" si="11"/>
        <v>False</v>
      </c>
      <c r="AH7" s="7">
        <f>Table1[[#This Row],[UnitPrice]]*(1-Table1[[#This Row],[Disc Scenario]])*Table1[[#This Row],[Quantity]]</f>
        <v>685.06776000000002</v>
      </c>
      <c r="AI7">
        <f>ROUNDDOWN((Table1[[#This Row],[Quantity]]*(1+20%)),0)</f>
        <v>21</v>
      </c>
      <c r="AJ7" s="7">
        <f>Table1[[#This Row],[Quantity increase by 20%]]*Table1[[#This Row],[UnitPrice]]</f>
        <v>991.62</v>
      </c>
      <c r="AK7">
        <f>ROUNDDOWN(Table1[[#This Row],[Quantity]]*(1+20%),0)</f>
        <v>21</v>
      </c>
      <c r="AL7" s="7">
        <f>Table1[[#This Row],[UnitCost]]*(1+15%)</f>
        <v>32.636999999999993</v>
      </c>
      <c r="AM7" s="9">
        <f>Table1[[#This Row],[Quantity]]*Table1[[#This Row],[Cost of unit by inflation 15%]]</f>
        <v>587.46599999999989</v>
      </c>
      <c r="AN7" s="21" cm="1">
        <f t="array" ref="AN7">_xlfn.UNIQUE(AC7)</f>
        <v>44957</v>
      </c>
    </row>
    <row r="8" spans="1:40" x14ac:dyDescent="0.35">
      <c r="A8" t="s">
        <v>464</v>
      </c>
      <c r="B8" s="21">
        <v>44945</v>
      </c>
      <c r="C8" s="10">
        <v>44960</v>
      </c>
      <c r="D8" s="3">
        <f t="shared" si="0"/>
        <v>15</v>
      </c>
      <c r="E8" s="10" t="str">
        <f t="shared" si="1"/>
        <v>Q1-2023</v>
      </c>
      <c r="F8" t="s">
        <v>648</v>
      </c>
      <c r="G8" t="s">
        <v>657</v>
      </c>
      <c r="H8" t="s">
        <v>682</v>
      </c>
      <c r="I8" t="s">
        <v>705</v>
      </c>
      <c r="J8" t="s">
        <v>709</v>
      </c>
      <c r="K8" t="s">
        <v>714</v>
      </c>
      <c r="L8" t="s">
        <v>732</v>
      </c>
      <c r="M8" t="s">
        <v>1181</v>
      </c>
      <c r="N8" s="3">
        <v>873.06</v>
      </c>
      <c r="O8" s="3">
        <v>2101.5500000000002</v>
      </c>
      <c r="P8" s="6">
        <v>6.6000000000000003E-2</v>
      </c>
      <c r="Q8" s="6">
        <f>IF(Table1[[#This Row],[DiscountPct]]&gt;25%,25%,Table1[[#This Row],[DiscountPct]])</f>
        <v>6.6000000000000003E-2</v>
      </c>
      <c r="R8" s="5">
        <v>10</v>
      </c>
      <c r="S8" s="6">
        <f t="shared" si="2"/>
        <v>1.4071083316152386</v>
      </c>
      <c r="T8" s="8">
        <f t="shared" si="3"/>
        <v>19628.476999999999</v>
      </c>
      <c r="U8" s="8">
        <f t="shared" si="4"/>
        <v>8730.5999999999985</v>
      </c>
      <c r="V8" s="9">
        <f t="shared" si="5"/>
        <v>10897.877</v>
      </c>
      <c r="W8" s="6">
        <f t="shared" si="6"/>
        <v>0.55520746719167269</v>
      </c>
      <c r="X8" t="str" cm="1">
        <f t="array" ref="X8">_xlfn.IFS(S8&lt;=25%, "Low", S8&lt;=75%, "Medium", S8&gt;75%, "High")</f>
        <v>High</v>
      </c>
      <c r="Y8" s="8">
        <f>Table1[[#This Row],[Quantity]]*(Table1[[#This Row],[UnitPrice]]*(1-Table1[[#This Row],[DiscountPct]]))</f>
        <v>19628.476999999999</v>
      </c>
      <c r="Z8" s="9">
        <f t="shared" si="7"/>
        <v>10897.877</v>
      </c>
      <c r="AA8">
        <f>COUNTIF($G$2:G9,G8)</f>
        <v>1</v>
      </c>
      <c r="AB8" s="21">
        <f t="shared" si="8"/>
        <v>44945</v>
      </c>
      <c r="AC8" s="21">
        <f t="shared" si="9"/>
        <v>44957</v>
      </c>
      <c r="AD8" s="5">
        <f>(Table1[[#This Row],[OrderDate]]-Table1[[#This Row],[Date of first order]])/30</f>
        <v>0</v>
      </c>
      <c r="AE8" t="str">
        <f t="shared" si="10"/>
        <v>Poor</v>
      </c>
      <c r="AF8">
        <f>COUNTIF(AE$2:AE9,AE8)</f>
        <v>5</v>
      </c>
      <c r="AG8" t="str">
        <f t="shared" si="11"/>
        <v>False</v>
      </c>
      <c r="AH8" s="7">
        <f>Table1[[#This Row],[UnitPrice]]*(1-Table1[[#This Row],[Disc Scenario]])*Table1[[#This Row],[Quantity]]</f>
        <v>19628.476999999999</v>
      </c>
      <c r="AI8">
        <f>ROUNDDOWN((Table1[[#This Row],[Quantity]]*(1+20%)),0)</f>
        <v>12</v>
      </c>
      <c r="AJ8" s="7">
        <f>Table1[[#This Row],[Quantity increase by 20%]]*Table1[[#This Row],[UnitPrice]]</f>
        <v>25218.600000000002</v>
      </c>
      <c r="AK8">
        <f>ROUNDDOWN(Table1[[#This Row],[Quantity]]*(1+20%),0)</f>
        <v>12</v>
      </c>
      <c r="AL8" s="7">
        <f>Table1[[#This Row],[UnitCost]]*(1+15%)</f>
        <v>1004.0189999999999</v>
      </c>
      <c r="AM8" s="9">
        <f>Table1[[#This Row],[Quantity]]*Table1[[#This Row],[Cost of unit by inflation 15%]]</f>
        <v>10040.189999999999</v>
      </c>
      <c r="AN8" s="21" cm="1">
        <f t="array" ref="AN8">_xlfn.UNIQUE(AC8)</f>
        <v>44957</v>
      </c>
    </row>
    <row r="9" spans="1:40" x14ac:dyDescent="0.35">
      <c r="A9" t="s">
        <v>216</v>
      </c>
      <c r="B9" s="21">
        <v>44946</v>
      </c>
      <c r="C9" s="10">
        <v>44960</v>
      </c>
      <c r="D9" s="3">
        <f t="shared" si="0"/>
        <v>14</v>
      </c>
      <c r="E9" s="10" t="str">
        <f t="shared" si="1"/>
        <v>Q1-2023</v>
      </c>
      <c r="F9" t="s">
        <v>645</v>
      </c>
      <c r="G9" t="s">
        <v>649</v>
      </c>
      <c r="H9" t="s">
        <v>661</v>
      </c>
      <c r="I9" t="s">
        <v>700</v>
      </c>
      <c r="J9" t="s">
        <v>706</v>
      </c>
      <c r="K9" t="s">
        <v>723</v>
      </c>
      <c r="L9" t="s">
        <v>728</v>
      </c>
      <c r="M9" t="s">
        <v>934</v>
      </c>
      <c r="N9" s="3">
        <v>884.36</v>
      </c>
      <c r="O9" s="3">
        <v>1545.34</v>
      </c>
      <c r="P9" s="6">
        <v>0.24299999999999999</v>
      </c>
      <c r="Q9" s="6">
        <f>IF(Table1[[#This Row],[DiscountPct]]&gt;25%,25%,Table1[[#This Row],[DiscountPct]])</f>
        <v>0.24299999999999999</v>
      </c>
      <c r="R9" s="5">
        <v>41</v>
      </c>
      <c r="S9" s="6">
        <f t="shared" si="2"/>
        <v>0.74741055678682877</v>
      </c>
      <c r="T9" s="8">
        <f t="shared" si="3"/>
        <v>47962.717579999997</v>
      </c>
      <c r="U9" s="8">
        <f t="shared" si="4"/>
        <v>36258.76</v>
      </c>
      <c r="V9" s="9">
        <f t="shared" si="5"/>
        <v>11703.957579999995</v>
      </c>
      <c r="W9" s="6">
        <f t="shared" si="6"/>
        <v>0.24402198562827965</v>
      </c>
      <c r="X9" t="s">
        <v>1454</v>
      </c>
      <c r="Y9" s="8">
        <f>Table1[[#This Row],[Quantity]]*(Table1[[#This Row],[UnitPrice]]*(1-Table1[[#This Row],[DiscountPct]]))</f>
        <v>47962.717579999997</v>
      </c>
      <c r="Z9" s="9">
        <f t="shared" si="7"/>
        <v>11703.957579999995</v>
      </c>
      <c r="AA9">
        <f>COUNTIF($G$2:G10,G9)</f>
        <v>1</v>
      </c>
      <c r="AB9" s="21">
        <f t="shared" si="8"/>
        <v>44946</v>
      </c>
      <c r="AC9" s="21">
        <f t="shared" si="9"/>
        <v>44957</v>
      </c>
      <c r="AD9" s="5">
        <f>(Table1[[#This Row],[OrderDate]]-Table1[[#This Row],[Date of first order]])/30</f>
        <v>0</v>
      </c>
      <c r="AE9" t="str">
        <f t="shared" si="10"/>
        <v>Poor</v>
      </c>
      <c r="AF9">
        <f>COUNTIF(AE$2:AE10,AE9)</f>
        <v>5</v>
      </c>
      <c r="AG9" t="str">
        <f t="shared" si="11"/>
        <v>True</v>
      </c>
      <c r="AH9" s="7">
        <f>Table1[[#This Row],[UnitPrice]]*(1-Table1[[#This Row],[Disc Scenario]])*Table1[[#This Row],[Quantity]]</f>
        <v>47962.717579999997</v>
      </c>
      <c r="AI9">
        <f>ROUNDDOWN((Table1[[#This Row],[Quantity]]*(1+20%)),0)</f>
        <v>49</v>
      </c>
      <c r="AJ9" s="7">
        <f>Table1[[#This Row],[Quantity increase by 20%]]*Table1[[#This Row],[UnitPrice]]</f>
        <v>75721.659999999989</v>
      </c>
      <c r="AK9">
        <f>ROUNDDOWN(Table1[[#This Row],[Quantity]]*(1+20%),0)</f>
        <v>49</v>
      </c>
      <c r="AL9" s="7">
        <f>Table1[[#This Row],[UnitCost]]*(1+15%)</f>
        <v>1017.0139999999999</v>
      </c>
      <c r="AM9" s="9">
        <f>Table1[[#This Row],[Quantity]]*Table1[[#This Row],[Cost of unit by inflation 15%]]</f>
        <v>41697.573999999993</v>
      </c>
      <c r="AN9" s="21" cm="1">
        <f t="array" ref="AN9">_xlfn.UNIQUE(AC9)</f>
        <v>44957</v>
      </c>
    </row>
    <row r="10" spans="1:40" x14ac:dyDescent="0.35">
      <c r="A10" t="s">
        <v>230</v>
      </c>
      <c r="B10" s="21">
        <v>44947</v>
      </c>
      <c r="C10" s="10">
        <v>44948</v>
      </c>
      <c r="D10" s="3">
        <f t="shared" si="0"/>
        <v>1</v>
      </c>
      <c r="E10" s="10" t="str">
        <f t="shared" si="1"/>
        <v>Q1-2023</v>
      </c>
      <c r="F10" t="s">
        <v>648</v>
      </c>
      <c r="G10" t="s">
        <v>655</v>
      </c>
      <c r="H10" t="s">
        <v>683</v>
      </c>
      <c r="I10" t="s">
        <v>700</v>
      </c>
      <c r="J10" t="s">
        <v>710</v>
      </c>
      <c r="K10" t="s">
        <v>720</v>
      </c>
      <c r="L10" t="s">
        <v>731</v>
      </c>
      <c r="M10" t="s">
        <v>948</v>
      </c>
      <c r="N10" s="3">
        <v>150.86000000000001</v>
      </c>
      <c r="O10" s="3">
        <v>346.96</v>
      </c>
      <c r="P10" s="6">
        <v>0.19600000000000001</v>
      </c>
      <c r="Q10" s="6">
        <f>IF(Table1[[#This Row],[DiscountPct]]&gt;25%,25%,Table1[[#This Row],[DiscountPct]])</f>
        <v>0.19600000000000001</v>
      </c>
      <c r="R10" s="5">
        <v>8</v>
      </c>
      <c r="S10" s="6">
        <f t="shared" si="2"/>
        <v>1.2998806840779527</v>
      </c>
      <c r="T10" s="8">
        <f t="shared" si="3"/>
        <v>2231.6467200000002</v>
      </c>
      <c r="U10" s="8">
        <f t="shared" si="4"/>
        <v>1206.8800000000001</v>
      </c>
      <c r="V10" s="9">
        <f t="shared" si="5"/>
        <v>1024.7667200000001</v>
      </c>
      <c r="W10" s="6">
        <f t="shared" si="6"/>
        <v>0.45919755614365343</v>
      </c>
      <c r="X10" t="str" cm="1">
        <f t="array" ref="X10">_xlfn.IFS(S10&lt;=25%, "Low", S10&lt;=75%, "Medium", S10&gt;75%, "High")</f>
        <v>High</v>
      </c>
      <c r="Y10" s="8">
        <f>Table1[[#This Row],[Quantity]]*(Table1[[#This Row],[UnitPrice]]*(1-Table1[[#This Row],[DiscountPct]]))</f>
        <v>2231.6467200000002</v>
      </c>
      <c r="Z10" s="9">
        <f t="shared" si="7"/>
        <v>1024.7667200000001</v>
      </c>
      <c r="AA10">
        <f>COUNTIF($G$2:G11,G10)</f>
        <v>2</v>
      </c>
      <c r="AB10" s="21">
        <f t="shared" si="8"/>
        <v>44946</v>
      </c>
      <c r="AC10" s="21">
        <f t="shared" si="9"/>
        <v>44957</v>
      </c>
      <c r="AD10" s="5">
        <f>(Table1[[#This Row],[OrderDate]]-Table1[[#This Row],[Date of first order]])/30</f>
        <v>3.3333333333333333E-2</v>
      </c>
      <c r="AE10" t="str">
        <f t="shared" si="10"/>
        <v>Good</v>
      </c>
      <c r="AF10">
        <f>COUNTIF(AE$2:AE11,AE10)</f>
        <v>4</v>
      </c>
      <c r="AG10" t="str">
        <f t="shared" si="11"/>
        <v>False</v>
      </c>
      <c r="AH10" s="7">
        <f>Table1[[#This Row],[UnitPrice]]*(1-Table1[[#This Row],[Disc Scenario]])*Table1[[#This Row],[Quantity]]</f>
        <v>2231.6467200000002</v>
      </c>
      <c r="AI10">
        <f>ROUNDDOWN((Table1[[#This Row],[Quantity]]*(1+20%)),0)</f>
        <v>9</v>
      </c>
      <c r="AJ10" s="7">
        <f>Table1[[#This Row],[Quantity increase by 20%]]*Table1[[#This Row],[UnitPrice]]</f>
        <v>3122.64</v>
      </c>
      <c r="AK10">
        <f>ROUNDDOWN(Table1[[#This Row],[Quantity]]*(1+20%),0)</f>
        <v>9</v>
      </c>
      <c r="AL10" s="7">
        <f>Table1[[#This Row],[UnitCost]]*(1+15%)</f>
        <v>173.489</v>
      </c>
      <c r="AM10" s="9">
        <f>Table1[[#This Row],[Quantity]]*Table1[[#This Row],[Cost of unit by inflation 15%]]</f>
        <v>1387.912</v>
      </c>
      <c r="AN10" s="21" cm="1">
        <f t="array" ref="AN10">_xlfn.UNIQUE(AC10)</f>
        <v>44957</v>
      </c>
    </row>
    <row r="11" spans="1:40" x14ac:dyDescent="0.35">
      <c r="A11" t="s">
        <v>553</v>
      </c>
      <c r="B11" s="21">
        <v>44952</v>
      </c>
      <c r="C11" s="10">
        <v>44972</v>
      </c>
      <c r="D11" s="3">
        <f t="shared" si="0"/>
        <v>20</v>
      </c>
      <c r="E11" s="10" t="str">
        <f t="shared" si="1"/>
        <v>Q1-2023</v>
      </c>
      <c r="F11" t="s">
        <v>648</v>
      </c>
      <c r="G11" t="s">
        <v>655</v>
      </c>
      <c r="H11" t="s">
        <v>670</v>
      </c>
      <c r="I11" t="s">
        <v>704</v>
      </c>
      <c r="J11" t="s">
        <v>707</v>
      </c>
      <c r="K11" t="s">
        <v>718</v>
      </c>
      <c r="L11" t="s">
        <v>728</v>
      </c>
      <c r="M11" t="s">
        <v>1269</v>
      </c>
      <c r="N11" s="3">
        <v>492.62</v>
      </c>
      <c r="O11" s="3">
        <v>743.85620000000006</v>
      </c>
      <c r="P11" s="6">
        <v>8.8999999999999996E-2</v>
      </c>
      <c r="Q11" s="6">
        <f>IF(Table1[[#This Row],[DiscountPct]]&gt;25%,25%,Table1[[#This Row],[DiscountPct]])</f>
        <v>8.8999999999999996E-2</v>
      </c>
      <c r="R11" s="5">
        <v>10</v>
      </c>
      <c r="S11" s="6">
        <f t="shared" si="2"/>
        <v>0.51000000000000012</v>
      </c>
      <c r="T11" s="8">
        <f t="shared" si="3"/>
        <v>6776.5299820000009</v>
      </c>
      <c r="U11" s="8">
        <f t="shared" si="4"/>
        <v>4926.2</v>
      </c>
      <c r="V11" s="9">
        <f t="shared" si="5"/>
        <v>1850.3299820000011</v>
      </c>
      <c r="W11" s="6">
        <f t="shared" si="6"/>
        <v>0.27304977428195504</v>
      </c>
      <c r="X11" t="str" cm="1">
        <f t="array" ref="X11">_xlfn.IFS(S11&lt;=25%, "Low", S11&lt;=75%, "Medium", S11&gt;75%, "High")</f>
        <v>Medium</v>
      </c>
      <c r="Y11" s="8">
        <f>Table1[[#This Row],[Quantity]]*(Table1[[#This Row],[UnitPrice]]*(1-Table1[[#This Row],[DiscountPct]]))</f>
        <v>6776.5299820000009</v>
      </c>
      <c r="Z11" s="9">
        <f t="shared" si="7"/>
        <v>1850.3299820000011</v>
      </c>
      <c r="AA11">
        <f>COUNTIF($G$2:G12,G11)</f>
        <v>2</v>
      </c>
      <c r="AB11" s="21">
        <f t="shared" si="8"/>
        <v>44946</v>
      </c>
      <c r="AC11" s="21">
        <f t="shared" si="9"/>
        <v>44957</v>
      </c>
      <c r="AD11" s="5">
        <f>(Table1[[#This Row],[OrderDate]]-Table1[[#This Row],[Date of first order]])/30</f>
        <v>0.2</v>
      </c>
      <c r="AE11" t="str">
        <f t="shared" si="10"/>
        <v>Poor</v>
      </c>
      <c r="AF11">
        <f>COUNTIF(AE$2:AE12,AE11)</f>
        <v>6</v>
      </c>
      <c r="AG11" t="str">
        <f t="shared" si="11"/>
        <v>False</v>
      </c>
      <c r="AH11" s="7">
        <f>Table1[[#This Row],[UnitPrice]]*(1-Table1[[#This Row],[Disc Scenario]])*Table1[[#This Row],[Quantity]]</f>
        <v>6776.5299820000009</v>
      </c>
      <c r="AI11">
        <f>ROUNDDOWN((Table1[[#This Row],[Quantity]]*(1+20%)),0)</f>
        <v>12</v>
      </c>
      <c r="AJ11" s="7">
        <f>Table1[[#This Row],[Quantity increase by 20%]]*Table1[[#This Row],[UnitPrice]]</f>
        <v>8926.2744000000002</v>
      </c>
      <c r="AK11">
        <f>ROUNDDOWN(Table1[[#This Row],[Quantity]]*(1+20%),0)</f>
        <v>12</v>
      </c>
      <c r="AL11" s="7">
        <f>Table1[[#This Row],[UnitCost]]*(1+15%)</f>
        <v>566.51299999999992</v>
      </c>
      <c r="AM11" s="9">
        <f>Table1[[#This Row],[Quantity]]*Table1[[#This Row],[Cost of unit by inflation 15%]]</f>
        <v>5665.1299999999992</v>
      </c>
      <c r="AN11" s="21" cm="1">
        <f t="array" ref="AN11">_xlfn.UNIQUE(AC11)</f>
        <v>44957</v>
      </c>
    </row>
    <row r="12" spans="1:40" x14ac:dyDescent="0.35">
      <c r="A12" t="s">
        <v>146</v>
      </c>
      <c r="B12" s="21">
        <v>44953</v>
      </c>
      <c r="C12" s="10">
        <v>44957</v>
      </c>
      <c r="D12" s="3">
        <f t="shared" si="0"/>
        <v>4</v>
      </c>
      <c r="E12" s="10" t="str">
        <f t="shared" si="1"/>
        <v>Q1-2023</v>
      </c>
      <c r="F12" t="s">
        <v>648</v>
      </c>
      <c r="G12" t="s">
        <v>657</v>
      </c>
      <c r="H12" t="s">
        <v>692</v>
      </c>
      <c r="I12" t="s">
        <v>705</v>
      </c>
      <c r="J12" t="s">
        <v>707</v>
      </c>
      <c r="K12" t="s">
        <v>724</v>
      </c>
      <c r="L12" t="s">
        <v>730</v>
      </c>
      <c r="M12" t="s">
        <v>864</v>
      </c>
      <c r="N12" s="3">
        <v>941.2</v>
      </c>
      <c r="O12" s="3">
        <v>1797.6920000000002</v>
      </c>
      <c r="P12" s="6">
        <v>0.22</v>
      </c>
      <c r="Q12" s="6">
        <f>IF(Table1[[#This Row],[DiscountPct]]&gt;25%,25%,Table1[[#This Row],[DiscountPct]])</f>
        <v>0.22</v>
      </c>
      <c r="R12" s="5">
        <v>16</v>
      </c>
      <c r="S12" s="6">
        <f t="shared" si="2"/>
        <v>0.91000000000000014</v>
      </c>
      <c r="T12" s="8">
        <f t="shared" si="3"/>
        <v>22435.196160000003</v>
      </c>
      <c r="U12" s="8">
        <f t="shared" si="4"/>
        <v>15059.2</v>
      </c>
      <c r="V12" s="9">
        <f t="shared" si="5"/>
        <v>7375.9961600000024</v>
      </c>
      <c r="W12" s="6">
        <f t="shared" si="6"/>
        <v>0.32876896227681573</v>
      </c>
      <c r="X12" t="str" cm="1">
        <f t="array" ref="X12">_xlfn.IFS(S12&lt;=25%, "Low", S12&lt;=75%, "Medium", S12&gt;75%, "High")</f>
        <v>High</v>
      </c>
      <c r="Y12" s="8">
        <f>Table1[[#This Row],[Quantity]]*(Table1[[#This Row],[UnitPrice]]*(1-Table1[[#This Row],[DiscountPct]]))</f>
        <v>22435.196160000003</v>
      </c>
      <c r="Z12" s="9">
        <f t="shared" si="7"/>
        <v>7375.9961600000024</v>
      </c>
      <c r="AA12">
        <f>COUNTIF($G$2:G13,G12)</f>
        <v>2</v>
      </c>
      <c r="AB12" s="21">
        <f t="shared" si="8"/>
        <v>44946</v>
      </c>
      <c r="AC12" s="21">
        <f t="shared" si="9"/>
        <v>44957</v>
      </c>
      <c r="AD12" s="5">
        <f>(Table1[[#This Row],[OrderDate]]-Table1[[#This Row],[Date of first order]])/30</f>
        <v>0.23333333333333334</v>
      </c>
      <c r="AE12" t="str">
        <f t="shared" si="10"/>
        <v>Good</v>
      </c>
      <c r="AF12">
        <f>COUNTIF(AE$2:AE13,AE12)</f>
        <v>5</v>
      </c>
      <c r="AG12" t="str">
        <f t="shared" si="11"/>
        <v>True</v>
      </c>
      <c r="AH12" s="7">
        <f>Table1[[#This Row],[UnitPrice]]*(1-Table1[[#This Row],[Disc Scenario]])*Table1[[#This Row],[Quantity]]</f>
        <v>22435.196160000003</v>
      </c>
      <c r="AI12">
        <f>ROUNDDOWN((Table1[[#This Row],[Quantity]]*(1+20%)),0)</f>
        <v>19</v>
      </c>
      <c r="AJ12" s="7">
        <f>Table1[[#This Row],[Quantity increase by 20%]]*Table1[[#This Row],[UnitPrice]]</f>
        <v>34156.148000000001</v>
      </c>
      <c r="AK12">
        <f>ROUNDDOWN(Table1[[#This Row],[Quantity]]*(1+20%),0)</f>
        <v>19</v>
      </c>
      <c r="AL12" s="7">
        <f>Table1[[#This Row],[UnitCost]]*(1+15%)</f>
        <v>1082.3799999999999</v>
      </c>
      <c r="AM12" s="9">
        <f>Table1[[#This Row],[Quantity]]*Table1[[#This Row],[Cost of unit by inflation 15%]]</f>
        <v>17318.079999999998</v>
      </c>
      <c r="AN12" s="21" cm="1">
        <f t="array" ref="AN12">_xlfn.UNIQUE(AC12)</f>
        <v>44957</v>
      </c>
    </row>
    <row r="13" spans="1:40" x14ac:dyDescent="0.35">
      <c r="A13" t="s">
        <v>595</v>
      </c>
      <c r="B13" s="21">
        <v>44955</v>
      </c>
      <c r="C13" s="10">
        <v>44963</v>
      </c>
      <c r="D13" s="3">
        <f t="shared" si="0"/>
        <v>8</v>
      </c>
      <c r="E13" s="10" t="str">
        <f t="shared" si="1"/>
        <v>Q1-2023</v>
      </c>
      <c r="F13" t="s">
        <v>647</v>
      </c>
      <c r="G13" t="s">
        <v>654</v>
      </c>
      <c r="H13" t="s">
        <v>671</v>
      </c>
      <c r="I13" t="s">
        <v>700</v>
      </c>
      <c r="J13" t="s">
        <v>708</v>
      </c>
      <c r="K13" t="s">
        <v>725</v>
      </c>
      <c r="L13" t="s">
        <v>731</v>
      </c>
      <c r="M13" t="s">
        <v>1311</v>
      </c>
      <c r="N13" s="3">
        <v>41.84</v>
      </c>
      <c r="O13" s="3">
        <v>86.2</v>
      </c>
      <c r="P13" s="6">
        <v>0.22600000000000001</v>
      </c>
      <c r="Q13" s="6">
        <f>IF(Table1[[#This Row],[DiscountPct]]&gt;25%,25%,Table1[[#This Row],[DiscountPct]])</f>
        <v>0.22600000000000001</v>
      </c>
      <c r="R13" s="5">
        <v>27</v>
      </c>
      <c r="S13" s="6">
        <f t="shared" si="2"/>
        <v>1.0602294455066921</v>
      </c>
      <c r="T13" s="8">
        <f t="shared" si="3"/>
        <v>1801.4076000000002</v>
      </c>
      <c r="U13" s="8">
        <f t="shared" si="4"/>
        <v>1129.68</v>
      </c>
      <c r="V13" s="9">
        <f t="shared" si="5"/>
        <v>671.72760000000017</v>
      </c>
      <c r="W13" s="6">
        <f t="shared" si="6"/>
        <v>0.37289039970742882</v>
      </c>
      <c r="X13" t="str" cm="1">
        <f t="array" ref="X13">_xlfn.IFS(S13&lt;=25%, "Low", S13&lt;=75%, "Medium", S13&gt;75%, "High")</f>
        <v>High</v>
      </c>
      <c r="Y13" s="8">
        <f>Table1[[#This Row],[Quantity]]*(Table1[[#This Row],[UnitPrice]]*(1-Table1[[#This Row],[DiscountPct]]))</f>
        <v>1801.4076</v>
      </c>
      <c r="Z13" s="9">
        <f t="shared" si="7"/>
        <v>671.72759999999994</v>
      </c>
      <c r="AA13">
        <f>COUNTIF($G$2:G14,G13)</f>
        <v>1</v>
      </c>
      <c r="AB13" s="21">
        <f t="shared" si="8"/>
        <v>44955</v>
      </c>
      <c r="AC13" s="21">
        <f t="shared" si="9"/>
        <v>44957</v>
      </c>
      <c r="AD13" s="5">
        <f>(Table1[[#This Row],[OrderDate]]-Table1[[#This Row],[Date of first order]])/30</f>
        <v>0</v>
      </c>
      <c r="AE13" t="str">
        <f t="shared" si="10"/>
        <v>Poor</v>
      </c>
      <c r="AF13">
        <f>COUNTIF(AE$2:AE14,AE13)</f>
        <v>8</v>
      </c>
      <c r="AG13" t="str">
        <f t="shared" si="11"/>
        <v>True</v>
      </c>
      <c r="AH13" s="7">
        <f>Table1[[#This Row],[UnitPrice]]*(1-Table1[[#This Row],[Disc Scenario]])*Table1[[#This Row],[Quantity]]</f>
        <v>1801.4076</v>
      </c>
      <c r="AI13">
        <f>ROUNDDOWN((Table1[[#This Row],[Quantity]]*(1+20%)),0)</f>
        <v>32</v>
      </c>
      <c r="AJ13" s="7">
        <f>Table1[[#This Row],[Quantity increase by 20%]]*Table1[[#This Row],[UnitPrice]]</f>
        <v>2758.4</v>
      </c>
      <c r="AK13">
        <f>ROUNDDOWN(Table1[[#This Row],[Quantity]]*(1+20%),0)</f>
        <v>32</v>
      </c>
      <c r="AL13" s="7">
        <f>Table1[[#This Row],[UnitCost]]*(1+15%)</f>
        <v>48.116</v>
      </c>
      <c r="AM13" s="9">
        <f>Table1[[#This Row],[Quantity]]*Table1[[#This Row],[Cost of unit by inflation 15%]]</f>
        <v>1299.1320000000001</v>
      </c>
      <c r="AN13" s="21" cm="1">
        <f t="array" ref="AN13">_xlfn.UNIQUE(AC13)</f>
        <v>44957</v>
      </c>
    </row>
    <row r="14" spans="1:40" x14ac:dyDescent="0.35">
      <c r="A14" t="s">
        <v>211</v>
      </c>
      <c r="B14" s="21">
        <v>44956</v>
      </c>
      <c r="C14" s="10">
        <v>44978</v>
      </c>
      <c r="D14" s="3">
        <f t="shared" si="0"/>
        <v>22</v>
      </c>
      <c r="E14" s="10" t="str">
        <f t="shared" si="1"/>
        <v>Q1-2023</v>
      </c>
      <c r="F14" t="s">
        <v>648</v>
      </c>
      <c r="G14" t="s">
        <v>655</v>
      </c>
      <c r="H14" t="s">
        <v>683</v>
      </c>
      <c r="I14" t="s">
        <v>704</v>
      </c>
      <c r="J14" t="s">
        <v>708</v>
      </c>
      <c r="K14" t="s">
        <v>714</v>
      </c>
      <c r="L14" t="s">
        <v>728</v>
      </c>
      <c r="M14" t="s">
        <v>929</v>
      </c>
      <c r="N14" s="3">
        <v>1142.8800000000001</v>
      </c>
      <c r="O14" s="3">
        <v>1465.29</v>
      </c>
      <c r="P14" s="6">
        <v>0.186</v>
      </c>
      <c r="Q14" s="6">
        <f>IF(Table1[[#This Row],[DiscountPct]]&gt;25%,25%,Table1[[#This Row],[DiscountPct]])</f>
        <v>0.186</v>
      </c>
      <c r="R14" s="5">
        <v>7</v>
      </c>
      <c r="S14" s="6">
        <f t="shared" si="2"/>
        <v>0.2821031079378411</v>
      </c>
      <c r="T14" s="8">
        <f t="shared" si="3"/>
        <v>8349.2224200000001</v>
      </c>
      <c r="U14" s="8">
        <f t="shared" si="4"/>
        <v>8000.1600000000008</v>
      </c>
      <c r="V14" s="9">
        <f t="shared" si="5"/>
        <v>349.06241999999929</v>
      </c>
      <c r="W14" s="6">
        <f t="shared" si="6"/>
        <v>4.1807775915017401E-2</v>
      </c>
      <c r="X14" t="str" cm="1">
        <f t="array" ref="X14">_xlfn.IFS(S14&lt;=25%, "Low", S14&lt;=75%, "Medium", S14&gt;75%, "High")</f>
        <v>Medium</v>
      </c>
      <c r="Y14" s="8">
        <f>Table1[[#This Row],[Quantity]]*(Table1[[#This Row],[UnitPrice]]*(1-Table1[[#This Row],[DiscountPct]]))</f>
        <v>8349.2224200000001</v>
      </c>
      <c r="Z14" s="9">
        <f t="shared" si="7"/>
        <v>349.06241999999929</v>
      </c>
      <c r="AA14">
        <f>COUNTIF($G$2:G15,G14)</f>
        <v>3</v>
      </c>
      <c r="AB14" s="21">
        <f t="shared" si="8"/>
        <v>44955</v>
      </c>
      <c r="AC14" s="21">
        <f t="shared" si="9"/>
        <v>44957</v>
      </c>
      <c r="AD14" s="5">
        <f>(Table1[[#This Row],[OrderDate]]-Table1[[#This Row],[Date of first order]])/30</f>
        <v>3.3333333333333333E-2</v>
      </c>
      <c r="AE14" t="str">
        <f t="shared" si="10"/>
        <v>Poor</v>
      </c>
      <c r="AF14">
        <f>COUNTIF(AE$2:AE15,AE14)</f>
        <v>9</v>
      </c>
      <c r="AG14" t="str">
        <f t="shared" si="11"/>
        <v>False</v>
      </c>
      <c r="AH14" s="7">
        <f>Table1[[#This Row],[UnitPrice]]*(1-Table1[[#This Row],[Disc Scenario]])*Table1[[#This Row],[Quantity]]</f>
        <v>8349.2224200000001</v>
      </c>
      <c r="AI14">
        <f>ROUNDDOWN((Table1[[#This Row],[Quantity]]*(1+20%)),0)</f>
        <v>8</v>
      </c>
      <c r="AJ14" s="7">
        <f>Table1[[#This Row],[Quantity increase by 20%]]*Table1[[#This Row],[UnitPrice]]</f>
        <v>11722.32</v>
      </c>
      <c r="AK14">
        <f>ROUNDDOWN(Table1[[#This Row],[Quantity]]*(1+20%),0)</f>
        <v>8</v>
      </c>
      <c r="AL14" s="7">
        <f>Table1[[#This Row],[UnitCost]]*(1+15%)</f>
        <v>1314.3120000000001</v>
      </c>
      <c r="AM14" s="9">
        <f>Table1[[#This Row],[Quantity]]*Table1[[#This Row],[Cost of unit by inflation 15%]]</f>
        <v>9200.1840000000011</v>
      </c>
      <c r="AN14" s="21" cm="1">
        <f t="array" ref="AN14">_xlfn.UNIQUE(AC14)</f>
        <v>44957</v>
      </c>
    </row>
    <row r="15" spans="1:40" x14ac:dyDescent="0.35">
      <c r="A15" t="s">
        <v>384</v>
      </c>
      <c r="B15" s="21">
        <v>44962</v>
      </c>
      <c r="C15" s="10">
        <v>44985</v>
      </c>
      <c r="D15" s="3">
        <f t="shared" si="0"/>
        <v>23</v>
      </c>
      <c r="E15" s="10" t="str">
        <f t="shared" si="1"/>
        <v>Q1-2023</v>
      </c>
      <c r="F15" t="s">
        <v>647</v>
      </c>
      <c r="G15" t="s">
        <v>659</v>
      </c>
      <c r="H15" t="s">
        <v>696</v>
      </c>
      <c r="I15" t="s">
        <v>702</v>
      </c>
      <c r="J15" t="s">
        <v>709</v>
      </c>
      <c r="K15" t="s">
        <v>715</v>
      </c>
      <c r="L15" t="s">
        <v>729</v>
      </c>
      <c r="M15" t="s">
        <v>1102</v>
      </c>
      <c r="N15" s="3">
        <v>1214.49</v>
      </c>
      <c r="O15" s="3">
        <v>1533.95</v>
      </c>
      <c r="P15" s="6">
        <v>0</v>
      </c>
      <c r="Q15" s="6">
        <f>IF(Table1[[#This Row],[DiscountPct]]&gt;25%,25%,Table1[[#This Row],[DiscountPct]])</f>
        <v>0</v>
      </c>
      <c r="R15" s="5">
        <v>11</v>
      </c>
      <c r="S15" s="6">
        <f t="shared" si="2"/>
        <v>0.26304045319434499</v>
      </c>
      <c r="T15" s="8">
        <f t="shared" si="3"/>
        <v>16873.45</v>
      </c>
      <c r="U15" s="8">
        <f t="shared" si="4"/>
        <v>13359.39</v>
      </c>
      <c r="V15" s="9">
        <f t="shared" si="5"/>
        <v>3514.0600000000013</v>
      </c>
      <c r="W15" s="6">
        <f t="shared" si="6"/>
        <v>0.20825972163369086</v>
      </c>
      <c r="X15" t="str" cm="1">
        <f t="array" ref="X15">_xlfn.IFS(S15&lt;=25%, "Low", S15&lt;=75%, "Medium", S15&gt;75%, "High")</f>
        <v>Medium</v>
      </c>
      <c r="Y15" s="8">
        <f>Table1[[#This Row],[Quantity]]*(Table1[[#This Row],[UnitPrice]]*(1-Table1[[#This Row],[DiscountPct]]))</f>
        <v>16873.45</v>
      </c>
      <c r="Z15" s="9">
        <f t="shared" si="7"/>
        <v>3514.0600000000013</v>
      </c>
      <c r="AA15">
        <f>COUNTIF($G$2:G16,G15)</f>
        <v>2</v>
      </c>
      <c r="AB15" s="21">
        <f t="shared" si="8"/>
        <v>44955</v>
      </c>
      <c r="AC15" s="21">
        <f t="shared" si="9"/>
        <v>44957</v>
      </c>
      <c r="AD15" s="5">
        <f>(Table1[[#This Row],[OrderDate]]-Table1[[#This Row],[Date of first order]])/30</f>
        <v>0.23333333333333334</v>
      </c>
      <c r="AE15" t="str">
        <f t="shared" si="10"/>
        <v>Poor</v>
      </c>
      <c r="AF15">
        <f>COUNTIF(AE$2:AE16,AE15)</f>
        <v>9</v>
      </c>
      <c r="AG15" t="str">
        <f t="shared" si="11"/>
        <v>False</v>
      </c>
      <c r="AH15" s="7">
        <f>Table1[[#This Row],[UnitPrice]]*(1-Table1[[#This Row],[Disc Scenario]])*Table1[[#This Row],[Quantity]]</f>
        <v>16873.45</v>
      </c>
      <c r="AI15">
        <f>ROUNDDOWN((Table1[[#This Row],[Quantity]]*(1+20%)),0)</f>
        <v>13</v>
      </c>
      <c r="AJ15" s="7">
        <f>Table1[[#This Row],[Quantity increase by 20%]]*Table1[[#This Row],[UnitPrice]]</f>
        <v>19941.350000000002</v>
      </c>
      <c r="AK15">
        <f>ROUNDDOWN(Table1[[#This Row],[Quantity]]*(1+20%),0)</f>
        <v>13</v>
      </c>
      <c r="AL15" s="7">
        <f>Table1[[#This Row],[UnitCost]]*(1+15%)</f>
        <v>1396.6634999999999</v>
      </c>
      <c r="AM15" s="9">
        <f>Table1[[#This Row],[Quantity]]*Table1[[#This Row],[Cost of unit by inflation 15%]]</f>
        <v>15363.298499999999</v>
      </c>
      <c r="AN15" s="21" cm="1">
        <f t="array" ref="AN15">_xlfn.UNIQUE(AC15)</f>
        <v>44957</v>
      </c>
    </row>
    <row r="16" spans="1:40" x14ac:dyDescent="0.35">
      <c r="A16" t="s">
        <v>39</v>
      </c>
      <c r="B16" s="21">
        <v>44964</v>
      </c>
      <c r="C16" s="10">
        <v>44969</v>
      </c>
      <c r="D16" s="3">
        <f t="shared" si="0"/>
        <v>5</v>
      </c>
      <c r="E16" s="10" t="str">
        <f t="shared" si="1"/>
        <v>Q1-2023</v>
      </c>
      <c r="F16" t="s">
        <v>647</v>
      </c>
      <c r="G16" t="s">
        <v>654</v>
      </c>
      <c r="H16" t="s">
        <v>669</v>
      </c>
      <c r="I16" t="s">
        <v>701</v>
      </c>
      <c r="J16" t="s">
        <v>707</v>
      </c>
      <c r="K16" t="s">
        <v>724</v>
      </c>
      <c r="L16" t="s">
        <v>726</v>
      </c>
      <c r="M16" t="s">
        <v>757</v>
      </c>
      <c r="N16" s="3">
        <v>948.55</v>
      </c>
      <c r="O16" s="3">
        <v>2089.16</v>
      </c>
      <c r="P16" s="6">
        <v>7.0000000000000001E-3</v>
      </c>
      <c r="Q16" s="6">
        <f>IF(Table1[[#This Row],[DiscountPct]]&gt;25%,25%,Table1[[#This Row],[DiscountPct]])</f>
        <v>7.0000000000000001E-3</v>
      </c>
      <c r="R16" s="5">
        <v>12</v>
      </c>
      <c r="S16" s="6">
        <f t="shared" si="2"/>
        <v>1.2024774656053976</v>
      </c>
      <c r="T16" s="8">
        <f t="shared" si="3"/>
        <v>24894.430559999997</v>
      </c>
      <c r="U16" s="8">
        <f t="shared" si="4"/>
        <v>11382.599999999999</v>
      </c>
      <c r="V16" s="9">
        <f t="shared" si="5"/>
        <v>13511.830559999999</v>
      </c>
      <c r="W16" s="6">
        <f t="shared" si="6"/>
        <v>0.54276519912492427</v>
      </c>
      <c r="X16" t="str" cm="1">
        <f t="array" ref="X16">_xlfn.IFS(S16&lt;=25%, "Low", S16&lt;=75%, "Medium", S16&gt;75%, "High")</f>
        <v>High</v>
      </c>
      <c r="Y16" s="8">
        <f>Table1[[#This Row],[Quantity]]*(Table1[[#This Row],[UnitPrice]]*(1-Table1[[#This Row],[DiscountPct]]))</f>
        <v>24894.430560000001</v>
      </c>
      <c r="Z16" s="9">
        <f t="shared" si="7"/>
        <v>13511.830560000002</v>
      </c>
      <c r="AA16">
        <f>COUNTIF($G$2:G17,G16)</f>
        <v>2</v>
      </c>
      <c r="AB16" s="21">
        <f t="shared" si="8"/>
        <v>44955</v>
      </c>
      <c r="AC16" s="21">
        <f t="shared" si="9"/>
        <v>44957</v>
      </c>
      <c r="AD16" s="5">
        <f>(Table1[[#This Row],[OrderDate]]-Table1[[#This Row],[Date of first order]])/30</f>
        <v>0.3</v>
      </c>
      <c r="AE16" t="str">
        <f t="shared" si="10"/>
        <v>Good</v>
      </c>
      <c r="AF16">
        <f>COUNTIF(AE$2:AE17,AE16)</f>
        <v>7</v>
      </c>
      <c r="AG16" t="str">
        <f t="shared" si="11"/>
        <v>False</v>
      </c>
      <c r="AH16" s="7">
        <f>Table1[[#This Row],[UnitPrice]]*(1-Table1[[#This Row],[Disc Scenario]])*Table1[[#This Row],[Quantity]]</f>
        <v>24894.430560000001</v>
      </c>
      <c r="AI16">
        <f>ROUNDDOWN((Table1[[#This Row],[Quantity]]*(1+20%)),0)</f>
        <v>14</v>
      </c>
      <c r="AJ16" s="7">
        <f>Table1[[#This Row],[Quantity increase by 20%]]*Table1[[#This Row],[UnitPrice]]</f>
        <v>29248.239999999998</v>
      </c>
      <c r="AK16">
        <f>ROUNDDOWN(Table1[[#This Row],[Quantity]]*(1+20%),0)</f>
        <v>14</v>
      </c>
      <c r="AL16" s="7">
        <f>Table1[[#This Row],[UnitCost]]*(1+15%)</f>
        <v>1090.8324999999998</v>
      </c>
      <c r="AM16" s="9">
        <f>Table1[[#This Row],[Quantity]]*Table1[[#This Row],[Cost of unit by inflation 15%]]</f>
        <v>13089.989999999998</v>
      </c>
      <c r="AN16" s="21" cm="1">
        <f t="array" ref="AN16">_xlfn.UNIQUE(AC16)</f>
        <v>44957</v>
      </c>
    </row>
    <row r="17" spans="1:40" x14ac:dyDescent="0.35">
      <c r="A17" t="s">
        <v>95</v>
      </c>
      <c r="B17" s="21">
        <v>44965</v>
      </c>
      <c r="C17" s="10">
        <v>44968</v>
      </c>
      <c r="D17" s="3">
        <f t="shared" si="0"/>
        <v>3</v>
      </c>
      <c r="E17" s="10" t="str">
        <f t="shared" si="1"/>
        <v>Q1-2023</v>
      </c>
      <c r="F17" t="s">
        <v>645</v>
      </c>
      <c r="G17" t="s">
        <v>660</v>
      </c>
      <c r="H17" t="s">
        <v>694</v>
      </c>
      <c r="I17" t="s">
        <v>700</v>
      </c>
      <c r="J17" t="s">
        <v>710</v>
      </c>
      <c r="K17" t="s">
        <v>723</v>
      </c>
      <c r="L17" t="s">
        <v>728</v>
      </c>
      <c r="M17" t="s">
        <v>813</v>
      </c>
      <c r="N17" s="3">
        <v>1410.05</v>
      </c>
      <c r="O17" s="3">
        <v>2763.95</v>
      </c>
      <c r="P17" s="6">
        <v>0.161</v>
      </c>
      <c r="Q17" s="6">
        <f>IF(Table1[[#This Row],[DiscountPct]]&gt;25%,25%,Table1[[#This Row],[DiscountPct]])</f>
        <v>0.161</v>
      </c>
      <c r="R17" s="5">
        <v>26</v>
      </c>
      <c r="S17" s="6">
        <f t="shared" si="2"/>
        <v>0.9601787170667706</v>
      </c>
      <c r="T17" s="8">
        <f t="shared" si="3"/>
        <v>60292.805299999993</v>
      </c>
      <c r="U17" s="8">
        <f t="shared" si="4"/>
        <v>36661.299999999996</v>
      </c>
      <c r="V17" s="9">
        <f t="shared" si="5"/>
        <v>23631.505299999997</v>
      </c>
      <c r="W17" s="6">
        <f t="shared" si="6"/>
        <v>0.39194569206750779</v>
      </c>
      <c r="X17" t="str" cm="1">
        <f t="array" ref="X17">_xlfn.IFS(S17&lt;=25%, "Low", S17&lt;=75%, "Medium", S17&gt;75%, "High")</f>
        <v>High</v>
      </c>
      <c r="Y17" s="8">
        <f>Table1[[#This Row],[Quantity]]*(Table1[[#This Row],[UnitPrice]]*(1-Table1[[#This Row],[DiscountPct]]))</f>
        <v>60292.805299999993</v>
      </c>
      <c r="Z17" s="9">
        <f t="shared" si="7"/>
        <v>23631.505299999997</v>
      </c>
      <c r="AA17">
        <f>COUNTIF($G$2:G18,G17)</f>
        <v>2</v>
      </c>
      <c r="AB17" s="21">
        <f t="shared" si="8"/>
        <v>44955</v>
      </c>
      <c r="AC17" s="21">
        <f t="shared" si="9"/>
        <v>44957</v>
      </c>
      <c r="AD17" s="5">
        <f>(Table1[[#This Row],[OrderDate]]-Table1[[#This Row],[Date of first order]])/30</f>
        <v>0.33333333333333331</v>
      </c>
      <c r="AE17" t="str">
        <f t="shared" si="10"/>
        <v>Good</v>
      </c>
      <c r="AF17">
        <f>COUNTIF(AE$2:AE18,AE17)</f>
        <v>8</v>
      </c>
      <c r="AG17" t="str">
        <f t="shared" si="11"/>
        <v>False</v>
      </c>
      <c r="AH17" s="7">
        <f>Table1[[#This Row],[UnitPrice]]*(1-Table1[[#This Row],[Disc Scenario]])*Table1[[#This Row],[Quantity]]</f>
        <v>60292.805299999993</v>
      </c>
      <c r="AI17">
        <f>ROUNDDOWN((Table1[[#This Row],[Quantity]]*(1+20%)),0)</f>
        <v>31</v>
      </c>
      <c r="AJ17" s="7">
        <f>Table1[[#This Row],[Quantity increase by 20%]]*Table1[[#This Row],[UnitPrice]]</f>
        <v>85682.45</v>
      </c>
      <c r="AK17">
        <f>ROUNDDOWN(Table1[[#This Row],[Quantity]]*(1+20%),0)</f>
        <v>31</v>
      </c>
      <c r="AL17" s="7">
        <f>Table1[[#This Row],[UnitCost]]*(1+15%)</f>
        <v>1621.5574999999999</v>
      </c>
      <c r="AM17" s="9">
        <f>Table1[[#This Row],[Quantity]]*Table1[[#This Row],[Cost of unit by inflation 15%]]</f>
        <v>42160.494999999995</v>
      </c>
      <c r="AN17" s="21" cm="1">
        <f t="array" ref="AN17">_xlfn.UNIQUE(AC17)</f>
        <v>44957</v>
      </c>
    </row>
    <row r="18" spans="1:40" x14ac:dyDescent="0.35">
      <c r="A18" t="s">
        <v>556</v>
      </c>
      <c r="B18" s="21">
        <v>44968</v>
      </c>
      <c r="C18" s="10">
        <v>44969</v>
      </c>
      <c r="D18" s="3">
        <f t="shared" si="0"/>
        <v>1</v>
      </c>
      <c r="E18" s="10" t="str">
        <f t="shared" si="1"/>
        <v>Q1-2023</v>
      </c>
      <c r="F18" t="s">
        <v>645</v>
      </c>
      <c r="G18" t="s">
        <v>650</v>
      </c>
      <c r="H18" t="s">
        <v>662</v>
      </c>
      <c r="I18" t="s">
        <v>702</v>
      </c>
      <c r="J18" t="s">
        <v>710</v>
      </c>
      <c r="K18" t="s">
        <v>725</v>
      </c>
      <c r="L18" t="s">
        <v>732</v>
      </c>
      <c r="M18" t="s">
        <v>1272</v>
      </c>
      <c r="N18" s="3">
        <v>944.61</v>
      </c>
      <c r="O18" s="3">
        <v>1775.8668</v>
      </c>
      <c r="P18" s="6">
        <v>5.8999999999999997E-2</v>
      </c>
      <c r="Q18" s="6">
        <f>IF(Table1[[#This Row],[DiscountPct]]&gt;25%,25%,Table1[[#This Row],[DiscountPct]])</f>
        <v>5.8999999999999997E-2</v>
      </c>
      <c r="R18" s="5">
        <v>6</v>
      </c>
      <c r="S18" s="6">
        <f t="shared" si="2"/>
        <v>0.88</v>
      </c>
      <c r="T18" s="8">
        <f t="shared" si="3"/>
        <v>10026.543952800001</v>
      </c>
      <c r="U18" s="8">
        <f t="shared" si="4"/>
        <v>5667.66</v>
      </c>
      <c r="V18" s="9">
        <f t="shared" si="5"/>
        <v>4358.8839528000008</v>
      </c>
      <c r="W18" s="6">
        <f t="shared" si="6"/>
        <v>0.43473443823908475</v>
      </c>
      <c r="X18" t="str" cm="1">
        <f t="array" ref="X18">_xlfn.IFS(S18&lt;=25%, "Low", S18&lt;=75%, "Medium", S18&gt;75%, "High")</f>
        <v>High</v>
      </c>
      <c r="Y18" s="8">
        <f>Table1[[#This Row],[Quantity]]*(Table1[[#This Row],[UnitPrice]]*(1-Table1[[#This Row],[DiscountPct]]))</f>
        <v>10026.543952800001</v>
      </c>
      <c r="Z18" s="9">
        <f t="shared" si="7"/>
        <v>4358.8839528000008</v>
      </c>
      <c r="AA18">
        <f>COUNTIF($G$2:G19,G18)</f>
        <v>2</v>
      </c>
      <c r="AB18" s="21">
        <f t="shared" si="8"/>
        <v>44955</v>
      </c>
      <c r="AC18" s="21">
        <f t="shared" si="9"/>
        <v>44957</v>
      </c>
      <c r="AD18" s="5">
        <f>(Table1[[#This Row],[OrderDate]]-Table1[[#This Row],[Date of first order]])/30</f>
        <v>0.43333333333333335</v>
      </c>
      <c r="AE18" t="str">
        <f t="shared" si="10"/>
        <v>Good</v>
      </c>
      <c r="AF18">
        <f>COUNTIF(AE$2:AE19,AE18)</f>
        <v>8</v>
      </c>
      <c r="AG18" t="str">
        <f t="shared" si="11"/>
        <v>False</v>
      </c>
      <c r="AH18" s="7">
        <f>Table1[[#This Row],[UnitPrice]]*(1-Table1[[#This Row],[Disc Scenario]])*Table1[[#This Row],[Quantity]]</f>
        <v>10026.543952800001</v>
      </c>
      <c r="AI18">
        <f>ROUNDDOWN((Table1[[#This Row],[Quantity]]*(1+20%)),0)</f>
        <v>7</v>
      </c>
      <c r="AJ18" s="7">
        <f>Table1[[#This Row],[Quantity increase by 20%]]*Table1[[#This Row],[UnitPrice]]</f>
        <v>12431.0676</v>
      </c>
      <c r="AK18">
        <f>ROUNDDOWN(Table1[[#This Row],[Quantity]]*(1+20%),0)</f>
        <v>7</v>
      </c>
      <c r="AL18" s="7">
        <f>Table1[[#This Row],[UnitCost]]*(1+15%)</f>
        <v>1086.3015</v>
      </c>
      <c r="AM18" s="9">
        <f>Table1[[#This Row],[Quantity]]*Table1[[#This Row],[Cost of unit by inflation 15%]]</f>
        <v>6517.8090000000002</v>
      </c>
      <c r="AN18" s="21" cm="1">
        <f t="array" ref="AN18">_xlfn.UNIQUE(AC18)</f>
        <v>44957</v>
      </c>
    </row>
    <row r="19" spans="1:40" x14ac:dyDescent="0.35">
      <c r="A19" t="s">
        <v>79</v>
      </c>
      <c r="B19" s="21">
        <v>44972</v>
      </c>
      <c r="C19" s="10">
        <v>44983</v>
      </c>
      <c r="D19" s="3">
        <f t="shared" si="0"/>
        <v>11</v>
      </c>
      <c r="E19" s="10" t="str">
        <f t="shared" si="1"/>
        <v>Q1-2023</v>
      </c>
      <c r="F19" t="s">
        <v>645</v>
      </c>
      <c r="G19" t="s">
        <v>660</v>
      </c>
      <c r="H19" t="s">
        <v>681</v>
      </c>
      <c r="I19" t="s">
        <v>702</v>
      </c>
      <c r="J19" t="s">
        <v>706</v>
      </c>
      <c r="K19" t="s">
        <v>722</v>
      </c>
      <c r="L19" t="s">
        <v>730</v>
      </c>
      <c r="M19" t="s">
        <v>797</v>
      </c>
      <c r="N19" s="3">
        <v>498.5</v>
      </c>
      <c r="O19" s="3">
        <v>755.87</v>
      </c>
      <c r="P19" s="6">
        <v>0.13</v>
      </c>
      <c r="Q19" s="6">
        <f>IF(Table1[[#This Row],[DiscountPct]]&gt;25%,25%,Table1[[#This Row],[DiscountPct]])</f>
        <v>0.13</v>
      </c>
      <c r="R19" s="5">
        <v>40</v>
      </c>
      <c r="S19" s="6">
        <f t="shared" si="2"/>
        <v>0.51628886659979945</v>
      </c>
      <c r="T19" s="8">
        <f t="shared" si="3"/>
        <v>26304.275999999998</v>
      </c>
      <c r="U19" s="8">
        <f t="shared" si="4"/>
        <v>19940</v>
      </c>
      <c r="V19" s="9">
        <f t="shared" si="5"/>
        <v>6364.275999999998</v>
      </c>
      <c r="W19" s="6">
        <f t="shared" si="6"/>
        <v>0.24194834330357537</v>
      </c>
      <c r="X19" t="str" cm="1">
        <f t="array" ref="X19">_xlfn.IFS(S19&lt;=25%, "Low", S19&lt;=75%, "Medium", S19&gt;75%, "High")</f>
        <v>Medium</v>
      </c>
      <c r="Y19" s="8">
        <f>Table1[[#This Row],[Quantity]]*(Table1[[#This Row],[UnitPrice]]*(1-Table1[[#This Row],[DiscountPct]]))</f>
        <v>26304.275999999998</v>
      </c>
      <c r="Z19" s="9">
        <f t="shared" si="7"/>
        <v>6364.275999999998</v>
      </c>
      <c r="AA19">
        <f>COUNTIF($G$2:G20,G19)</f>
        <v>3</v>
      </c>
      <c r="AB19" s="21">
        <f t="shared" si="8"/>
        <v>44955</v>
      </c>
      <c r="AC19" s="21">
        <f t="shared" si="9"/>
        <v>44957</v>
      </c>
      <c r="AD19" s="5">
        <f>(Table1[[#This Row],[OrderDate]]-Table1[[#This Row],[Date of first order]])/30</f>
        <v>0.56666666666666665</v>
      </c>
      <c r="AE19" t="str">
        <f t="shared" si="10"/>
        <v>Poor</v>
      </c>
      <c r="AF19">
        <f>COUNTIF(AE$2:AE20,AE19)</f>
        <v>11</v>
      </c>
      <c r="AG19" t="str">
        <f t="shared" si="11"/>
        <v>False</v>
      </c>
      <c r="AH19" s="7">
        <f>Table1[[#This Row],[UnitPrice]]*(1-Table1[[#This Row],[Disc Scenario]])*Table1[[#This Row],[Quantity]]</f>
        <v>26304.275999999998</v>
      </c>
      <c r="AI19">
        <f>ROUNDDOWN((Table1[[#This Row],[Quantity]]*(1+20%)),0)</f>
        <v>48</v>
      </c>
      <c r="AJ19" s="7">
        <f>Table1[[#This Row],[Quantity increase by 20%]]*Table1[[#This Row],[UnitPrice]]</f>
        <v>36281.760000000002</v>
      </c>
      <c r="AK19">
        <f>ROUNDDOWN(Table1[[#This Row],[Quantity]]*(1+20%),0)</f>
        <v>48</v>
      </c>
      <c r="AL19" s="7">
        <f>Table1[[#This Row],[UnitCost]]*(1+15%)</f>
        <v>573.27499999999998</v>
      </c>
      <c r="AM19" s="9">
        <f>Table1[[#This Row],[Quantity]]*Table1[[#This Row],[Cost of unit by inflation 15%]]</f>
        <v>22931</v>
      </c>
      <c r="AN19" s="21" cm="1">
        <f t="array" ref="AN19">_xlfn.UNIQUE(AC19)</f>
        <v>44957</v>
      </c>
    </row>
    <row r="20" spans="1:40" x14ac:dyDescent="0.35">
      <c r="A20" t="s">
        <v>179</v>
      </c>
      <c r="B20" s="21">
        <v>44976</v>
      </c>
      <c r="C20" s="10">
        <v>44997</v>
      </c>
      <c r="D20" s="3">
        <f t="shared" si="0"/>
        <v>21</v>
      </c>
      <c r="E20" s="10" t="str">
        <f t="shared" si="1"/>
        <v>Q1-2023</v>
      </c>
      <c r="F20" t="s">
        <v>648</v>
      </c>
      <c r="G20" t="s">
        <v>655</v>
      </c>
      <c r="H20" t="s">
        <v>670</v>
      </c>
      <c r="I20" t="s">
        <v>704</v>
      </c>
      <c r="J20" t="s">
        <v>710</v>
      </c>
      <c r="K20" t="s">
        <v>715</v>
      </c>
      <c r="L20" t="s">
        <v>731</v>
      </c>
      <c r="M20" t="s">
        <v>897</v>
      </c>
      <c r="N20" s="3">
        <v>1234.81</v>
      </c>
      <c r="O20" s="3">
        <v>2055.2399999999998</v>
      </c>
      <c r="P20" s="6">
        <v>5.2999999999999999E-2</v>
      </c>
      <c r="Q20" s="6">
        <f>IF(Table1[[#This Row],[DiscountPct]]&gt;25%,25%,Table1[[#This Row],[DiscountPct]])</f>
        <v>5.2999999999999999E-2</v>
      </c>
      <c r="R20" s="5">
        <v>44</v>
      </c>
      <c r="S20" s="6">
        <f t="shared" si="2"/>
        <v>0.66441800762870395</v>
      </c>
      <c r="T20" s="8">
        <f t="shared" si="3"/>
        <v>85637.740319999997</v>
      </c>
      <c r="U20" s="8">
        <f t="shared" si="4"/>
        <v>54331.64</v>
      </c>
      <c r="V20" s="9">
        <f t="shared" si="5"/>
        <v>31306.100319999998</v>
      </c>
      <c r="W20" s="6">
        <f t="shared" si="6"/>
        <v>0.36556429680441616</v>
      </c>
      <c r="X20" t="str" cm="1">
        <f t="array" ref="X20">_xlfn.IFS(S20&lt;=25%, "Low", S20&lt;=75%, "Medium", S20&gt;75%, "High")</f>
        <v>Medium</v>
      </c>
      <c r="Y20" s="8">
        <f>Table1[[#This Row],[Quantity]]*(Table1[[#This Row],[UnitPrice]]*(1-Table1[[#This Row],[DiscountPct]]))</f>
        <v>85637.740319999983</v>
      </c>
      <c r="Z20" s="9">
        <f t="shared" si="7"/>
        <v>31306.100319999983</v>
      </c>
      <c r="AA20">
        <f>COUNTIF($G$2:G21,G20)</f>
        <v>4</v>
      </c>
      <c r="AB20" s="21">
        <f t="shared" si="8"/>
        <v>44955</v>
      </c>
      <c r="AC20" s="21">
        <f t="shared" si="9"/>
        <v>44957</v>
      </c>
      <c r="AD20" s="5">
        <f>(Table1[[#This Row],[OrderDate]]-Table1[[#This Row],[Date of first order]])/30</f>
        <v>0.7</v>
      </c>
      <c r="AE20" t="str">
        <f t="shared" si="10"/>
        <v>Poor</v>
      </c>
      <c r="AF20">
        <f>COUNTIF(AE$2:AE21,AE20)</f>
        <v>12</v>
      </c>
      <c r="AG20" t="str">
        <f t="shared" si="11"/>
        <v>False</v>
      </c>
      <c r="AH20" s="7">
        <f>Table1[[#This Row],[UnitPrice]]*(1-Table1[[#This Row],[Disc Scenario]])*Table1[[#This Row],[Quantity]]</f>
        <v>85637.740319999983</v>
      </c>
      <c r="AI20">
        <f>ROUNDDOWN((Table1[[#This Row],[Quantity]]*(1+20%)),0)</f>
        <v>52</v>
      </c>
      <c r="AJ20" s="7">
        <f>Table1[[#This Row],[Quantity increase by 20%]]*Table1[[#This Row],[UnitPrice]]</f>
        <v>106872.47999999998</v>
      </c>
      <c r="AK20">
        <f>ROUNDDOWN(Table1[[#This Row],[Quantity]]*(1+20%),0)</f>
        <v>52</v>
      </c>
      <c r="AL20" s="7">
        <f>Table1[[#This Row],[UnitCost]]*(1+15%)</f>
        <v>1420.0314999999998</v>
      </c>
      <c r="AM20" s="9">
        <f>Table1[[#This Row],[Quantity]]*Table1[[#This Row],[Cost of unit by inflation 15%]]</f>
        <v>62481.385999999991</v>
      </c>
      <c r="AN20" s="21" cm="1">
        <f t="array" ref="AN20">_xlfn.UNIQUE(AC20)</f>
        <v>44957</v>
      </c>
    </row>
    <row r="21" spans="1:40" x14ac:dyDescent="0.35">
      <c r="A21" t="s">
        <v>174</v>
      </c>
      <c r="B21" s="21">
        <v>44977</v>
      </c>
      <c r="C21" s="10">
        <v>44989</v>
      </c>
      <c r="D21" s="3">
        <f t="shared" si="0"/>
        <v>12</v>
      </c>
      <c r="E21" s="10" t="str">
        <f t="shared" si="1"/>
        <v>Q1-2023</v>
      </c>
      <c r="F21" t="s">
        <v>646</v>
      </c>
      <c r="G21" t="s">
        <v>653</v>
      </c>
      <c r="H21" t="s">
        <v>679</v>
      </c>
      <c r="I21" t="s">
        <v>703</v>
      </c>
      <c r="J21" t="s">
        <v>709</v>
      </c>
      <c r="K21" t="s">
        <v>723</v>
      </c>
      <c r="L21" t="s">
        <v>731</v>
      </c>
      <c r="M21" t="s">
        <v>892</v>
      </c>
      <c r="N21" s="3">
        <v>299.75</v>
      </c>
      <c r="O21" s="3">
        <v>523.01</v>
      </c>
      <c r="P21" s="6">
        <v>0.157</v>
      </c>
      <c r="Q21" s="6">
        <f>IF(Table1[[#This Row],[DiscountPct]]&gt;25%,25%,Table1[[#This Row],[DiscountPct]])</f>
        <v>0.157</v>
      </c>
      <c r="R21" s="5">
        <v>50</v>
      </c>
      <c r="S21" s="6">
        <f t="shared" si="2"/>
        <v>0.74482068390325273</v>
      </c>
      <c r="T21" s="8">
        <f t="shared" si="3"/>
        <v>22044.871499999997</v>
      </c>
      <c r="U21" s="8">
        <f t="shared" si="4"/>
        <v>14987.5</v>
      </c>
      <c r="V21" s="9">
        <f t="shared" si="5"/>
        <v>7057.3714999999975</v>
      </c>
      <c r="W21" s="6">
        <f t="shared" si="6"/>
        <v>0.32013665854210122</v>
      </c>
      <c r="X21" t="str" cm="1">
        <f t="array" ref="X21">_xlfn.IFS(S21&lt;=25%, "Low", S21&lt;=75%, "Medium", S21&gt;75%, "High")</f>
        <v>Medium</v>
      </c>
      <c r="Y21" s="8">
        <f>Table1[[#This Row],[Quantity]]*(Table1[[#This Row],[UnitPrice]]*(1-Table1[[#This Row],[DiscountPct]]))</f>
        <v>22044.871500000001</v>
      </c>
      <c r="Z21" s="9">
        <f t="shared" si="7"/>
        <v>7057.3715000000011</v>
      </c>
      <c r="AA21">
        <f>COUNTIF($G$2:G22,G21)</f>
        <v>1</v>
      </c>
      <c r="AB21" s="21">
        <f t="shared" si="8"/>
        <v>44977</v>
      </c>
      <c r="AC21" s="21">
        <f t="shared" si="9"/>
        <v>44985</v>
      </c>
      <c r="AD21" s="5">
        <f>(Table1[[#This Row],[OrderDate]]-Table1[[#This Row],[Date of first order]])/30</f>
        <v>0</v>
      </c>
      <c r="AE21" t="str">
        <f t="shared" si="10"/>
        <v>Poor</v>
      </c>
      <c r="AF21">
        <f>COUNTIF(AE$2:AE22,AE21)</f>
        <v>13</v>
      </c>
      <c r="AG21" t="str">
        <f t="shared" si="11"/>
        <v>False</v>
      </c>
      <c r="AH21" s="7">
        <f>Table1[[#This Row],[UnitPrice]]*(1-Table1[[#This Row],[Disc Scenario]])*Table1[[#This Row],[Quantity]]</f>
        <v>22044.871500000001</v>
      </c>
      <c r="AI21">
        <f>ROUNDDOWN((Table1[[#This Row],[Quantity]]*(1+20%)),0)</f>
        <v>60</v>
      </c>
      <c r="AJ21" s="7">
        <f>Table1[[#This Row],[Quantity increase by 20%]]*Table1[[#This Row],[UnitPrice]]</f>
        <v>31380.6</v>
      </c>
      <c r="AK21">
        <f>ROUNDDOWN(Table1[[#This Row],[Quantity]]*(1+20%),0)</f>
        <v>60</v>
      </c>
      <c r="AL21" s="7">
        <f>Table1[[#This Row],[UnitCost]]*(1+15%)</f>
        <v>344.71249999999998</v>
      </c>
      <c r="AM21" s="9">
        <f>Table1[[#This Row],[Quantity]]*Table1[[#This Row],[Cost of unit by inflation 15%]]</f>
        <v>17235.625</v>
      </c>
      <c r="AN21" s="21" cm="1">
        <f t="array" ref="AN21">_xlfn.UNIQUE(AC21)</f>
        <v>44985</v>
      </c>
    </row>
    <row r="22" spans="1:40" x14ac:dyDescent="0.35">
      <c r="A22" t="s">
        <v>452</v>
      </c>
      <c r="B22" s="21">
        <v>44978</v>
      </c>
      <c r="C22" s="10">
        <v>44997</v>
      </c>
      <c r="D22" s="3">
        <f t="shared" si="0"/>
        <v>19</v>
      </c>
      <c r="E22" s="10" t="str">
        <f t="shared" si="1"/>
        <v>Q1-2023</v>
      </c>
      <c r="F22" t="s">
        <v>645</v>
      </c>
      <c r="G22" t="s">
        <v>649</v>
      </c>
      <c r="H22" t="s">
        <v>677</v>
      </c>
      <c r="I22" t="s">
        <v>700</v>
      </c>
      <c r="J22" t="s">
        <v>707</v>
      </c>
      <c r="K22" t="s">
        <v>720</v>
      </c>
      <c r="L22" t="s">
        <v>728</v>
      </c>
      <c r="M22" t="s">
        <v>1169</v>
      </c>
      <c r="N22" s="3">
        <v>352.65</v>
      </c>
      <c r="O22" s="3">
        <v>485.86</v>
      </c>
      <c r="P22" s="6">
        <v>4.1000000000000002E-2</v>
      </c>
      <c r="Q22" s="6">
        <f>IF(Table1[[#This Row],[DiscountPct]]&gt;25%,25%,Table1[[#This Row],[DiscountPct]])</f>
        <v>4.1000000000000002E-2</v>
      </c>
      <c r="R22" s="5">
        <v>6</v>
      </c>
      <c r="S22" s="6">
        <f t="shared" si="2"/>
        <v>0.37773996880759975</v>
      </c>
      <c r="T22" s="8">
        <f t="shared" si="3"/>
        <v>2795.6384399999997</v>
      </c>
      <c r="U22" s="8">
        <f t="shared" si="4"/>
        <v>2115.8999999999996</v>
      </c>
      <c r="V22" s="9">
        <f t="shared" si="5"/>
        <v>679.73844000000008</v>
      </c>
      <c r="W22" s="6">
        <f t="shared" si="6"/>
        <v>0.24314247159943908</v>
      </c>
      <c r="X22" t="str" cm="1">
        <f t="array" ref="X22">_xlfn.IFS(S22&lt;=25%, "Low", S22&lt;=75%, "Medium", S22&gt;75%, "High")</f>
        <v>Medium</v>
      </c>
      <c r="Y22" s="8">
        <f>Table1[[#This Row],[Quantity]]*(Table1[[#This Row],[UnitPrice]]*(1-Table1[[#This Row],[DiscountPct]]))</f>
        <v>2795.6384399999997</v>
      </c>
      <c r="Z22" s="9">
        <f t="shared" si="7"/>
        <v>679.73844000000008</v>
      </c>
      <c r="AA22">
        <f>COUNTIF($G$2:G23,G22)</f>
        <v>2</v>
      </c>
      <c r="AB22" s="21">
        <f t="shared" si="8"/>
        <v>44977</v>
      </c>
      <c r="AC22" s="21">
        <f t="shared" si="9"/>
        <v>44985</v>
      </c>
      <c r="AD22" s="5">
        <f>(Table1[[#This Row],[OrderDate]]-Table1[[#This Row],[Date of first order]])/30</f>
        <v>3.3333333333333333E-2</v>
      </c>
      <c r="AE22" t="str">
        <f t="shared" si="10"/>
        <v>Poor</v>
      </c>
      <c r="AF22">
        <f>COUNTIF(AE$2:AE23,AE22)</f>
        <v>14</v>
      </c>
      <c r="AG22" t="str">
        <f t="shared" si="11"/>
        <v>False</v>
      </c>
      <c r="AH22" s="7">
        <f>Table1[[#This Row],[UnitPrice]]*(1-Table1[[#This Row],[Disc Scenario]])*Table1[[#This Row],[Quantity]]</f>
        <v>2795.6384399999997</v>
      </c>
      <c r="AI22">
        <f>ROUNDDOWN((Table1[[#This Row],[Quantity]]*(1+20%)),0)</f>
        <v>7</v>
      </c>
      <c r="AJ22" s="7">
        <f>Table1[[#This Row],[Quantity increase by 20%]]*Table1[[#This Row],[UnitPrice]]</f>
        <v>3401.02</v>
      </c>
      <c r="AK22">
        <f>ROUNDDOWN(Table1[[#This Row],[Quantity]]*(1+20%),0)</f>
        <v>7</v>
      </c>
      <c r="AL22" s="7">
        <f>Table1[[#This Row],[UnitCost]]*(1+15%)</f>
        <v>405.54749999999996</v>
      </c>
      <c r="AM22" s="9">
        <f>Table1[[#This Row],[Quantity]]*Table1[[#This Row],[Cost of unit by inflation 15%]]</f>
        <v>2433.2849999999999</v>
      </c>
      <c r="AN22" s="21" cm="1">
        <f t="array" ref="AN22">_xlfn.UNIQUE(AC22)</f>
        <v>44985</v>
      </c>
    </row>
    <row r="23" spans="1:40" x14ac:dyDescent="0.35">
      <c r="A23" t="s">
        <v>46</v>
      </c>
      <c r="B23" s="21">
        <v>44980</v>
      </c>
      <c r="C23" s="10">
        <v>45010</v>
      </c>
      <c r="D23" s="3">
        <f t="shared" si="0"/>
        <v>30</v>
      </c>
      <c r="E23" s="10" t="str">
        <f t="shared" si="1"/>
        <v>Q1-2023</v>
      </c>
      <c r="F23" t="s">
        <v>647</v>
      </c>
      <c r="G23" t="s">
        <v>652</v>
      </c>
      <c r="H23" t="s">
        <v>680</v>
      </c>
      <c r="I23" t="s">
        <v>705</v>
      </c>
      <c r="J23" t="s">
        <v>707</v>
      </c>
      <c r="K23" t="s">
        <v>725</v>
      </c>
      <c r="L23" t="s">
        <v>729</v>
      </c>
      <c r="M23" t="s">
        <v>764</v>
      </c>
      <c r="N23" s="3">
        <v>1242.6600000000001</v>
      </c>
      <c r="O23" s="3">
        <v>1794.07</v>
      </c>
      <c r="P23" s="6">
        <v>8.8999999999999996E-2</v>
      </c>
      <c r="Q23" s="6">
        <f>IF(Table1[[#This Row],[DiscountPct]]&gt;25%,25%,Table1[[#This Row],[DiscountPct]])</f>
        <v>8.8999999999999996E-2</v>
      </c>
      <c r="R23" s="5">
        <v>16</v>
      </c>
      <c r="S23" s="6">
        <f t="shared" si="2"/>
        <v>0.44373360372104986</v>
      </c>
      <c r="T23" s="8">
        <f t="shared" si="3"/>
        <v>26150.364320000001</v>
      </c>
      <c r="U23" s="8">
        <f t="shared" si="4"/>
        <v>19882.560000000001</v>
      </c>
      <c r="V23" s="9">
        <f t="shared" si="5"/>
        <v>6267.8043199999993</v>
      </c>
      <c r="W23" s="6">
        <f t="shared" si="6"/>
        <v>0.23968325042440553</v>
      </c>
      <c r="X23" t="str" cm="1">
        <f t="array" ref="X23">_xlfn.IFS(S23&lt;=25%, "Low", S23&lt;=75%, "Medium", S23&gt;75%, "High")</f>
        <v>Medium</v>
      </c>
      <c r="Y23" s="8">
        <f>Table1[[#This Row],[Quantity]]*(Table1[[#This Row],[UnitPrice]]*(1-Table1[[#This Row],[DiscountPct]]))</f>
        <v>26150.364320000001</v>
      </c>
      <c r="Z23" s="9">
        <f t="shared" si="7"/>
        <v>6267.8043199999993</v>
      </c>
      <c r="AA23">
        <f>COUNTIF($G$2:G24,G23)</f>
        <v>2</v>
      </c>
      <c r="AB23" s="21">
        <f t="shared" si="8"/>
        <v>44977</v>
      </c>
      <c r="AC23" s="21">
        <f t="shared" si="9"/>
        <v>44985</v>
      </c>
      <c r="AD23" s="5">
        <f>(Table1[[#This Row],[OrderDate]]-Table1[[#This Row],[Date of first order]])/30</f>
        <v>0.1</v>
      </c>
      <c r="AE23" t="str">
        <f t="shared" si="10"/>
        <v>Poor</v>
      </c>
      <c r="AF23">
        <f>COUNTIF(AE$2:AE24,AE23)</f>
        <v>15</v>
      </c>
      <c r="AG23" t="str">
        <f t="shared" si="11"/>
        <v>False</v>
      </c>
      <c r="AH23" s="7">
        <f>Table1[[#This Row],[UnitPrice]]*(1-Table1[[#This Row],[Disc Scenario]])*Table1[[#This Row],[Quantity]]</f>
        <v>26150.364320000001</v>
      </c>
      <c r="AI23">
        <f>ROUNDDOWN((Table1[[#This Row],[Quantity]]*(1+20%)),0)</f>
        <v>19</v>
      </c>
      <c r="AJ23" s="7">
        <f>Table1[[#This Row],[Quantity increase by 20%]]*Table1[[#This Row],[UnitPrice]]</f>
        <v>34087.33</v>
      </c>
      <c r="AK23">
        <f>ROUNDDOWN(Table1[[#This Row],[Quantity]]*(1+20%),0)</f>
        <v>19</v>
      </c>
      <c r="AL23" s="7">
        <f>Table1[[#This Row],[UnitCost]]*(1+15%)</f>
        <v>1429.059</v>
      </c>
      <c r="AM23" s="9">
        <f>Table1[[#This Row],[Quantity]]*Table1[[#This Row],[Cost of unit by inflation 15%]]</f>
        <v>22864.944</v>
      </c>
      <c r="AN23" s="21" cm="1">
        <f t="array" ref="AN23">_xlfn.UNIQUE(AC23)</f>
        <v>44985</v>
      </c>
    </row>
    <row r="24" spans="1:40" x14ac:dyDescent="0.35">
      <c r="A24" t="s">
        <v>515</v>
      </c>
      <c r="B24" s="21">
        <v>44980</v>
      </c>
      <c r="C24" s="10">
        <v>45003</v>
      </c>
      <c r="D24" s="3">
        <f t="shared" si="0"/>
        <v>23</v>
      </c>
      <c r="E24" s="10" t="str">
        <f t="shared" si="1"/>
        <v>Q1-2023</v>
      </c>
      <c r="F24" t="s">
        <v>646</v>
      </c>
      <c r="G24" t="s">
        <v>658</v>
      </c>
      <c r="H24" t="s">
        <v>698</v>
      </c>
      <c r="I24" t="s">
        <v>701</v>
      </c>
      <c r="J24" t="s">
        <v>709</v>
      </c>
      <c r="K24" t="s">
        <v>722</v>
      </c>
      <c r="L24" t="s">
        <v>727</v>
      </c>
      <c r="M24" t="s">
        <v>1232</v>
      </c>
      <c r="N24" s="3">
        <v>770.11</v>
      </c>
      <c r="O24" s="3">
        <v>1667.82</v>
      </c>
      <c r="P24" s="6">
        <v>6.9000000000000006E-2</v>
      </c>
      <c r="Q24" s="6">
        <f>IF(Table1[[#This Row],[DiscountPct]]&gt;25%,25%,Table1[[#This Row],[DiscountPct]])</f>
        <v>6.9000000000000006E-2</v>
      </c>
      <c r="R24" s="5">
        <v>7</v>
      </c>
      <c r="S24" s="6">
        <f t="shared" si="2"/>
        <v>1.1656906156263389</v>
      </c>
      <c r="T24" s="8">
        <f t="shared" si="3"/>
        <v>10869.182940000001</v>
      </c>
      <c r="U24" s="8">
        <f t="shared" si="4"/>
        <v>5390.77</v>
      </c>
      <c r="V24" s="9">
        <f t="shared" si="5"/>
        <v>5478.4129400000002</v>
      </c>
      <c r="W24" s="6">
        <f t="shared" si="6"/>
        <v>0.50403171703355287</v>
      </c>
      <c r="X24" t="str" cm="1">
        <f t="array" ref="X24">_xlfn.IFS(S24&lt;=25%, "Low", S24&lt;=75%, "Medium", S24&gt;75%, "High")</f>
        <v>High</v>
      </c>
      <c r="Y24" s="8">
        <f>Table1[[#This Row],[Quantity]]*(Table1[[#This Row],[UnitPrice]]*(1-Table1[[#This Row],[DiscountPct]]))</f>
        <v>10869.182940000001</v>
      </c>
      <c r="Z24" s="9">
        <f t="shared" si="7"/>
        <v>5478.4129400000002</v>
      </c>
      <c r="AA24">
        <f>COUNTIF($G$2:G25,G24)</f>
        <v>2</v>
      </c>
      <c r="AB24" s="21">
        <f t="shared" si="8"/>
        <v>44977</v>
      </c>
      <c r="AC24" s="21">
        <f t="shared" si="9"/>
        <v>44985</v>
      </c>
      <c r="AD24" s="5">
        <f>(Table1[[#This Row],[OrderDate]]-Table1[[#This Row],[Date of first order]])/30</f>
        <v>0.1</v>
      </c>
      <c r="AE24" t="str">
        <f t="shared" si="10"/>
        <v>Poor</v>
      </c>
      <c r="AF24">
        <f>COUNTIF(AE$2:AE25,AE24)</f>
        <v>16</v>
      </c>
      <c r="AG24" t="str">
        <f t="shared" si="11"/>
        <v>False</v>
      </c>
      <c r="AH24" s="7">
        <f>Table1[[#This Row],[UnitPrice]]*(1-Table1[[#This Row],[Disc Scenario]])*Table1[[#This Row],[Quantity]]</f>
        <v>10869.182940000001</v>
      </c>
      <c r="AI24">
        <f>ROUNDDOWN((Table1[[#This Row],[Quantity]]*(1+20%)),0)</f>
        <v>8</v>
      </c>
      <c r="AJ24" s="7">
        <f>Table1[[#This Row],[Quantity increase by 20%]]*Table1[[#This Row],[UnitPrice]]</f>
        <v>13342.56</v>
      </c>
      <c r="AK24">
        <f>ROUNDDOWN(Table1[[#This Row],[Quantity]]*(1+20%),0)</f>
        <v>8</v>
      </c>
      <c r="AL24" s="7">
        <f>Table1[[#This Row],[UnitCost]]*(1+15%)</f>
        <v>885.62649999999996</v>
      </c>
      <c r="AM24" s="9">
        <f>Table1[[#This Row],[Quantity]]*Table1[[#This Row],[Cost of unit by inflation 15%]]</f>
        <v>6199.3854999999994</v>
      </c>
      <c r="AN24" s="21" cm="1">
        <f t="array" ref="AN24">_xlfn.UNIQUE(AC24)</f>
        <v>44985</v>
      </c>
    </row>
    <row r="25" spans="1:40" x14ac:dyDescent="0.35">
      <c r="A25" t="s">
        <v>363</v>
      </c>
      <c r="B25" s="21">
        <v>44980</v>
      </c>
      <c r="C25" s="10">
        <v>44993</v>
      </c>
      <c r="D25" s="3">
        <f t="shared" si="0"/>
        <v>13</v>
      </c>
      <c r="E25" s="10" t="str">
        <f t="shared" si="1"/>
        <v>Q1-2023</v>
      </c>
      <c r="F25" t="s">
        <v>648</v>
      </c>
      <c r="G25" t="s">
        <v>657</v>
      </c>
      <c r="H25" t="s">
        <v>692</v>
      </c>
      <c r="I25" t="s">
        <v>704</v>
      </c>
      <c r="J25" t="s">
        <v>710</v>
      </c>
      <c r="K25" t="s">
        <v>711</v>
      </c>
      <c r="L25" t="s">
        <v>727</v>
      </c>
      <c r="M25" t="s">
        <v>1081</v>
      </c>
      <c r="N25" s="3">
        <v>307.37</v>
      </c>
      <c r="O25" s="3">
        <v>462.61</v>
      </c>
      <c r="P25" s="6">
        <v>0.188</v>
      </c>
      <c r="Q25" s="6">
        <f>IF(Table1[[#This Row],[DiscountPct]]&gt;25%,25%,Table1[[#This Row],[DiscountPct]])</f>
        <v>0.188</v>
      </c>
      <c r="R25" s="5">
        <v>11</v>
      </c>
      <c r="S25" s="6">
        <f t="shared" si="2"/>
        <v>0.50505904935419854</v>
      </c>
      <c r="T25" s="8">
        <f t="shared" si="3"/>
        <v>4132.0325200000007</v>
      </c>
      <c r="U25" s="8">
        <f t="shared" si="4"/>
        <v>3381.07</v>
      </c>
      <c r="V25" s="9">
        <f t="shared" si="5"/>
        <v>750.9625200000005</v>
      </c>
      <c r="W25" s="6">
        <f t="shared" si="6"/>
        <v>0.18174167709599739</v>
      </c>
      <c r="X25" t="str" cm="1">
        <f t="array" ref="X25">_xlfn.IFS(S25&lt;=25%, "Low", S25&lt;=75%, "Medium", S25&gt;75%, "High")</f>
        <v>Medium</v>
      </c>
      <c r="Y25" s="8">
        <f>Table1[[#This Row],[Quantity]]*(Table1[[#This Row],[UnitPrice]]*(1-Table1[[#This Row],[DiscountPct]]))</f>
        <v>4132.0325200000007</v>
      </c>
      <c r="Z25" s="9">
        <f t="shared" si="7"/>
        <v>750.9625200000005</v>
      </c>
      <c r="AA25">
        <f>COUNTIF($G$2:G26,G25)</f>
        <v>3</v>
      </c>
      <c r="AB25" s="21">
        <f t="shared" si="8"/>
        <v>44977</v>
      </c>
      <c r="AC25" s="21">
        <f t="shared" si="9"/>
        <v>44985</v>
      </c>
      <c r="AD25" s="5">
        <f>(Table1[[#This Row],[OrderDate]]-Table1[[#This Row],[Date of first order]])/30</f>
        <v>0.1</v>
      </c>
      <c r="AE25" t="str">
        <f t="shared" si="10"/>
        <v>Poor</v>
      </c>
      <c r="AF25">
        <f>COUNTIF(AE$2:AE26,AE25)</f>
        <v>17</v>
      </c>
      <c r="AG25" t="str">
        <f t="shared" si="11"/>
        <v>False</v>
      </c>
      <c r="AH25" s="7">
        <f>Table1[[#This Row],[UnitPrice]]*(1-Table1[[#This Row],[Disc Scenario]])*Table1[[#This Row],[Quantity]]</f>
        <v>4132.0325200000007</v>
      </c>
      <c r="AI25">
        <f>ROUNDDOWN((Table1[[#This Row],[Quantity]]*(1+20%)),0)</f>
        <v>13</v>
      </c>
      <c r="AJ25" s="7">
        <f>Table1[[#This Row],[Quantity increase by 20%]]*Table1[[#This Row],[UnitPrice]]</f>
        <v>6013.93</v>
      </c>
      <c r="AK25">
        <f>ROUNDDOWN(Table1[[#This Row],[Quantity]]*(1+20%),0)</f>
        <v>13</v>
      </c>
      <c r="AL25" s="7">
        <f>Table1[[#This Row],[UnitCost]]*(1+15%)</f>
        <v>353.47549999999995</v>
      </c>
      <c r="AM25" s="9">
        <f>Table1[[#This Row],[Quantity]]*Table1[[#This Row],[Cost of unit by inflation 15%]]</f>
        <v>3888.2304999999997</v>
      </c>
      <c r="AN25" s="21" cm="1">
        <f t="array" ref="AN25">_xlfn.UNIQUE(AC25)</f>
        <v>44985</v>
      </c>
    </row>
    <row r="26" spans="1:40" x14ac:dyDescent="0.35">
      <c r="A26" t="s">
        <v>186</v>
      </c>
      <c r="B26" s="21">
        <v>44981</v>
      </c>
      <c r="C26" s="10">
        <v>44994</v>
      </c>
      <c r="D26" s="3">
        <f t="shared" si="0"/>
        <v>13</v>
      </c>
      <c r="E26" s="10" t="str">
        <f t="shared" si="1"/>
        <v>Q1-2023</v>
      </c>
      <c r="F26" t="s">
        <v>647</v>
      </c>
      <c r="G26" t="s">
        <v>659</v>
      </c>
      <c r="H26" t="s">
        <v>699</v>
      </c>
      <c r="I26" t="s">
        <v>705</v>
      </c>
      <c r="J26" t="s">
        <v>707</v>
      </c>
      <c r="K26" t="s">
        <v>723</v>
      </c>
      <c r="L26" t="s">
        <v>726</v>
      </c>
      <c r="M26" t="s">
        <v>904</v>
      </c>
      <c r="N26" s="3">
        <v>6.85</v>
      </c>
      <c r="O26" s="3">
        <v>10.18</v>
      </c>
      <c r="P26" s="6">
        <v>4.7E-2</v>
      </c>
      <c r="Q26" s="6">
        <f>IF(Table1[[#This Row],[DiscountPct]]&gt;25%,25%,Table1[[#This Row],[DiscountPct]])</f>
        <v>4.7E-2</v>
      </c>
      <c r="R26" s="5">
        <v>10</v>
      </c>
      <c r="S26" s="6">
        <f t="shared" si="2"/>
        <v>0.48613138686131391</v>
      </c>
      <c r="T26" s="8">
        <f t="shared" si="3"/>
        <v>97.0154</v>
      </c>
      <c r="U26" s="8">
        <f t="shared" si="4"/>
        <v>68.5</v>
      </c>
      <c r="V26" s="9">
        <f t="shared" si="5"/>
        <v>28.5154</v>
      </c>
      <c r="W26" s="6">
        <f t="shared" si="6"/>
        <v>0.2939265312517394</v>
      </c>
      <c r="X26" t="str" cm="1">
        <f t="array" ref="X26">_xlfn.IFS(S26&lt;=25%, "Low", S26&lt;=75%, "Medium", S26&gt;75%, "High")</f>
        <v>Medium</v>
      </c>
      <c r="Y26" s="8">
        <f>Table1[[#This Row],[Quantity]]*(Table1[[#This Row],[UnitPrice]]*(1-Table1[[#This Row],[DiscountPct]]))</f>
        <v>97.0154</v>
      </c>
      <c r="Z26" s="9">
        <f t="shared" si="7"/>
        <v>28.5154</v>
      </c>
      <c r="AA26">
        <f>COUNTIF($G$2:G27,G26)</f>
        <v>4</v>
      </c>
      <c r="AB26" s="21">
        <f t="shared" si="8"/>
        <v>44977</v>
      </c>
      <c r="AC26" s="21">
        <f t="shared" si="9"/>
        <v>44985</v>
      </c>
      <c r="AD26" s="5">
        <f>(Table1[[#This Row],[OrderDate]]-Table1[[#This Row],[Date of first order]])/30</f>
        <v>0.13333333333333333</v>
      </c>
      <c r="AE26" t="str">
        <f t="shared" si="10"/>
        <v>Poor</v>
      </c>
      <c r="AF26">
        <f>COUNTIF(AE$2:AE27,AE26)</f>
        <v>17</v>
      </c>
      <c r="AG26" t="str">
        <f t="shared" si="11"/>
        <v>False</v>
      </c>
      <c r="AH26" s="7">
        <f>Table1[[#This Row],[UnitPrice]]*(1-Table1[[#This Row],[Disc Scenario]])*Table1[[#This Row],[Quantity]]</f>
        <v>97.0154</v>
      </c>
      <c r="AI26">
        <f>ROUNDDOWN((Table1[[#This Row],[Quantity]]*(1+20%)),0)</f>
        <v>12</v>
      </c>
      <c r="AJ26" s="7">
        <f>Table1[[#This Row],[Quantity increase by 20%]]*Table1[[#This Row],[UnitPrice]]</f>
        <v>122.16</v>
      </c>
      <c r="AK26">
        <f>ROUNDDOWN(Table1[[#This Row],[Quantity]]*(1+20%),0)</f>
        <v>12</v>
      </c>
      <c r="AL26" s="7">
        <f>Table1[[#This Row],[UnitCost]]*(1+15%)</f>
        <v>7.8774999999999986</v>
      </c>
      <c r="AM26" s="9">
        <f>Table1[[#This Row],[Quantity]]*Table1[[#This Row],[Cost of unit by inflation 15%]]</f>
        <v>78.774999999999991</v>
      </c>
      <c r="AN26" s="21" cm="1">
        <f t="array" ref="AN26">_xlfn.UNIQUE(AC26)</f>
        <v>44985</v>
      </c>
    </row>
    <row r="27" spans="1:40" x14ac:dyDescent="0.35">
      <c r="A27" t="s">
        <v>605</v>
      </c>
      <c r="B27" s="21">
        <v>44983</v>
      </c>
      <c r="C27" s="10">
        <v>44984</v>
      </c>
      <c r="D27" s="3">
        <f t="shared" si="0"/>
        <v>1</v>
      </c>
      <c r="E27" s="10" t="str">
        <f t="shared" si="1"/>
        <v>Q1-2023</v>
      </c>
      <c r="F27" t="s">
        <v>647</v>
      </c>
      <c r="G27" t="s">
        <v>659</v>
      </c>
      <c r="H27" t="s">
        <v>685</v>
      </c>
      <c r="I27" t="s">
        <v>702</v>
      </c>
      <c r="J27" t="s">
        <v>707</v>
      </c>
      <c r="K27" t="s">
        <v>715</v>
      </c>
      <c r="L27" t="s">
        <v>728</v>
      </c>
      <c r="M27" t="s">
        <v>1321</v>
      </c>
      <c r="N27" s="3">
        <v>1015.91</v>
      </c>
      <c r="O27" s="3">
        <v>2331.48</v>
      </c>
      <c r="P27" s="6">
        <v>0.14599999999999999</v>
      </c>
      <c r="Q27" s="6">
        <f>IF(Table1[[#This Row],[DiscountPct]]&gt;25%,25%,Table1[[#This Row],[DiscountPct]])</f>
        <v>0.14599999999999999</v>
      </c>
      <c r="R27" s="5">
        <v>26</v>
      </c>
      <c r="S27" s="6">
        <f t="shared" si="2"/>
        <v>1.2949670738549677</v>
      </c>
      <c r="T27" s="8">
        <f t="shared" si="3"/>
        <v>51768.181920000003</v>
      </c>
      <c r="U27" s="8">
        <f t="shared" si="4"/>
        <v>26413.66</v>
      </c>
      <c r="V27" s="9">
        <f t="shared" si="5"/>
        <v>25354.521920000003</v>
      </c>
      <c r="W27" s="6">
        <f t="shared" si="6"/>
        <v>0.48977037592669626</v>
      </c>
      <c r="X27" t="str" cm="1">
        <f t="array" ref="X27">_xlfn.IFS(S27&lt;=25%, "Low", S27&lt;=75%, "Medium", S27&gt;75%, "High")</f>
        <v>High</v>
      </c>
      <c r="Y27" s="8">
        <f>Table1[[#This Row],[Quantity]]*(Table1[[#This Row],[UnitPrice]]*(1-Table1[[#This Row],[DiscountPct]]))</f>
        <v>51768.181920000003</v>
      </c>
      <c r="Z27" s="9">
        <f t="shared" si="7"/>
        <v>25354.521920000003</v>
      </c>
      <c r="AA27">
        <f>COUNTIF($G$2:G28,G27)</f>
        <v>4</v>
      </c>
      <c r="AB27" s="21">
        <f t="shared" si="8"/>
        <v>44977</v>
      </c>
      <c r="AC27" s="21">
        <f t="shared" si="9"/>
        <v>44985</v>
      </c>
      <c r="AD27" s="5">
        <f>(Table1[[#This Row],[OrderDate]]-Table1[[#This Row],[Date of first order]])/30</f>
        <v>0.2</v>
      </c>
      <c r="AE27" t="str">
        <f t="shared" si="10"/>
        <v>Good</v>
      </c>
      <c r="AF27">
        <f>COUNTIF(AE$2:AE28,AE27)</f>
        <v>10</v>
      </c>
      <c r="AG27" t="str">
        <f t="shared" si="11"/>
        <v>False</v>
      </c>
      <c r="AH27" s="7">
        <f>Table1[[#This Row],[UnitPrice]]*(1-Table1[[#This Row],[Disc Scenario]])*Table1[[#This Row],[Quantity]]</f>
        <v>51768.181920000003</v>
      </c>
      <c r="AI27">
        <f>ROUNDDOWN((Table1[[#This Row],[Quantity]]*(1+20%)),0)</f>
        <v>31</v>
      </c>
      <c r="AJ27" s="7">
        <f>Table1[[#This Row],[Quantity increase by 20%]]*Table1[[#This Row],[UnitPrice]]</f>
        <v>72275.88</v>
      </c>
      <c r="AK27">
        <f>ROUNDDOWN(Table1[[#This Row],[Quantity]]*(1+20%),0)</f>
        <v>31</v>
      </c>
      <c r="AL27" s="7">
        <f>Table1[[#This Row],[UnitCost]]*(1+15%)</f>
        <v>1168.2964999999999</v>
      </c>
      <c r="AM27" s="9">
        <f>Table1[[#This Row],[Quantity]]*Table1[[#This Row],[Cost of unit by inflation 15%]]</f>
        <v>30375.708999999999</v>
      </c>
      <c r="AN27" s="21" cm="1">
        <f t="array" ref="AN27">_xlfn.UNIQUE(AC27)</f>
        <v>44985</v>
      </c>
    </row>
    <row r="28" spans="1:40" x14ac:dyDescent="0.35">
      <c r="A28" t="s">
        <v>335</v>
      </c>
      <c r="B28" s="21">
        <v>44984</v>
      </c>
      <c r="C28" s="10">
        <v>44985</v>
      </c>
      <c r="D28" s="3">
        <f t="shared" si="0"/>
        <v>1</v>
      </c>
      <c r="E28" s="10" t="str">
        <f t="shared" si="1"/>
        <v>Q1-2023</v>
      </c>
      <c r="F28" t="s">
        <v>648</v>
      </c>
      <c r="G28" t="s">
        <v>656</v>
      </c>
      <c r="H28" t="s">
        <v>672</v>
      </c>
      <c r="I28" t="s">
        <v>700</v>
      </c>
      <c r="J28" t="s">
        <v>706</v>
      </c>
      <c r="K28" t="s">
        <v>722</v>
      </c>
      <c r="L28" t="s">
        <v>728</v>
      </c>
      <c r="M28" t="s">
        <v>1053</v>
      </c>
      <c r="N28" s="3">
        <v>1299.81</v>
      </c>
      <c r="O28" s="3">
        <v>3149.13</v>
      </c>
      <c r="P28" s="6">
        <v>0.10299999999999999</v>
      </c>
      <c r="Q28" s="6">
        <f>IF(Table1[[#This Row],[DiscountPct]]&gt;25%,25%,Table1[[#This Row],[DiscountPct]])</f>
        <v>0.10299999999999999</v>
      </c>
      <c r="R28" s="5">
        <v>14</v>
      </c>
      <c r="S28" s="6">
        <f t="shared" si="2"/>
        <v>1.4227617882613615</v>
      </c>
      <c r="T28" s="8">
        <f t="shared" si="3"/>
        <v>39546.774539999999</v>
      </c>
      <c r="U28" s="8">
        <f t="shared" si="4"/>
        <v>18197.34</v>
      </c>
      <c r="V28" s="9">
        <f t="shared" si="5"/>
        <v>21349.434539999998</v>
      </c>
      <c r="W28" s="6">
        <f t="shared" si="6"/>
        <v>0.53985273864511729</v>
      </c>
      <c r="X28" t="str" cm="1">
        <f t="array" ref="X28">_xlfn.IFS(S28&lt;=25%, "Low", S28&lt;=75%, "Medium", S28&gt;75%, "High")</f>
        <v>High</v>
      </c>
      <c r="Y28" s="8">
        <f>Table1[[#This Row],[Quantity]]*(Table1[[#This Row],[UnitPrice]]*(1-Table1[[#This Row],[DiscountPct]]))</f>
        <v>39546.774540000006</v>
      </c>
      <c r="Z28" s="9">
        <f t="shared" si="7"/>
        <v>21349.434540000006</v>
      </c>
      <c r="AA28">
        <f>COUNTIF($G$2:G29,G28)</f>
        <v>2</v>
      </c>
      <c r="AB28" s="21">
        <f t="shared" si="8"/>
        <v>44977</v>
      </c>
      <c r="AC28" s="21">
        <f t="shared" si="9"/>
        <v>44985</v>
      </c>
      <c r="AD28" s="5">
        <f>(Table1[[#This Row],[OrderDate]]-Table1[[#This Row],[Date of first order]])/30</f>
        <v>0.23333333333333334</v>
      </c>
      <c r="AE28" t="str">
        <f t="shared" si="10"/>
        <v>Good</v>
      </c>
      <c r="AF28">
        <f>COUNTIF(AE$2:AE29,AE28)</f>
        <v>11</v>
      </c>
      <c r="AG28" t="str">
        <f t="shared" si="11"/>
        <v>False</v>
      </c>
      <c r="AH28" s="7">
        <f>Table1[[#This Row],[UnitPrice]]*(1-Table1[[#This Row],[Disc Scenario]])*Table1[[#This Row],[Quantity]]</f>
        <v>39546.774540000006</v>
      </c>
      <c r="AI28">
        <f>ROUNDDOWN((Table1[[#This Row],[Quantity]]*(1+20%)),0)</f>
        <v>16</v>
      </c>
      <c r="AJ28" s="7">
        <f>Table1[[#This Row],[Quantity increase by 20%]]*Table1[[#This Row],[UnitPrice]]</f>
        <v>50386.080000000002</v>
      </c>
      <c r="AK28">
        <f>ROUNDDOWN(Table1[[#This Row],[Quantity]]*(1+20%),0)</f>
        <v>16</v>
      </c>
      <c r="AL28" s="7">
        <f>Table1[[#This Row],[UnitCost]]*(1+15%)</f>
        <v>1494.7814999999998</v>
      </c>
      <c r="AM28" s="9">
        <f>Table1[[#This Row],[Quantity]]*Table1[[#This Row],[Cost of unit by inflation 15%]]</f>
        <v>20926.940999999999</v>
      </c>
      <c r="AN28" s="21" cm="1">
        <f t="array" ref="AN28">_xlfn.UNIQUE(AC28)</f>
        <v>44985</v>
      </c>
    </row>
    <row r="29" spans="1:40" x14ac:dyDescent="0.35">
      <c r="A29" t="s">
        <v>561</v>
      </c>
      <c r="B29" s="21">
        <v>44985</v>
      </c>
      <c r="C29" s="10">
        <v>44991</v>
      </c>
      <c r="D29" s="3">
        <f t="shared" si="0"/>
        <v>6</v>
      </c>
      <c r="E29" s="10" t="str">
        <f t="shared" si="1"/>
        <v>Q1-2023</v>
      </c>
      <c r="F29" t="s">
        <v>648</v>
      </c>
      <c r="G29" t="s">
        <v>655</v>
      </c>
      <c r="H29" t="s">
        <v>697</v>
      </c>
      <c r="I29" t="s">
        <v>704</v>
      </c>
      <c r="J29" t="s">
        <v>708</v>
      </c>
      <c r="K29" t="s">
        <v>725</v>
      </c>
      <c r="L29" t="s">
        <v>727</v>
      </c>
      <c r="M29" t="s">
        <v>1277</v>
      </c>
      <c r="N29" s="3">
        <v>880.02</v>
      </c>
      <c r="O29" s="3">
        <v>1251.21</v>
      </c>
      <c r="P29" s="6">
        <v>0.123</v>
      </c>
      <c r="Q29" s="6">
        <f>IF(Table1[[#This Row],[DiscountPct]]&gt;25%,25%,Table1[[#This Row],[DiscountPct]])</f>
        <v>0.123</v>
      </c>
      <c r="R29" s="5">
        <v>29</v>
      </c>
      <c r="S29" s="6">
        <f t="shared" si="2"/>
        <v>0.42179723188109369</v>
      </c>
      <c r="T29" s="8">
        <f t="shared" si="3"/>
        <v>31822.023930000003</v>
      </c>
      <c r="U29" s="8">
        <f t="shared" si="4"/>
        <v>25520.579999999998</v>
      </c>
      <c r="V29" s="9">
        <f t="shared" si="5"/>
        <v>6301.4439300000049</v>
      </c>
      <c r="W29" s="6">
        <f t="shared" si="6"/>
        <v>0.19802146915172672</v>
      </c>
      <c r="X29" t="str" cm="1">
        <f t="array" ref="X29">_xlfn.IFS(S29&lt;=25%, "Low", S29&lt;=75%, "Medium", S29&gt;75%, "High")</f>
        <v>Medium</v>
      </c>
      <c r="Y29" s="8">
        <f>Table1[[#This Row],[Quantity]]*(Table1[[#This Row],[UnitPrice]]*(1-Table1[[#This Row],[DiscountPct]]))</f>
        <v>31822.023929999999</v>
      </c>
      <c r="Z29" s="9">
        <f t="shared" si="7"/>
        <v>6301.4439300000013</v>
      </c>
      <c r="AA29">
        <f>COUNTIF($G$2:G30,G29)</f>
        <v>5</v>
      </c>
      <c r="AB29" s="21">
        <f t="shared" si="8"/>
        <v>44977</v>
      </c>
      <c r="AC29" s="21">
        <f t="shared" si="9"/>
        <v>44985</v>
      </c>
      <c r="AD29" s="5">
        <f>(Table1[[#This Row],[OrderDate]]-Table1[[#This Row],[Date of first order]])/30</f>
        <v>0.26666666666666666</v>
      </c>
      <c r="AE29" t="str">
        <f t="shared" si="10"/>
        <v>Good</v>
      </c>
      <c r="AF29">
        <f>COUNTIF(AE$2:AE30,AE29)</f>
        <v>11</v>
      </c>
      <c r="AG29" t="str">
        <f t="shared" si="11"/>
        <v>False</v>
      </c>
      <c r="AH29" s="7">
        <f>Table1[[#This Row],[UnitPrice]]*(1-Table1[[#This Row],[Disc Scenario]])*Table1[[#This Row],[Quantity]]</f>
        <v>31822.023929999999</v>
      </c>
      <c r="AI29">
        <f>ROUNDDOWN((Table1[[#This Row],[Quantity]]*(1+20%)),0)</f>
        <v>34</v>
      </c>
      <c r="AJ29" s="7">
        <f>Table1[[#This Row],[Quantity increase by 20%]]*Table1[[#This Row],[UnitPrice]]</f>
        <v>42541.14</v>
      </c>
      <c r="AK29">
        <f>ROUNDDOWN(Table1[[#This Row],[Quantity]]*(1+20%),0)</f>
        <v>34</v>
      </c>
      <c r="AL29" s="7">
        <f>Table1[[#This Row],[UnitCost]]*(1+15%)</f>
        <v>1012.0229999999999</v>
      </c>
      <c r="AM29" s="9">
        <f>Table1[[#This Row],[Quantity]]*Table1[[#This Row],[Cost of unit by inflation 15%]]</f>
        <v>29348.666999999998</v>
      </c>
      <c r="AN29" s="21" cm="1">
        <f t="array" ref="AN29">_xlfn.UNIQUE(AC29)</f>
        <v>44985</v>
      </c>
    </row>
    <row r="30" spans="1:40" x14ac:dyDescent="0.35">
      <c r="A30" t="s">
        <v>17</v>
      </c>
      <c r="B30" s="21">
        <v>44985</v>
      </c>
      <c r="C30" s="10">
        <v>45010</v>
      </c>
      <c r="D30" s="3">
        <f t="shared" si="0"/>
        <v>25</v>
      </c>
      <c r="E30" s="10" t="str">
        <f t="shared" si="1"/>
        <v>Q1-2023</v>
      </c>
      <c r="F30" t="s">
        <v>645</v>
      </c>
      <c r="G30" t="s">
        <v>649</v>
      </c>
      <c r="H30" t="s">
        <v>663</v>
      </c>
      <c r="I30" t="s">
        <v>700</v>
      </c>
      <c r="J30" t="s">
        <v>706</v>
      </c>
      <c r="K30" t="s">
        <v>713</v>
      </c>
      <c r="L30" t="s">
        <v>728</v>
      </c>
      <c r="M30" t="s">
        <v>735</v>
      </c>
      <c r="N30" s="3">
        <v>1460.76</v>
      </c>
      <c r="O30" s="3">
        <v>2790.0516000000002</v>
      </c>
      <c r="P30" s="6">
        <v>0.13100000000000001</v>
      </c>
      <c r="Q30" s="6">
        <f>IF(Table1[[#This Row],[DiscountPct]]&gt;25%,25%,Table1[[#This Row],[DiscountPct]])</f>
        <v>0.13100000000000001</v>
      </c>
      <c r="R30" s="5">
        <v>12</v>
      </c>
      <c r="S30" s="6">
        <f t="shared" si="2"/>
        <v>0.91000000000000014</v>
      </c>
      <c r="T30" s="8">
        <f t="shared" si="3"/>
        <v>29094.658084800001</v>
      </c>
      <c r="U30" s="8">
        <f t="shared" si="4"/>
        <v>17529.12</v>
      </c>
      <c r="V30" s="9">
        <f t="shared" si="5"/>
        <v>11565.538084800002</v>
      </c>
      <c r="W30" s="6">
        <f t="shared" si="6"/>
        <v>0.39751414335548479</v>
      </c>
      <c r="X30" t="str" cm="1">
        <f t="array" ref="X30">_xlfn.IFS(S30&lt;=25%, "Low", S30&lt;=75%, "Medium", S30&gt;75%, "High")</f>
        <v>High</v>
      </c>
      <c r="Y30" s="8">
        <f>Table1[[#This Row],[Quantity]]*(Table1[[#This Row],[UnitPrice]]*(1-Table1[[#This Row],[DiscountPct]]))</f>
        <v>29094.658084800001</v>
      </c>
      <c r="Z30" s="9">
        <f t="shared" si="7"/>
        <v>11565.538084800002</v>
      </c>
      <c r="AA30">
        <f>COUNTIF($G$2:G31,G30)</f>
        <v>3</v>
      </c>
      <c r="AB30" s="21">
        <f t="shared" si="8"/>
        <v>44977</v>
      </c>
      <c r="AC30" s="21">
        <f t="shared" si="9"/>
        <v>44985</v>
      </c>
      <c r="AD30" s="5">
        <f>(Table1[[#This Row],[OrderDate]]-Table1[[#This Row],[Date of first order]])/30</f>
        <v>0.26666666666666666</v>
      </c>
      <c r="AE30" t="str">
        <f t="shared" si="10"/>
        <v>Poor</v>
      </c>
      <c r="AF30">
        <f>COUNTIF(AE$2:AE31,AE30)</f>
        <v>19</v>
      </c>
      <c r="AG30" t="str">
        <f t="shared" si="11"/>
        <v>False</v>
      </c>
      <c r="AH30" s="7">
        <f>Table1[[#This Row],[UnitPrice]]*(1-Table1[[#This Row],[Disc Scenario]])*Table1[[#This Row],[Quantity]]</f>
        <v>29094.658084800001</v>
      </c>
      <c r="AI30">
        <f>ROUNDDOWN((Table1[[#This Row],[Quantity]]*(1+20%)),0)</f>
        <v>14</v>
      </c>
      <c r="AJ30" s="7">
        <f>Table1[[#This Row],[Quantity increase by 20%]]*Table1[[#This Row],[UnitPrice]]</f>
        <v>39060.722400000006</v>
      </c>
      <c r="AK30">
        <f>ROUNDDOWN(Table1[[#This Row],[Quantity]]*(1+20%),0)</f>
        <v>14</v>
      </c>
      <c r="AL30" s="7">
        <f>Table1[[#This Row],[UnitCost]]*(1+15%)</f>
        <v>1679.8739999999998</v>
      </c>
      <c r="AM30" s="9">
        <f>Table1[[#This Row],[Quantity]]*Table1[[#This Row],[Cost of unit by inflation 15%]]</f>
        <v>20158.487999999998</v>
      </c>
      <c r="AN30" s="21" cm="1">
        <f t="array" ref="AN30">_xlfn.UNIQUE(AC30)</f>
        <v>44985</v>
      </c>
    </row>
    <row r="31" spans="1:40" x14ac:dyDescent="0.35">
      <c r="A31" t="s">
        <v>114</v>
      </c>
      <c r="B31" s="21">
        <v>44985</v>
      </c>
      <c r="C31" s="10">
        <v>45005</v>
      </c>
      <c r="D31" s="3">
        <f t="shared" si="0"/>
        <v>20</v>
      </c>
      <c r="E31" s="10" t="str">
        <f t="shared" si="1"/>
        <v>Q1-2023</v>
      </c>
      <c r="F31" t="s">
        <v>648</v>
      </c>
      <c r="G31" t="s">
        <v>655</v>
      </c>
      <c r="H31" t="s">
        <v>670</v>
      </c>
      <c r="I31" t="s">
        <v>704</v>
      </c>
      <c r="J31" t="s">
        <v>710</v>
      </c>
      <c r="K31" t="s">
        <v>721</v>
      </c>
      <c r="L31" t="s">
        <v>730</v>
      </c>
      <c r="M31" t="s">
        <v>832</v>
      </c>
      <c r="N31" s="3">
        <v>1200.78</v>
      </c>
      <c r="O31" s="3">
        <v>2001.17</v>
      </c>
      <c r="P31" s="6">
        <v>0.29199999999999998</v>
      </c>
      <c r="Q31" s="6">
        <f>IF(Table1[[#This Row],[DiscountPct]]&gt;25%,25%,Table1[[#This Row],[DiscountPct]])</f>
        <v>0.25</v>
      </c>
      <c r="R31" s="5">
        <v>18</v>
      </c>
      <c r="S31" s="6">
        <f t="shared" si="2"/>
        <v>0.66655840370425901</v>
      </c>
      <c r="T31" s="8">
        <f t="shared" si="3"/>
        <v>25502.910479999999</v>
      </c>
      <c r="U31" s="8">
        <f t="shared" si="4"/>
        <v>21614.04</v>
      </c>
      <c r="V31" s="9">
        <f t="shared" si="5"/>
        <v>3888.8704799999978</v>
      </c>
      <c r="W31" s="6">
        <f t="shared" si="6"/>
        <v>0.15248732034132906</v>
      </c>
      <c r="X31" t="str" cm="1">
        <f t="array" ref="X31">_xlfn.IFS(S31&lt;=25%, "Low", S31&lt;=75%, "Medium", S31&gt;75%, "High")</f>
        <v>Medium</v>
      </c>
      <c r="Y31" s="8">
        <f>Table1[[#This Row],[Quantity]]*(Table1[[#This Row],[UnitPrice]]*(1-Table1[[#This Row],[DiscountPct]]))</f>
        <v>25502.910479999999</v>
      </c>
      <c r="Z31" s="9">
        <f t="shared" si="7"/>
        <v>3888.8704799999978</v>
      </c>
      <c r="AA31">
        <f>COUNTIF($G$2:G32,G31)</f>
        <v>6</v>
      </c>
      <c r="AB31" s="21">
        <f t="shared" si="8"/>
        <v>44977</v>
      </c>
      <c r="AC31" s="21">
        <f t="shared" si="9"/>
        <v>44985</v>
      </c>
      <c r="AD31" s="5">
        <f>(Table1[[#This Row],[OrderDate]]-Table1[[#This Row],[Date of first order]])/30</f>
        <v>0.26666666666666666</v>
      </c>
      <c r="AE31" t="str">
        <f t="shared" si="10"/>
        <v>Poor</v>
      </c>
      <c r="AF31">
        <f>COUNTIF(AE$2:AE32,AE31)</f>
        <v>19</v>
      </c>
      <c r="AG31" t="str">
        <f t="shared" si="11"/>
        <v>True</v>
      </c>
      <c r="AH31" s="7">
        <f>Table1[[#This Row],[UnitPrice]]*(1-Table1[[#This Row],[Disc Scenario]])*Table1[[#This Row],[Quantity]]</f>
        <v>27015.795000000002</v>
      </c>
      <c r="AI31">
        <f>ROUNDDOWN((Table1[[#This Row],[Quantity]]*(1+20%)),0)</f>
        <v>21</v>
      </c>
      <c r="AJ31" s="7">
        <f>Table1[[#This Row],[Quantity increase by 20%]]*Table1[[#This Row],[UnitPrice]]</f>
        <v>42024.57</v>
      </c>
      <c r="AK31">
        <f>ROUNDDOWN(Table1[[#This Row],[Quantity]]*(1+20%),0)</f>
        <v>21</v>
      </c>
      <c r="AL31" s="7">
        <f>Table1[[#This Row],[UnitCost]]*(1+15%)</f>
        <v>1380.8969999999999</v>
      </c>
      <c r="AM31" s="9">
        <f>Table1[[#This Row],[Quantity]]*Table1[[#This Row],[Cost of unit by inflation 15%]]</f>
        <v>24856.146000000001</v>
      </c>
      <c r="AN31" s="21" cm="1">
        <f t="array" ref="AN31">_xlfn.UNIQUE(AC31)</f>
        <v>44985</v>
      </c>
    </row>
    <row r="32" spans="1:40" x14ac:dyDescent="0.35">
      <c r="A32" t="s">
        <v>130</v>
      </c>
      <c r="B32" s="21">
        <v>44987</v>
      </c>
      <c r="C32" s="10">
        <v>44990</v>
      </c>
      <c r="D32" s="3">
        <f t="shared" si="0"/>
        <v>3</v>
      </c>
      <c r="E32" s="10" t="str">
        <f t="shared" si="1"/>
        <v>Q1-2023</v>
      </c>
      <c r="F32" t="s">
        <v>647</v>
      </c>
      <c r="G32" t="s">
        <v>654</v>
      </c>
      <c r="H32" t="s">
        <v>671</v>
      </c>
      <c r="I32" t="s">
        <v>705</v>
      </c>
      <c r="J32" t="s">
        <v>710</v>
      </c>
      <c r="K32" t="s">
        <v>714</v>
      </c>
      <c r="L32" t="s">
        <v>731</v>
      </c>
      <c r="M32" t="s">
        <v>848</v>
      </c>
      <c r="N32" s="3">
        <v>1473.58</v>
      </c>
      <c r="O32" s="3">
        <v>3436.52</v>
      </c>
      <c r="P32" s="6">
        <v>0.108</v>
      </c>
      <c r="Q32" s="6">
        <f>IF(Table1[[#This Row],[DiscountPct]]&gt;25%,25%,Table1[[#This Row],[DiscountPct]])</f>
        <v>0.108</v>
      </c>
      <c r="R32" s="5">
        <v>8</v>
      </c>
      <c r="S32" s="6">
        <f t="shared" si="2"/>
        <v>1.3320891977361258</v>
      </c>
      <c r="T32" s="8">
        <f t="shared" si="3"/>
        <v>24523.006720000001</v>
      </c>
      <c r="U32" s="8">
        <f t="shared" si="4"/>
        <v>11788.64</v>
      </c>
      <c r="V32" s="9">
        <f t="shared" si="5"/>
        <v>12734.366720000002</v>
      </c>
      <c r="W32" s="6">
        <f t="shared" si="6"/>
        <v>0.51928243813652564</v>
      </c>
      <c r="X32" t="str" cm="1">
        <f t="array" ref="X32">_xlfn.IFS(S32&lt;=25%, "Low", S32&lt;=75%, "Medium", S32&gt;75%, "High")</f>
        <v>High</v>
      </c>
      <c r="Y32" s="8">
        <f>Table1[[#This Row],[Quantity]]*(Table1[[#This Row],[UnitPrice]]*(1-Table1[[#This Row],[DiscountPct]]))</f>
        <v>24523.006720000001</v>
      </c>
      <c r="Z32" s="9">
        <f t="shared" si="7"/>
        <v>12734.366720000002</v>
      </c>
      <c r="AA32">
        <f>COUNTIF($G$2:G33,G32)</f>
        <v>3</v>
      </c>
      <c r="AB32" s="21">
        <f t="shared" si="8"/>
        <v>44977</v>
      </c>
      <c r="AC32" s="21">
        <f t="shared" si="9"/>
        <v>44985</v>
      </c>
      <c r="AD32" s="5">
        <f>(Table1[[#This Row],[OrderDate]]-Table1[[#This Row],[Date of first order]])/30</f>
        <v>0.33333333333333331</v>
      </c>
      <c r="AE32" t="str">
        <f t="shared" si="10"/>
        <v>Good</v>
      </c>
      <c r="AF32">
        <f>COUNTIF(AE$2:AE33,AE32)</f>
        <v>12</v>
      </c>
      <c r="AG32" t="str">
        <f t="shared" si="11"/>
        <v>False</v>
      </c>
      <c r="AH32" s="7">
        <f>Table1[[#This Row],[UnitPrice]]*(1-Table1[[#This Row],[Disc Scenario]])*Table1[[#This Row],[Quantity]]</f>
        <v>24523.006720000001</v>
      </c>
      <c r="AI32">
        <f>ROUNDDOWN((Table1[[#This Row],[Quantity]]*(1+20%)),0)</f>
        <v>9</v>
      </c>
      <c r="AJ32" s="7">
        <f>Table1[[#This Row],[Quantity increase by 20%]]*Table1[[#This Row],[UnitPrice]]</f>
        <v>30928.68</v>
      </c>
      <c r="AK32">
        <f>ROUNDDOWN(Table1[[#This Row],[Quantity]]*(1+20%),0)</f>
        <v>9</v>
      </c>
      <c r="AL32" s="7">
        <f>Table1[[#This Row],[UnitCost]]*(1+15%)</f>
        <v>1694.6169999999997</v>
      </c>
      <c r="AM32" s="9">
        <f>Table1[[#This Row],[Quantity]]*Table1[[#This Row],[Cost of unit by inflation 15%]]</f>
        <v>13556.935999999998</v>
      </c>
      <c r="AN32" s="21" cm="1">
        <f t="array" ref="AN32">_xlfn.UNIQUE(AC32)</f>
        <v>44985</v>
      </c>
    </row>
    <row r="33" spans="1:40" x14ac:dyDescent="0.35">
      <c r="A33" t="s">
        <v>565</v>
      </c>
      <c r="B33" s="21">
        <v>44988</v>
      </c>
      <c r="C33" s="10">
        <v>45005</v>
      </c>
      <c r="D33" s="3">
        <f t="shared" si="0"/>
        <v>17</v>
      </c>
      <c r="E33" s="10" t="str">
        <f t="shared" si="1"/>
        <v>Q1-2023</v>
      </c>
      <c r="F33" t="s">
        <v>646</v>
      </c>
      <c r="G33" t="s">
        <v>651</v>
      </c>
      <c r="H33" t="s">
        <v>693</v>
      </c>
      <c r="I33" t="s">
        <v>704</v>
      </c>
      <c r="J33" t="s">
        <v>707</v>
      </c>
      <c r="K33" t="s">
        <v>725</v>
      </c>
      <c r="L33" t="s">
        <v>728</v>
      </c>
      <c r="M33" t="s">
        <v>1281</v>
      </c>
      <c r="N33" s="3">
        <v>1171.17</v>
      </c>
      <c r="O33" s="3">
        <v>2030.64</v>
      </c>
      <c r="P33" s="6">
        <v>0.157</v>
      </c>
      <c r="Q33" s="6">
        <f>IF(Table1[[#This Row],[DiscountPct]]&gt;25%,25%,Table1[[#This Row],[DiscountPct]])</f>
        <v>0.157</v>
      </c>
      <c r="R33" s="5">
        <v>11</v>
      </c>
      <c r="S33" s="6">
        <f t="shared" si="2"/>
        <v>0.73385588770204158</v>
      </c>
      <c r="T33" s="8">
        <f t="shared" si="3"/>
        <v>18830.12472</v>
      </c>
      <c r="U33" s="8">
        <f t="shared" si="4"/>
        <v>12882.87</v>
      </c>
      <c r="V33" s="9">
        <f t="shared" si="5"/>
        <v>5947.254719999999</v>
      </c>
      <c r="W33" s="6">
        <f t="shared" si="6"/>
        <v>0.31583724528830415</v>
      </c>
      <c r="X33" t="str" cm="1">
        <f t="array" ref="X33">_xlfn.IFS(S33&lt;=25%, "Low", S33&lt;=75%, "Medium", S33&gt;75%, "High")</f>
        <v>Medium</v>
      </c>
      <c r="Y33" s="8">
        <f>Table1[[#This Row],[Quantity]]*(Table1[[#This Row],[UnitPrice]]*(1-Table1[[#This Row],[DiscountPct]]))</f>
        <v>18830.12472</v>
      </c>
      <c r="Z33" s="9">
        <f t="shared" si="7"/>
        <v>5947.254719999999</v>
      </c>
      <c r="AA33">
        <f>COUNTIF($G$2:G34,G33)</f>
        <v>1</v>
      </c>
      <c r="AB33" s="21">
        <f t="shared" si="8"/>
        <v>44988</v>
      </c>
      <c r="AC33" s="21">
        <f t="shared" si="9"/>
        <v>45016</v>
      </c>
      <c r="AD33" s="5">
        <f>(Table1[[#This Row],[OrderDate]]-Table1[[#This Row],[Date of first order]])/30</f>
        <v>0</v>
      </c>
      <c r="AE33" t="str">
        <f t="shared" si="10"/>
        <v>Poor</v>
      </c>
      <c r="AF33">
        <f>COUNTIF(AE$2:AE34,AE33)</f>
        <v>21</v>
      </c>
      <c r="AG33" t="str">
        <f t="shared" si="11"/>
        <v>False</v>
      </c>
      <c r="AH33" s="7">
        <f>Table1[[#This Row],[UnitPrice]]*(1-Table1[[#This Row],[Disc Scenario]])*Table1[[#This Row],[Quantity]]</f>
        <v>18830.12472</v>
      </c>
      <c r="AI33">
        <f>ROUNDDOWN((Table1[[#This Row],[Quantity]]*(1+20%)),0)</f>
        <v>13</v>
      </c>
      <c r="AJ33" s="7">
        <f>Table1[[#This Row],[Quantity increase by 20%]]*Table1[[#This Row],[UnitPrice]]</f>
        <v>26398.32</v>
      </c>
      <c r="AK33">
        <f>ROUNDDOWN(Table1[[#This Row],[Quantity]]*(1+20%),0)</f>
        <v>13</v>
      </c>
      <c r="AL33" s="7">
        <f>Table1[[#This Row],[UnitCost]]*(1+15%)</f>
        <v>1346.8454999999999</v>
      </c>
      <c r="AM33" s="9">
        <f>Table1[[#This Row],[Quantity]]*Table1[[#This Row],[Cost of unit by inflation 15%]]</f>
        <v>14815.300499999999</v>
      </c>
      <c r="AN33" s="21" cm="1">
        <f t="array" ref="AN33">_xlfn.UNIQUE(AC33)</f>
        <v>45016</v>
      </c>
    </row>
    <row r="34" spans="1:40" x14ac:dyDescent="0.35">
      <c r="A34" t="s">
        <v>264</v>
      </c>
      <c r="B34" s="21">
        <v>44989</v>
      </c>
      <c r="C34" s="10">
        <v>45009</v>
      </c>
      <c r="D34" s="3">
        <f t="shared" si="0"/>
        <v>20</v>
      </c>
      <c r="E34" s="10" t="str">
        <f t="shared" si="1"/>
        <v>Q1-2023</v>
      </c>
      <c r="F34" t="s">
        <v>647</v>
      </c>
      <c r="G34" t="s">
        <v>652</v>
      </c>
      <c r="H34" t="s">
        <v>680</v>
      </c>
      <c r="I34" t="s">
        <v>703</v>
      </c>
      <c r="J34" t="s">
        <v>709</v>
      </c>
      <c r="K34" t="s">
        <v>713</v>
      </c>
      <c r="L34" t="s">
        <v>730</v>
      </c>
      <c r="M34" t="s">
        <v>982</v>
      </c>
      <c r="N34" s="3">
        <v>481.71</v>
      </c>
      <c r="O34" s="3">
        <v>912.45</v>
      </c>
      <c r="P34" s="6">
        <v>0.20300000000000001</v>
      </c>
      <c r="Q34" s="6">
        <f>IF(Table1[[#This Row],[DiscountPct]]&gt;25%,25%,Table1[[#This Row],[DiscountPct]])</f>
        <v>0.20300000000000001</v>
      </c>
      <c r="R34" s="5">
        <v>24</v>
      </c>
      <c r="S34" s="6">
        <f t="shared" si="2"/>
        <v>0.89418945008407569</v>
      </c>
      <c r="T34" s="8">
        <f t="shared" si="3"/>
        <v>17453.3436</v>
      </c>
      <c r="U34" s="8">
        <f t="shared" si="4"/>
        <v>11561.039999999999</v>
      </c>
      <c r="V34" s="9">
        <f t="shared" si="5"/>
        <v>5892.3036000000011</v>
      </c>
      <c r="W34" s="6">
        <f t="shared" si="6"/>
        <v>0.33760313983619739</v>
      </c>
      <c r="X34" t="str" cm="1">
        <f t="array" ref="X34">_xlfn.IFS(S34&lt;=25%, "Low", S34&lt;=75%, "Medium", S34&gt;75%, "High")</f>
        <v>High</v>
      </c>
      <c r="Y34" s="8">
        <f>Table1[[#This Row],[Quantity]]*(Table1[[#This Row],[UnitPrice]]*(1-Table1[[#This Row],[DiscountPct]]))</f>
        <v>17453.3436</v>
      </c>
      <c r="Z34" s="9">
        <f t="shared" si="7"/>
        <v>5892.3036000000011</v>
      </c>
      <c r="AA34">
        <f>COUNTIF($G$2:G35,G34)</f>
        <v>3</v>
      </c>
      <c r="AB34" s="21">
        <f t="shared" si="8"/>
        <v>44988</v>
      </c>
      <c r="AC34" s="21">
        <f t="shared" si="9"/>
        <v>45016</v>
      </c>
      <c r="AD34" s="5">
        <f>(Table1[[#This Row],[OrderDate]]-Table1[[#This Row],[Date of first order]])/30</f>
        <v>3.3333333333333333E-2</v>
      </c>
      <c r="AE34" t="str">
        <f t="shared" si="10"/>
        <v>Poor</v>
      </c>
      <c r="AF34">
        <f>COUNTIF(AE$2:AE35,AE34)</f>
        <v>22</v>
      </c>
      <c r="AG34" t="str">
        <f t="shared" si="11"/>
        <v>True</v>
      </c>
      <c r="AH34" s="7">
        <f>Table1[[#This Row],[UnitPrice]]*(1-Table1[[#This Row],[Disc Scenario]])*Table1[[#This Row],[Quantity]]</f>
        <v>17453.3436</v>
      </c>
      <c r="AI34">
        <f>ROUNDDOWN((Table1[[#This Row],[Quantity]]*(1+20%)),0)</f>
        <v>28</v>
      </c>
      <c r="AJ34" s="7">
        <f>Table1[[#This Row],[Quantity increase by 20%]]*Table1[[#This Row],[UnitPrice]]</f>
        <v>25548.600000000002</v>
      </c>
      <c r="AK34">
        <f>ROUNDDOWN(Table1[[#This Row],[Quantity]]*(1+20%),0)</f>
        <v>28</v>
      </c>
      <c r="AL34" s="7">
        <f>Table1[[#This Row],[UnitCost]]*(1+15%)</f>
        <v>553.96649999999988</v>
      </c>
      <c r="AM34" s="9">
        <f>Table1[[#This Row],[Quantity]]*Table1[[#This Row],[Cost of unit by inflation 15%]]</f>
        <v>13295.195999999996</v>
      </c>
      <c r="AN34" s="21" cm="1">
        <f t="array" ref="AN34">_xlfn.UNIQUE(AC34)</f>
        <v>45016</v>
      </c>
    </row>
    <row r="35" spans="1:40" x14ac:dyDescent="0.35">
      <c r="A35" t="s">
        <v>418</v>
      </c>
      <c r="B35" s="21">
        <v>44991</v>
      </c>
      <c r="C35" s="10">
        <v>45020</v>
      </c>
      <c r="D35" s="3">
        <f t="shared" si="0"/>
        <v>29</v>
      </c>
      <c r="E35" s="10" t="str">
        <f t="shared" si="1"/>
        <v>Q1-2023</v>
      </c>
      <c r="F35" t="s">
        <v>646</v>
      </c>
      <c r="G35" t="s">
        <v>658</v>
      </c>
      <c r="H35" t="s">
        <v>698</v>
      </c>
      <c r="I35" t="s">
        <v>704</v>
      </c>
      <c r="J35" t="s">
        <v>710</v>
      </c>
      <c r="K35" t="s">
        <v>711</v>
      </c>
      <c r="L35" t="s">
        <v>731</v>
      </c>
      <c r="M35" t="s">
        <v>1135</v>
      </c>
      <c r="N35" s="3">
        <v>1126.29</v>
      </c>
      <c r="O35" s="3">
        <v>2050.87</v>
      </c>
      <c r="P35" s="6">
        <v>6.4000000000000001E-2</v>
      </c>
      <c r="Q35" s="6">
        <f>IF(Table1[[#This Row],[DiscountPct]]&gt;25%,25%,Table1[[#This Row],[DiscountPct]])</f>
        <v>6.4000000000000001E-2</v>
      </c>
      <c r="R35" s="5">
        <v>7</v>
      </c>
      <c r="S35" s="6">
        <f t="shared" si="2"/>
        <v>0.82090758152873589</v>
      </c>
      <c r="T35" s="8">
        <f t="shared" si="3"/>
        <v>13437.300239999999</v>
      </c>
      <c r="U35" s="8">
        <f t="shared" si="4"/>
        <v>7884.03</v>
      </c>
      <c r="V35" s="9">
        <f t="shared" si="5"/>
        <v>5553.2702399999989</v>
      </c>
      <c r="W35" s="6">
        <f t="shared" si="6"/>
        <v>0.41327276616690373</v>
      </c>
      <c r="X35" t="str" cm="1">
        <f t="array" ref="X35">_xlfn.IFS(S35&lt;=25%, "Low", S35&lt;=75%, "Medium", S35&gt;75%, "High")</f>
        <v>High</v>
      </c>
      <c r="Y35" s="8">
        <f>Table1[[#This Row],[Quantity]]*(Table1[[#This Row],[UnitPrice]]*(1-Table1[[#This Row],[DiscountPct]]))</f>
        <v>13437.300239999997</v>
      </c>
      <c r="Z35" s="9">
        <f t="shared" si="7"/>
        <v>5553.2702399999971</v>
      </c>
      <c r="AA35">
        <f>COUNTIF($G$2:G36,G35)</f>
        <v>3</v>
      </c>
      <c r="AB35" s="21">
        <f t="shared" si="8"/>
        <v>44988</v>
      </c>
      <c r="AC35" s="21">
        <f t="shared" si="9"/>
        <v>45016</v>
      </c>
      <c r="AD35" s="5">
        <f>(Table1[[#This Row],[OrderDate]]-Table1[[#This Row],[Date of first order]])/30</f>
        <v>0.1</v>
      </c>
      <c r="AE35" t="str">
        <f t="shared" si="10"/>
        <v>Poor</v>
      </c>
      <c r="AF35">
        <f>COUNTIF(AE$2:AE36,AE35)</f>
        <v>23</v>
      </c>
      <c r="AG35" t="str">
        <f t="shared" si="11"/>
        <v>False</v>
      </c>
      <c r="AH35" s="7">
        <f>Table1[[#This Row],[UnitPrice]]*(1-Table1[[#This Row],[Disc Scenario]])*Table1[[#This Row],[Quantity]]</f>
        <v>13437.300239999997</v>
      </c>
      <c r="AI35">
        <f>ROUNDDOWN((Table1[[#This Row],[Quantity]]*(1+20%)),0)</f>
        <v>8</v>
      </c>
      <c r="AJ35" s="7">
        <f>Table1[[#This Row],[Quantity increase by 20%]]*Table1[[#This Row],[UnitPrice]]</f>
        <v>16406.96</v>
      </c>
      <c r="AK35">
        <f>ROUNDDOWN(Table1[[#This Row],[Quantity]]*(1+20%),0)</f>
        <v>8</v>
      </c>
      <c r="AL35" s="7">
        <f>Table1[[#This Row],[UnitCost]]*(1+15%)</f>
        <v>1295.2334999999998</v>
      </c>
      <c r="AM35" s="9">
        <f>Table1[[#This Row],[Quantity]]*Table1[[#This Row],[Cost of unit by inflation 15%]]</f>
        <v>9066.6344999999983</v>
      </c>
      <c r="AN35" s="21" cm="1">
        <f t="array" ref="AN35">_xlfn.UNIQUE(AC35)</f>
        <v>45016</v>
      </c>
    </row>
    <row r="36" spans="1:40" x14ac:dyDescent="0.35">
      <c r="A36" t="s">
        <v>242</v>
      </c>
      <c r="B36" s="21">
        <v>44992</v>
      </c>
      <c r="C36" s="10">
        <v>45017</v>
      </c>
      <c r="D36" s="3">
        <f t="shared" si="0"/>
        <v>25</v>
      </c>
      <c r="E36" s="10" t="str">
        <f t="shared" si="1"/>
        <v>Q1-2023</v>
      </c>
      <c r="F36" t="s">
        <v>645</v>
      </c>
      <c r="G36" t="s">
        <v>649</v>
      </c>
      <c r="H36" t="s">
        <v>663</v>
      </c>
      <c r="I36" t="s">
        <v>703</v>
      </c>
      <c r="J36" t="s">
        <v>708</v>
      </c>
      <c r="K36" t="s">
        <v>725</v>
      </c>
      <c r="L36" t="s">
        <v>727</v>
      </c>
      <c r="M36" t="s">
        <v>960</v>
      </c>
      <c r="N36" s="3">
        <v>1024.0999999999999</v>
      </c>
      <c r="O36" s="3">
        <v>2068.6819999999998</v>
      </c>
      <c r="P36" s="6">
        <v>0.189</v>
      </c>
      <c r="Q36" s="6">
        <f>IF(Table1[[#This Row],[DiscountPct]]&gt;25%,25%,Table1[[#This Row],[DiscountPct]])</f>
        <v>0.189</v>
      </c>
      <c r="R36" s="5">
        <v>10</v>
      </c>
      <c r="S36" s="6">
        <f t="shared" si="2"/>
        <v>1.02</v>
      </c>
      <c r="T36" s="8">
        <f t="shared" si="3"/>
        <v>16777.011019999998</v>
      </c>
      <c r="U36" s="8">
        <f t="shared" si="4"/>
        <v>10241</v>
      </c>
      <c r="V36" s="9">
        <f t="shared" si="5"/>
        <v>6536.0110199999981</v>
      </c>
      <c r="W36" s="6">
        <f t="shared" si="6"/>
        <v>0.38958137490691108</v>
      </c>
      <c r="X36" t="str" cm="1">
        <f t="array" ref="X36">_xlfn.IFS(S36&lt;=25%, "Low", S36&lt;=75%, "Medium", S36&gt;75%, "High")</f>
        <v>High</v>
      </c>
      <c r="Y36" s="8">
        <f>Table1[[#This Row],[Quantity]]*(Table1[[#This Row],[UnitPrice]]*(1-Table1[[#This Row],[DiscountPct]]))</f>
        <v>16777.011019999998</v>
      </c>
      <c r="Z36" s="9">
        <f t="shared" si="7"/>
        <v>6536.0110199999981</v>
      </c>
      <c r="AA36">
        <f>COUNTIF($G$2:G37,G36)</f>
        <v>4</v>
      </c>
      <c r="AB36" s="21">
        <f t="shared" si="8"/>
        <v>44988</v>
      </c>
      <c r="AC36" s="21">
        <f t="shared" si="9"/>
        <v>45016</v>
      </c>
      <c r="AD36" s="5">
        <f>(Table1[[#This Row],[OrderDate]]-Table1[[#This Row],[Date of first order]])/30</f>
        <v>0.13333333333333333</v>
      </c>
      <c r="AE36" t="str">
        <f t="shared" si="10"/>
        <v>Poor</v>
      </c>
      <c r="AF36">
        <f>COUNTIF(AE$2:AE37,AE36)</f>
        <v>24</v>
      </c>
      <c r="AG36" t="str">
        <f t="shared" si="11"/>
        <v>False</v>
      </c>
      <c r="AH36" s="7">
        <f>Table1[[#This Row],[UnitPrice]]*(1-Table1[[#This Row],[Disc Scenario]])*Table1[[#This Row],[Quantity]]</f>
        <v>16777.011019999998</v>
      </c>
      <c r="AI36">
        <f>ROUNDDOWN((Table1[[#This Row],[Quantity]]*(1+20%)),0)</f>
        <v>12</v>
      </c>
      <c r="AJ36" s="7">
        <f>Table1[[#This Row],[Quantity increase by 20%]]*Table1[[#This Row],[UnitPrice]]</f>
        <v>24824.183999999997</v>
      </c>
      <c r="AK36">
        <f>ROUNDDOWN(Table1[[#This Row],[Quantity]]*(1+20%),0)</f>
        <v>12</v>
      </c>
      <c r="AL36" s="7">
        <f>Table1[[#This Row],[UnitCost]]*(1+15%)</f>
        <v>1177.7149999999997</v>
      </c>
      <c r="AM36" s="9">
        <f>Table1[[#This Row],[Quantity]]*Table1[[#This Row],[Cost of unit by inflation 15%]]</f>
        <v>11777.149999999998</v>
      </c>
      <c r="AN36" s="21" cm="1">
        <f t="array" ref="AN36">_xlfn.UNIQUE(AC36)</f>
        <v>45016</v>
      </c>
    </row>
    <row r="37" spans="1:40" x14ac:dyDescent="0.35">
      <c r="A37" t="s">
        <v>390</v>
      </c>
      <c r="B37" s="21">
        <v>44998</v>
      </c>
      <c r="C37" s="10">
        <v>45020</v>
      </c>
      <c r="D37" s="3">
        <f t="shared" si="0"/>
        <v>22</v>
      </c>
      <c r="E37" s="10" t="str">
        <f t="shared" si="1"/>
        <v>Q1-2023</v>
      </c>
      <c r="F37" t="s">
        <v>645</v>
      </c>
      <c r="G37" t="s">
        <v>660</v>
      </c>
      <c r="H37" t="s">
        <v>686</v>
      </c>
      <c r="I37" t="s">
        <v>704</v>
      </c>
      <c r="J37" t="s">
        <v>706</v>
      </c>
      <c r="K37" t="s">
        <v>719</v>
      </c>
      <c r="L37" t="s">
        <v>726</v>
      </c>
      <c r="M37" t="s">
        <v>1108</v>
      </c>
      <c r="N37" s="3">
        <v>1113.7</v>
      </c>
      <c r="O37" s="3">
        <v>1620.6</v>
      </c>
      <c r="P37" s="6">
        <v>0.13900000000000001</v>
      </c>
      <c r="Q37" s="6">
        <f>IF(Table1[[#This Row],[DiscountPct]]&gt;25%,25%,Table1[[#This Row],[DiscountPct]])</f>
        <v>0.13900000000000001</v>
      </c>
      <c r="R37" s="5">
        <v>11</v>
      </c>
      <c r="S37" s="6">
        <f t="shared" si="2"/>
        <v>0.45514950166112944</v>
      </c>
      <c r="T37" s="8">
        <f t="shared" si="3"/>
        <v>15348.702599999999</v>
      </c>
      <c r="U37" s="8">
        <f t="shared" si="4"/>
        <v>12250.7</v>
      </c>
      <c r="V37" s="9">
        <f t="shared" si="5"/>
        <v>3098.002599999998</v>
      </c>
      <c r="W37" s="6">
        <f t="shared" si="6"/>
        <v>0.20184133348182787</v>
      </c>
      <c r="X37" t="str" cm="1">
        <f t="array" ref="X37">_xlfn.IFS(S37&lt;=25%, "Low", S37&lt;=75%, "Medium", S37&gt;75%, "High")</f>
        <v>Medium</v>
      </c>
      <c r="Y37" s="8">
        <f>Table1[[#This Row],[Quantity]]*(Table1[[#This Row],[UnitPrice]]*(1-Table1[[#This Row],[DiscountPct]]))</f>
        <v>15348.702599999999</v>
      </c>
      <c r="Z37" s="9">
        <f t="shared" si="7"/>
        <v>3098.002599999998</v>
      </c>
      <c r="AA37">
        <f>COUNTIF($G$2:G38,G37)</f>
        <v>5</v>
      </c>
      <c r="AB37" s="21">
        <f t="shared" si="8"/>
        <v>44988</v>
      </c>
      <c r="AC37" s="21">
        <f t="shared" si="9"/>
        <v>45016</v>
      </c>
      <c r="AD37" s="5">
        <f>(Table1[[#This Row],[OrderDate]]-Table1[[#This Row],[Date of first order]])/30</f>
        <v>0.33333333333333331</v>
      </c>
      <c r="AE37" t="str">
        <f t="shared" si="10"/>
        <v>Poor</v>
      </c>
      <c r="AF37">
        <f>COUNTIF(AE$2:AE38,AE37)</f>
        <v>25</v>
      </c>
      <c r="AG37" t="str">
        <f t="shared" si="11"/>
        <v>False</v>
      </c>
      <c r="AH37" s="7">
        <f>Table1[[#This Row],[UnitPrice]]*(1-Table1[[#This Row],[Disc Scenario]])*Table1[[#This Row],[Quantity]]</f>
        <v>15348.702599999999</v>
      </c>
      <c r="AI37">
        <f>ROUNDDOWN((Table1[[#This Row],[Quantity]]*(1+20%)),0)</f>
        <v>13</v>
      </c>
      <c r="AJ37" s="7">
        <f>Table1[[#This Row],[Quantity increase by 20%]]*Table1[[#This Row],[UnitPrice]]</f>
        <v>21067.8</v>
      </c>
      <c r="AK37">
        <f>ROUNDDOWN(Table1[[#This Row],[Quantity]]*(1+20%),0)</f>
        <v>13</v>
      </c>
      <c r="AL37" s="7">
        <f>Table1[[#This Row],[UnitCost]]*(1+15%)</f>
        <v>1280.7549999999999</v>
      </c>
      <c r="AM37" s="9">
        <f>Table1[[#This Row],[Quantity]]*Table1[[#This Row],[Cost of unit by inflation 15%]]</f>
        <v>14088.304999999998</v>
      </c>
      <c r="AN37" s="21" cm="1">
        <f t="array" ref="AN37">_xlfn.UNIQUE(AC37)</f>
        <v>45016</v>
      </c>
    </row>
    <row r="38" spans="1:40" x14ac:dyDescent="0.35">
      <c r="A38" t="s">
        <v>247</v>
      </c>
      <c r="B38" s="21">
        <v>44999</v>
      </c>
      <c r="C38" s="10">
        <v>45015</v>
      </c>
      <c r="D38" s="3">
        <f t="shared" si="0"/>
        <v>16</v>
      </c>
      <c r="E38" s="10" t="str">
        <f t="shared" si="1"/>
        <v>Q1-2023</v>
      </c>
      <c r="F38" t="s">
        <v>645</v>
      </c>
      <c r="G38" t="s">
        <v>660</v>
      </c>
      <c r="H38" t="s">
        <v>694</v>
      </c>
      <c r="I38" t="s">
        <v>703</v>
      </c>
      <c r="J38" t="s">
        <v>709</v>
      </c>
      <c r="K38" t="s">
        <v>722</v>
      </c>
      <c r="L38" t="s">
        <v>726</v>
      </c>
      <c r="M38" t="s">
        <v>965</v>
      </c>
      <c r="N38" s="3">
        <v>1309.77</v>
      </c>
      <c r="O38" s="3">
        <v>1589.07</v>
      </c>
      <c r="P38" s="6">
        <v>0.10199999999999999</v>
      </c>
      <c r="Q38" s="6">
        <f>IF(Table1[[#This Row],[DiscountPct]]&gt;25%,25%,Table1[[#This Row],[DiscountPct]])</f>
        <v>0.10199999999999999</v>
      </c>
      <c r="R38" s="5">
        <v>10</v>
      </c>
      <c r="S38" s="6">
        <f t="shared" si="2"/>
        <v>0.21324354657687988</v>
      </c>
      <c r="T38" s="8">
        <f t="shared" si="3"/>
        <v>14269.848599999999</v>
      </c>
      <c r="U38" s="8">
        <f t="shared" si="4"/>
        <v>13097.7</v>
      </c>
      <c r="V38" s="9">
        <f t="shared" si="5"/>
        <v>1172.1485999999986</v>
      </c>
      <c r="W38" s="6">
        <f t="shared" si="6"/>
        <v>8.2141628328137886E-2</v>
      </c>
      <c r="X38" t="str" cm="1">
        <f t="array" ref="X38">_xlfn.IFS(S38&lt;=25%, "Low", S38&lt;=75%, "Medium", S38&gt;75%, "High")</f>
        <v>Low</v>
      </c>
      <c r="Y38" s="8">
        <f>Table1[[#This Row],[Quantity]]*(Table1[[#This Row],[UnitPrice]]*(1-Table1[[#This Row],[DiscountPct]]))</f>
        <v>14269.848600000001</v>
      </c>
      <c r="Z38" s="9">
        <f t="shared" si="7"/>
        <v>1172.1486000000004</v>
      </c>
      <c r="AA38">
        <f>COUNTIF($G$2:G39,G38)</f>
        <v>5</v>
      </c>
      <c r="AB38" s="21">
        <f t="shared" si="8"/>
        <v>44988</v>
      </c>
      <c r="AC38" s="21">
        <f t="shared" si="9"/>
        <v>45016</v>
      </c>
      <c r="AD38" s="5">
        <f>(Table1[[#This Row],[OrderDate]]-Table1[[#This Row],[Date of first order]])/30</f>
        <v>0.36666666666666664</v>
      </c>
      <c r="AE38" t="str">
        <f t="shared" si="10"/>
        <v>Poor</v>
      </c>
      <c r="AF38">
        <f>COUNTIF(AE$2:AE39,AE38)</f>
        <v>25</v>
      </c>
      <c r="AG38" t="str">
        <f t="shared" si="11"/>
        <v>False</v>
      </c>
      <c r="AH38" s="7">
        <f>Table1[[#This Row],[UnitPrice]]*(1-Table1[[#This Row],[Disc Scenario]])*Table1[[#This Row],[Quantity]]</f>
        <v>14269.848600000001</v>
      </c>
      <c r="AI38">
        <f>ROUNDDOWN((Table1[[#This Row],[Quantity]]*(1+20%)),0)</f>
        <v>12</v>
      </c>
      <c r="AJ38" s="7">
        <f>Table1[[#This Row],[Quantity increase by 20%]]*Table1[[#This Row],[UnitPrice]]</f>
        <v>19068.84</v>
      </c>
      <c r="AK38">
        <f>ROUNDDOWN(Table1[[#This Row],[Quantity]]*(1+20%),0)</f>
        <v>12</v>
      </c>
      <c r="AL38" s="7">
        <f>Table1[[#This Row],[UnitCost]]*(1+15%)</f>
        <v>1506.2354999999998</v>
      </c>
      <c r="AM38" s="9">
        <f>Table1[[#This Row],[Quantity]]*Table1[[#This Row],[Cost of unit by inflation 15%]]</f>
        <v>15062.354999999998</v>
      </c>
      <c r="AN38" s="21" cm="1">
        <f t="array" ref="AN38">_xlfn.UNIQUE(AC38)</f>
        <v>45016</v>
      </c>
    </row>
    <row r="39" spans="1:40" x14ac:dyDescent="0.35">
      <c r="A39" t="s">
        <v>490</v>
      </c>
      <c r="B39" s="21">
        <v>44999</v>
      </c>
      <c r="C39" s="10">
        <v>45003</v>
      </c>
      <c r="D39" s="3">
        <f t="shared" si="0"/>
        <v>4</v>
      </c>
      <c r="E39" s="10" t="str">
        <f t="shared" si="1"/>
        <v>Q1-2023</v>
      </c>
      <c r="F39" t="s">
        <v>648</v>
      </c>
      <c r="G39" t="s">
        <v>655</v>
      </c>
      <c r="H39" t="s">
        <v>697</v>
      </c>
      <c r="I39" t="s">
        <v>705</v>
      </c>
      <c r="J39" t="s">
        <v>710</v>
      </c>
      <c r="K39" t="s">
        <v>719</v>
      </c>
      <c r="L39" t="s">
        <v>726</v>
      </c>
      <c r="M39" t="s">
        <v>1207</v>
      </c>
      <c r="N39" s="3">
        <v>472.33</v>
      </c>
      <c r="O39" s="3">
        <v>845.47069999999997</v>
      </c>
      <c r="P39" s="6">
        <v>0.16500000000000001</v>
      </c>
      <c r="Q39" s="6">
        <f>IF(Table1[[#This Row],[DiscountPct]]&gt;25%,25%,Table1[[#This Row],[DiscountPct]])</f>
        <v>0.16500000000000001</v>
      </c>
      <c r="R39" s="5">
        <v>14</v>
      </c>
      <c r="S39" s="6">
        <f t="shared" si="2"/>
        <v>0.79</v>
      </c>
      <c r="T39" s="8">
        <f t="shared" si="3"/>
        <v>9883.5524829999995</v>
      </c>
      <c r="U39" s="8">
        <f t="shared" si="4"/>
        <v>6612.62</v>
      </c>
      <c r="V39" s="9">
        <f t="shared" si="5"/>
        <v>3270.9324829999996</v>
      </c>
      <c r="W39" s="6">
        <f t="shared" si="6"/>
        <v>0.33094704445856887</v>
      </c>
      <c r="X39" t="str" cm="1">
        <f t="array" ref="X39">_xlfn.IFS(S39&lt;=25%, "Low", S39&lt;=75%, "Medium", S39&gt;75%, "High")</f>
        <v>High</v>
      </c>
      <c r="Y39" s="8">
        <f>Table1[[#This Row],[Quantity]]*(Table1[[#This Row],[UnitPrice]]*(1-Table1[[#This Row],[DiscountPct]]))</f>
        <v>9883.5524829999995</v>
      </c>
      <c r="Z39" s="9">
        <f t="shared" si="7"/>
        <v>3270.9324829999996</v>
      </c>
      <c r="AA39">
        <f>COUNTIF($G$2:G40,G39)</f>
        <v>8</v>
      </c>
      <c r="AB39" s="21">
        <f t="shared" si="8"/>
        <v>44988</v>
      </c>
      <c r="AC39" s="21">
        <f t="shared" si="9"/>
        <v>45016</v>
      </c>
      <c r="AD39" s="5">
        <f>(Table1[[#This Row],[OrderDate]]-Table1[[#This Row],[Date of first order]])/30</f>
        <v>0.36666666666666664</v>
      </c>
      <c r="AE39" t="str">
        <f t="shared" si="10"/>
        <v>Good</v>
      </c>
      <c r="AF39">
        <f>COUNTIF(AE$2:AE40,AE39)</f>
        <v>13</v>
      </c>
      <c r="AG39" t="str">
        <f t="shared" si="11"/>
        <v>False</v>
      </c>
      <c r="AH39" s="7">
        <f>Table1[[#This Row],[UnitPrice]]*(1-Table1[[#This Row],[Disc Scenario]])*Table1[[#This Row],[Quantity]]</f>
        <v>9883.5524829999995</v>
      </c>
      <c r="AI39">
        <f>ROUNDDOWN((Table1[[#This Row],[Quantity]]*(1+20%)),0)</f>
        <v>16</v>
      </c>
      <c r="AJ39" s="7">
        <f>Table1[[#This Row],[Quantity increase by 20%]]*Table1[[#This Row],[UnitPrice]]</f>
        <v>13527.531199999999</v>
      </c>
      <c r="AK39">
        <f>ROUNDDOWN(Table1[[#This Row],[Quantity]]*(1+20%),0)</f>
        <v>16</v>
      </c>
      <c r="AL39" s="7">
        <f>Table1[[#This Row],[UnitCost]]*(1+15%)</f>
        <v>543.17949999999996</v>
      </c>
      <c r="AM39" s="9">
        <f>Table1[[#This Row],[Quantity]]*Table1[[#This Row],[Cost of unit by inflation 15%]]</f>
        <v>7604.512999999999</v>
      </c>
      <c r="AN39" s="21" cm="1">
        <f t="array" ref="AN39">_xlfn.UNIQUE(AC39)</f>
        <v>45016</v>
      </c>
    </row>
    <row r="40" spans="1:40" x14ac:dyDescent="0.35">
      <c r="A40" t="s">
        <v>425</v>
      </c>
      <c r="B40" s="21">
        <v>45002</v>
      </c>
      <c r="C40" s="10">
        <v>45022</v>
      </c>
      <c r="D40" s="3">
        <f t="shared" si="0"/>
        <v>20</v>
      </c>
      <c r="E40" s="10" t="str">
        <f t="shared" si="1"/>
        <v>Q1-2023</v>
      </c>
      <c r="F40" t="s">
        <v>648</v>
      </c>
      <c r="G40" t="s">
        <v>655</v>
      </c>
      <c r="H40" t="s">
        <v>683</v>
      </c>
      <c r="I40" t="s">
        <v>703</v>
      </c>
      <c r="J40" t="s">
        <v>706</v>
      </c>
      <c r="K40" t="s">
        <v>718</v>
      </c>
      <c r="L40" t="s">
        <v>729</v>
      </c>
      <c r="M40" t="s">
        <v>1142</v>
      </c>
      <c r="N40" s="3">
        <v>692.18</v>
      </c>
      <c r="O40" s="3">
        <v>1159.3499999999999</v>
      </c>
      <c r="P40" s="6">
        <v>0.112</v>
      </c>
      <c r="Q40" s="6">
        <f>IF(Table1[[#This Row],[DiscountPct]]&gt;25%,25%,Table1[[#This Row],[DiscountPct]])</f>
        <v>0.112</v>
      </c>
      <c r="R40" s="5">
        <v>2</v>
      </c>
      <c r="S40" s="6">
        <f t="shared" si="2"/>
        <v>0.67492559738796265</v>
      </c>
      <c r="T40" s="8">
        <f t="shared" si="3"/>
        <v>2059.0056</v>
      </c>
      <c r="U40" s="8">
        <f t="shared" si="4"/>
        <v>1384.36</v>
      </c>
      <c r="V40" s="9">
        <f t="shared" si="5"/>
        <v>674.64560000000006</v>
      </c>
      <c r="W40" s="6">
        <f t="shared" si="6"/>
        <v>0.32765602968734037</v>
      </c>
      <c r="X40" t="str" cm="1">
        <f t="array" ref="X40">_xlfn.IFS(S40&lt;=25%, "Low", S40&lt;=75%, "Medium", S40&gt;75%, "High")</f>
        <v>Medium</v>
      </c>
      <c r="Y40" s="8">
        <f>Table1[[#This Row],[Quantity]]*(Table1[[#This Row],[UnitPrice]]*(1-Table1[[#This Row],[DiscountPct]]))</f>
        <v>2059.0056</v>
      </c>
      <c r="Z40" s="9">
        <f t="shared" si="7"/>
        <v>674.64560000000006</v>
      </c>
      <c r="AA40">
        <f>COUNTIF($G$2:G41,G40)</f>
        <v>8</v>
      </c>
      <c r="AB40" s="21">
        <f t="shared" si="8"/>
        <v>44988</v>
      </c>
      <c r="AC40" s="21">
        <f t="shared" si="9"/>
        <v>45016</v>
      </c>
      <c r="AD40" s="5">
        <f>(Table1[[#This Row],[OrderDate]]-Table1[[#This Row],[Date of first order]])/30</f>
        <v>0.46666666666666667</v>
      </c>
      <c r="AE40" t="str">
        <f t="shared" si="10"/>
        <v>Poor</v>
      </c>
      <c r="AF40">
        <f>COUNTIF(AE$2:AE41,AE40)</f>
        <v>27</v>
      </c>
      <c r="AG40" t="str">
        <f t="shared" si="11"/>
        <v>False</v>
      </c>
      <c r="AH40" s="7">
        <f>Table1[[#This Row],[UnitPrice]]*(1-Table1[[#This Row],[Disc Scenario]])*Table1[[#This Row],[Quantity]]</f>
        <v>2059.0056</v>
      </c>
      <c r="AI40">
        <f>ROUNDDOWN((Table1[[#This Row],[Quantity]]*(1+20%)),0)</f>
        <v>2</v>
      </c>
      <c r="AJ40" s="7">
        <f>Table1[[#This Row],[Quantity increase by 20%]]*Table1[[#This Row],[UnitPrice]]</f>
        <v>2318.6999999999998</v>
      </c>
      <c r="AK40">
        <f>ROUNDDOWN(Table1[[#This Row],[Quantity]]*(1+20%),0)</f>
        <v>2</v>
      </c>
      <c r="AL40" s="7">
        <f>Table1[[#This Row],[UnitCost]]*(1+15%)</f>
        <v>796.00699999999983</v>
      </c>
      <c r="AM40" s="9">
        <f>Table1[[#This Row],[Quantity]]*Table1[[#This Row],[Cost of unit by inflation 15%]]</f>
        <v>1592.0139999999997</v>
      </c>
      <c r="AN40" s="21" cm="1">
        <f t="array" ref="AN40">_xlfn.UNIQUE(AC40)</f>
        <v>45016</v>
      </c>
    </row>
    <row r="41" spans="1:40" x14ac:dyDescent="0.35">
      <c r="A41" t="s">
        <v>81</v>
      </c>
      <c r="B41" s="21">
        <v>45004</v>
      </c>
      <c r="C41" s="10">
        <v>45025</v>
      </c>
      <c r="D41" s="3">
        <f t="shared" si="0"/>
        <v>21</v>
      </c>
      <c r="E41" s="10" t="str">
        <f t="shared" si="1"/>
        <v>Q1-2023</v>
      </c>
      <c r="F41" t="s">
        <v>648</v>
      </c>
      <c r="G41" t="s">
        <v>657</v>
      </c>
      <c r="H41" t="s">
        <v>692</v>
      </c>
      <c r="I41" t="s">
        <v>703</v>
      </c>
      <c r="J41" t="s">
        <v>706</v>
      </c>
      <c r="K41" t="s">
        <v>715</v>
      </c>
      <c r="L41" t="s">
        <v>732</v>
      </c>
      <c r="M41" t="s">
        <v>799</v>
      </c>
      <c r="N41" s="3">
        <v>1082.17</v>
      </c>
      <c r="O41" s="3">
        <v>1234.0999999999999</v>
      </c>
      <c r="P41" s="6">
        <v>0.189</v>
      </c>
      <c r="Q41" s="6">
        <f>IF(Table1[[#This Row],[DiscountPct]]&gt;25%,25%,Table1[[#This Row],[DiscountPct]])</f>
        <v>0.189</v>
      </c>
      <c r="R41" s="5">
        <v>16</v>
      </c>
      <c r="S41" s="6">
        <f t="shared" si="2"/>
        <v>0.14039383830636576</v>
      </c>
      <c r="T41" s="8">
        <f t="shared" si="3"/>
        <v>16013.681599999998</v>
      </c>
      <c r="U41" s="8">
        <f t="shared" si="4"/>
        <v>17314.72</v>
      </c>
      <c r="V41" s="9">
        <f t="shared" si="5"/>
        <v>-1301.0384000000031</v>
      </c>
      <c r="W41" s="6">
        <f t="shared" si="6"/>
        <v>-8.124542703534228E-2</v>
      </c>
      <c r="X41" t="str" cm="1">
        <f t="array" ref="X41">_xlfn.IFS(S41&lt;=25%, "Low", S41&lt;=75%, "Medium", S41&gt;75%, "High")</f>
        <v>Low</v>
      </c>
      <c r="Y41" s="8">
        <f>Table1[[#This Row],[Quantity]]*(Table1[[#This Row],[UnitPrice]]*(1-Table1[[#This Row],[DiscountPct]]))</f>
        <v>16013.681599999998</v>
      </c>
      <c r="Z41" s="9">
        <f t="shared" si="7"/>
        <v>-1301.0384000000031</v>
      </c>
      <c r="AA41">
        <f>COUNTIF($G$2:G42,G41)</f>
        <v>4</v>
      </c>
      <c r="AB41" s="21">
        <f t="shared" si="8"/>
        <v>44988</v>
      </c>
      <c r="AC41" s="21">
        <f t="shared" si="9"/>
        <v>45016</v>
      </c>
      <c r="AD41" s="5">
        <f>(Table1[[#This Row],[OrderDate]]-Table1[[#This Row],[Date of first order]])/30</f>
        <v>0.53333333333333333</v>
      </c>
      <c r="AE41" t="str">
        <f t="shared" si="10"/>
        <v>Poor</v>
      </c>
      <c r="AF41">
        <f>COUNTIF(AE$2:AE42,AE41)</f>
        <v>28</v>
      </c>
      <c r="AG41" t="str">
        <f t="shared" si="11"/>
        <v>False</v>
      </c>
      <c r="AH41" s="7">
        <f>Table1[[#This Row],[UnitPrice]]*(1-Table1[[#This Row],[Disc Scenario]])*Table1[[#This Row],[Quantity]]</f>
        <v>16013.681599999998</v>
      </c>
      <c r="AI41">
        <f>ROUNDDOWN((Table1[[#This Row],[Quantity]]*(1+20%)),0)</f>
        <v>19</v>
      </c>
      <c r="AJ41" s="7">
        <f>Table1[[#This Row],[Quantity increase by 20%]]*Table1[[#This Row],[UnitPrice]]</f>
        <v>23447.899999999998</v>
      </c>
      <c r="AK41">
        <f>ROUNDDOWN(Table1[[#This Row],[Quantity]]*(1+20%),0)</f>
        <v>19</v>
      </c>
      <c r="AL41" s="7">
        <f>Table1[[#This Row],[UnitCost]]*(1+15%)</f>
        <v>1244.4955</v>
      </c>
      <c r="AM41" s="9">
        <f>Table1[[#This Row],[Quantity]]*Table1[[#This Row],[Cost of unit by inflation 15%]]</f>
        <v>19911.928</v>
      </c>
      <c r="AN41" s="21" cm="1">
        <f t="array" ref="AN41">_xlfn.UNIQUE(AC41)</f>
        <v>45016</v>
      </c>
    </row>
    <row r="42" spans="1:40" x14ac:dyDescent="0.35">
      <c r="A42" t="s">
        <v>332</v>
      </c>
      <c r="B42" s="21">
        <v>45008</v>
      </c>
      <c r="C42" s="10">
        <v>45031</v>
      </c>
      <c r="D42" s="3">
        <f t="shared" si="0"/>
        <v>23</v>
      </c>
      <c r="E42" s="10" t="str">
        <f t="shared" si="1"/>
        <v>Q1-2023</v>
      </c>
      <c r="F42" t="s">
        <v>645</v>
      </c>
      <c r="G42" t="s">
        <v>649</v>
      </c>
      <c r="H42" t="s">
        <v>674</v>
      </c>
      <c r="I42" t="s">
        <v>704</v>
      </c>
      <c r="J42" t="s">
        <v>706</v>
      </c>
      <c r="K42" t="s">
        <v>711</v>
      </c>
      <c r="L42" t="s">
        <v>732</v>
      </c>
      <c r="M42" t="s">
        <v>1050</v>
      </c>
      <c r="N42" s="3">
        <v>875.36</v>
      </c>
      <c r="O42" s="3">
        <v>1178.6199999999999</v>
      </c>
      <c r="P42" s="6">
        <v>0.151</v>
      </c>
      <c r="Q42" s="6">
        <f>IF(Table1[[#This Row],[DiscountPct]]&gt;25%,25%,Table1[[#This Row],[DiscountPct]])</f>
        <v>0.151</v>
      </c>
      <c r="R42" s="5">
        <v>53</v>
      </c>
      <c r="S42" s="6">
        <f t="shared" si="2"/>
        <v>0.34644032169621625</v>
      </c>
      <c r="T42" s="8">
        <f t="shared" si="3"/>
        <v>53034.364139999991</v>
      </c>
      <c r="U42" s="8">
        <f t="shared" si="4"/>
        <v>46394.080000000002</v>
      </c>
      <c r="V42" s="9">
        <f t="shared" si="5"/>
        <v>6640.2841399999888</v>
      </c>
      <c r="W42" s="6">
        <f t="shared" si="6"/>
        <v>0.12520719815685888</v>
      </c>
      <c r="X42" t="str" cm="1">
        <f t="array" ref="X42">_xlfn.IFS(S42&lt;=25%, "Low", S42&lt;=75%, "Medium", S42&gt;75%, "High")</f>
        <v>Medium</v>
      </c>
      <c r="Y42" s="8">
        <f>Table1[[#This Row],[Quantity]]*(Table1[[#This Row],[UnitPrice]]*(1-Table1[[#This Row],[DiscountPct]]))</f>
        <v>53034.364139999991</v>
      </c>
      <c r="Z42" s="9">
        <f t="shared" si="7"/>
        <v>6640.2841399999888</v>
      </c>
      <c r="AA42">
        <f>COUNTIF($G$2:G43,G42)</f>
        <v>5</v>
      </c>
      <c r="AB42" s="21">
        <f t="shared" si="8"/>
        <v>44988</v>
      </c>
      <c r="AC42" s="21">
        <f t="shared" si="9"/>
        <v>45016</v>
      </c>
      <c r="AD42" s="5">
        <f>(Table1[[#This Row],[OrderDate]]-Table1[[#This Row],[Date of first order]])/30</f>
        <v>0.66666666666666663</v>
      </c>
      <c r="AE42" t="str">
        <f t="shared" si="10"/>
        <v>Poor</v>
      </c>
      <c r="AF42">
        <f>COUNTIF(AE$2:AE43,AE42)</f>
        <v>28</v>
      </c>
      <c r="AG42" t="str">
        <f t="shared" si="11"/>
        <v>False</v>
      </c>
      <c r="AH42" s="7">
        <f>Table1[[#This Row],[UnitPrice]]*(1-Table1[[#This Row],[Disc Scenario]])*Table1[[#This Row],[Quantity]]</f>
        <v>53034.364139999991</v>
      </c>
      <c r="AI42">
        <f>ROUNDDOWN((Table1[[#This Row],[Quantity]]*(1+20%)),0)</f>
        <v>63</v>
      </c>
      <c r="AJ42" s="7">
        <f>Table1[[#This Row],[Quantity increase by 20%]]*Table1[[#This Row],[UnitPrice]]</f>
        <v>74253.06</v>
      </c>
      <c r="AK42">
        <f>ROUNDDOWN(Table1[[#This Row],[Quantity]]*(1+20%),0)</f>
        <v>63</v>
      </c>
      <c r="AL42" s="7">
        <f>Table1[[#This Row],[UnitCost]]*(1+15%)</f>
        <v>1006.664</v>
      </c>
      <c r="AM42" s="9">
        <f>Table1[[#This Row],[Quantity]]*Table1[[#This Row],[Cost of unit by inflation 15%]]</f>
        <v>53353.192000000003</v>
      </c>
      <c r="AN42" s="21" cm="1">
        <f t="array" ref="AN42">_xlfn.UNIQUE(AC42)</f>
        <v>45016</v>
      </c>
    </row>
    <row r="43" spans="1:40" x14ac:dyDescent="0.35">
      <c r="A43" t="s">
        <v>177</v>
      </c>
      <c r="B43" s="21">
        <v>45010</v>
      </c>
      <c r="C43" s="10">
        <v>45011</v>
      </c>
      <c r="D43" s="3">
        <f t="shared" si="0"/>
        <v>1</v>
      </c>
      <c r="E43" s="10" t="str">
        <f t="shared" si="1"/>
        <v>Q1-2023</v>
      </c>
      <c r="F43" t="s">
        <v>646</v>
      </c>
      <c r="G43" t="s">
        <v>651</v>
      </c>
      <c r="H43" t="s">
        <v>665</v>
      </c>
      <c r="I43" t="s">
        <v>704</v>
      </c>
      <c r="J43" t="s">
        <v>709</v>
      </c>
      <c r="K43" t="s">
        <v>713</v>
      </c>
      <c r="L43" t="s">
        <v>731</v>
      </c>
      <c r="M43" t="s">
        <v>895</v>
      </c>
      <c r="N43" s="3">
        <v>135.12</v>
      </c>
      <c r="O43" s="3">
        <v>301.7</v>
      </c>
      <c r="P43" s="6">
        <v>0.14000000000000001</v>
      </c>
      <c r="Q43" s="6">
        <f>IF(Table1[[#This Row],[DiscountPct]]&gt;25%,25%,Table1[[#This Row],[DiscountPct]])</f>
        <v>0.14000000000000001</v>
      </c>
      <c r="R43" s="5">
        <v>47</v>
      </c>
      <c r="S43" s="6">
        <f t="shared" si="2"/>
        <v>1.2328300769686202</v>
      </c>
      <c r="T43" s="8">
        <f t="shared" si="3"/>
        <v>12194.714</v>
      </c>
      <c r="U43" s="8">
        <f t="shared" si="4"/>
        <v>6350.64</v>
      </c>
      <c r="V43" s="9">
        <f t="shared" si="5"/>
        <v>5844.0739999999996</v>
      </c>
      <c r="W43" s="6">
        <f t="shared" si="6"/>
        <v>0.47923009920527859</v>
      </c>
      <c r="X43" t="str" cm="1">
        <f t="array" ref="X43">_xlfn.IFS(S43&lt;=25%, "Low", S43&lt;=75%, "Medium", S43&gt;75%, "High")</f>
        <v>High</v>
      </c>
      <c r="Y43" s="8">
        <f>Table1[[#This Row],[Quantity]]*(Table1[[#This Row],[UnitPrice]]*(1-Table1[[#This Row],[DiscountPct]]))</f>
        <v>12194.714</v>
      </c>
      <c r="Z43" s="9">
        <f t="shared" si="7"/>
        <v>5844.0739999999996</v>
      </c>
      <c r="AA43">
        <f>COUNTIF($G$2:G44,G43)</f>
        <v>2</v>
      </c>
      <c r="AB43" s="21">
        <f t="shared" si="8"/>
        <v>44988</v>
      </c>
      <c r="AC43" s="21">
        <f t="shared" si="9"/>
        <v>45016</v>
      </c>
      <c r="AD43" s="5">
        <f>(Table1[[#This Row],[OrderDate]]-Table1[[#This Row],[Date of first order]])/30</f>
        <v>0.73333333333333328</v>
      </c>
      <c r="AE43" t="str">
        <f t="shared" si="10"/>
        <v>Good</v>
      </c>
      <c r="AF43">
        <f>COUNTIF(AE$2:AE44,AE43)</f>
        <v>14</v>
      </c>
      <c r="AG43" t="str">
        <f t="shared" si="11"/>
        <v>False</v>
      </c>
      <c r="AH43" s="7">
        <f>Table1[[#This Row],[UnitPrice]]*(1-Table1[[#This Row],[Disc Scenario]])*Table1[[#This Row],[Quantity]]</f>
        <v>12194.714</v>
      </c>
      <c r="AI43">
        <f>ROUNDDOWN((Table1[[#This Row],[Quantity]]*(1+20%)),0)</f>
        <v>56</v>
      </c>
      <c r="AJ43" s="7">
        <f>Table1[[#This Row],[Quantity increase by 20%]]*Table1[[#This Row],[UnitPrice]]</f>
        <v>16895.2</v>
      </c>
      <c r="AK43">
        <f>ROUNDDOWN(Table1[[#This Row],[Quantity]]*(1+20%),0)</f>
        <v>56</v>
      </c>
      <c r="AL43" s="7">
        <f>Table1[[#This Row],[UnitCost]]*(1+15%)</f>
        <v>155.38800000000001</v>
      </c>
      <c r="AM43" s="9">
        <f>Table1[[#This Row],[Quantity]]*Table1[[#This Row],[Cost of unit by inflation 15%]]</f>
        <v>7303.2359999999999</v>
      </c>
      <c r="AN43" s="21" cm="1">
        <f t="array" ref="AN43">_xlfn.UNIQUE(AC43)</f>
        <v>45016</v>
      </c>
    </row>
    <row r="44" spans="1:40" x14ac:dyDescent="0.35">
      <c r="A44" t="s">
        <v>50</v>
      </c>
      <c r="B44" s="21">
        <v>45012</v>
      </c>
      <c r="C44" s="10">
        <v>45038</v>
      </c>
      <c r="D44" s="3">
        <f t="shared" si="0"/>
        <v>26</v>
      </c>
      <c r="E44" s="10" t="str">
        <f t="shared" si="1"/>
        <v>Q1-2023</v>
      </c>
      <c r="F44" t="s">
        <v>646</v>
      </c>
      <c r="G44" t="s">
        <v>653</v>
      </c>
      <c r="H44" t="s">
        <v>679</v>
      </c>
      <c r="I44" t="s">
        <v>702</v>
      </c>
      <c r="J44" t="s">
        <v>708</v>
      </c>
      <c r="K44" t="s">
        <v>712</v>
      </c>
      <c r="L44" t="s">
        <v>727</v>
      </c>
      <c r="M44" t="s">
        <v>768</v>
      </c>
      <c r="N44" s="3">
        <v>178.53</v>
      </c>
      <c r="O44" s="3">
        <v>199.37</v>
      </c>
      <c r="P44" s="6">
        <v>0.10100000000000001</v>
      </c>
      <c r="Q44" s="6">
        <f>IF(Table1[[#This Row],[DiscountPct]]&gt;25%,25%,Table1[[#This Row],[DiscountPct]])</f>
        <v>0.10100000000000001</v>
      </c>
      <c r="R44" s="5">
        <v>37</v>
      </c>
      <c r="S44" s="6">
        <f t="shared" si="2"/>
        <v>0.11673108161093375</v>
      </c>
      <c r="T44" s="8">
        <f t="shared" si="3"/>
        <v>6631.6443100000006</v>
      </c>
      <c r="U44" s="8">
        <f t="shared" si="4"/>
        <v>6605.61</v>
      </c>
      <c r="V44" s="9">
        <f t="shared" si="5"/>
        <v>26.034310000000914</v>
      </c>
      <c r="W44" s="6">
        <f t="shared" si="6"/>
        <v>3.9257699573457538E-3</v>
      </c>
      <c r="X44" t="str" cm="1">
        <f t="array" ref="X44">_xlfn.IFS(S44&lt;=25%, "Low", S44&lt;=75%, "Medium", S44&gt;75%, "High")</f>
        <v>Low</v>
      </c>
      <c r="Y44" s="8">
        <f>Table1[[#This Row],[Quantity]]*(Table1[[#This Row],[UnitPrice]]*(1-Table1[[#This Row],[DiscountPct]]))</f>
        <v>6631.6443100000006</v>
      </c>
      <c r="Z44" s="9">
        <f t="shared" si="7"/>
        <v>26.034310000000914</v>
      </c>
      <c r="AA44">
        <f>COUNTIF($G$2:G45,G44)</f>
        <v>2</v>
      </c>
      <c r="AB44" s="21">
        <f t="shared" si="8"/>
        <v>44988</v>
      </c>
      <c r="AC44" s="21">
        <f t="shared" si="9"/>
        <v>45016</v>
      </c>
      <c r="AD44" s="5">
        <f>(Table1[[#This Row],[OrderDate]]-Table1[[#This Row],[Date of first order]])/30</f>
        <v>0.8</v>
      </c>
      <c r="AE44" t="str">
        <f t="shared" si="10"/>
        <v>Poor</v>
      </c>
      <c r="AF44">
        <f>COUNTIF(AE$2:AE45,AE44)</f>
        <v>29</v>
      </c>
      <c r="AG44" t="str">
        <f t="shared" si="11"/>
        <v>False</v>
      </c>
      <c r="AH44" s="7">
        <f>Table1[[#This Row],[UnitPrice]]*(1-Table1[[#This Row],[Disc Scenario]])*Table1[[#This Row],[Quantity]]</f>
        <v>6631.6443100000006</v>
      </c>
      <c r="AI44">
        <f>ROUNDDOWN((Table1[[#This Row],[Quantity]]*(1+20%)),0)</f>
        <v>44</v>
      </c>
      <c r="AJ44" s="7">
        <f>Table1[[#This Row],[Quantity increase by 20%]]*Table1[[#This Row],[UnitPrice]]</f>
        <v>8772.2800000000007</v>
      </c>
      <c r="AK44">
        <f>ROUNDDOWN(Table1[[#This Row],[Quantity]]*(1+20%),0)</f>
        <v>44</v>
      </c>
      <c r="AL44" s="7">
        <f>Table1[[#This Row],[UnitCost]]*(1+15%)</f>
        <v>205.30949999999999</v>
      </c>
      <c r="AM44" s="9">
        <f>Table1[[#This Row],[Quantity]]*Table1[[#This Row],[Cost of unit by inflation 15%]]</f>
        <v>7596.4514999999992</v>
      </c>
      <c r="AN44" s="21" cm="1">
        <f t="array" ref="AN44">_xlfn.UNIQUE(AC44)</f>
        <v>45016</v>
      </c>
    </row>
    <row r="45" spans="1:40" x14ac:dyDescent="0.35">
      <c r="A45" t="s">
        <v>67</v>
      </c>
      <c r="B45" s="21">
        <v>45016</v>
      </c>
      <c r="C45" s="10">
        <v>45021</v>
      </c>
      <c r="D45" s="3">
        <f t="shared" si="0"/>
        <v>5</v>
      </c>
      <c r="E45" s="10" t="str">
        <f t="shared" si="1"/>
        <v>Q1-2023</v>
      </c>
      <c r="F45" t="s">
        <v>645</v>
      </c>
      <c r="G45" t="s">
        <v>649</v>
      </c>
      <c r="H45" t="s">
        <v>677</v>
      </c>
      <c r="I45" t="s">
        <v>701</v>
      </c>
      <c r="J45" t="s">
        <v>708</v>
      </c>
      <c r="K45" t="s">
        <v>716</v>
      </c>
      <c r="L45" t="s">
        <v>730</v>
      </c>
      <c r="M45" t="s">
        <v>785</v>
      </c>
      <c r="N45" s="3">
        <v>533.26</v>
      </c>
      <c r="O45" s="3">
        <v>1055.8548000000001</v>
      </c>
      <c r="P45" s="6">
        <v>0</v>
      </c>
      <c r="Q45" s="6">
        <f>IF(Table1[[#This Row],[DiscountPct]]&gt;25%,25%,Table1[[#This Row],[DiscountPct]])</f>
        <v>0</v>
      </c>
      <c r="R45" s="5">
        <v>15</v>
      </c>
      <c r="S45" s="6">
        <f t="shared" si="2"/>
        <v>0.9800000000000002</v>
      </c>
      <c r="T45" s="8">
        <f t="shared" si="3"/>
        <v>15837.822</v>
      </c>
      <c r="U45" s="8">
        <f t="shared" si="4"/>
        <v>7998.9</v>
      </c>
      <c r="V45" s="9">
        <f t="shared" si="5"/>
        <v>7838.9220000000005</v>
      </c>
      <c r="W45" s="6">
        <f t="shared" si="6"/>
        <v>0.49494949494949497</v>
      </c>
      <c r="X45" t="str" cm="1">
        <f t="array" ref="X45">_xlfn.IFS(S45&lt;=25%, "Low", S45&lt;=75%, "Medium", S45&gt;75%, "High")</f>
        <v>High</v>
      </c>
      <c r="Y45" s="8">
        <f>Table1[[#This Row],[Quantity]]*(Table1[[#This Row],[UnitPrice]]*(1-Table1[[#This Row],[DiscountPct]]))</f>
        <v>15837.822</v>
      </c>
      <c r="Z45" s="9">
        <f t="shared" si="7"/>
        <v>7838.9220000000005</v>
      </c>
      <c r="AA45">
        <f>COUNTIF($G$2:G46,G45)</f>
        <v>7</v>
      </c>
      <c r="AB45" s="21">
        <f t="shared" si="8"/>
        <v>44988</v>
      </c>
      <c r="AC45" s="21">
        <f t="shared" si="9"/>
        <v>45016</v>
      </c>
      <c r="AD45" s="5">
        <f>(Table1[[#This Row],[OrderDate]]-Table1[[#This Row],[Date of first order]])/30</f>
        <v>0.93333333333333335</v>
      </c>
      <c r="AE45" t="str">
        <f t="shared" si="10"/>
        <v>Good</v>
      </c>
      <c r="AF45">
        <f>COUNTIF(AE$2:AE46,AE45)</f>
        <v>15</v>
      </c>
      <c r="AG45" t="str">
        <f t="shared" si="11"/>
        <v>False</v>
      </c>
      <c r="AH45" s="7">
        <f>Table1[[#This Row],[UnitPrice]]*(1-Table1[[#This Row],[Disc Scenario]])*Table1[[#This Row],[Quantity]]</f>
        <v>15837.822</v>
      </c>
      <c r="AI45">
        <f>ROUNDDOWN((Table1[[#This Row],[Quantity]]*(1+20%)),0)</f>
        <v>18</v>
      </c>
      <c r="AJ45" s="7">
        <f>Table1[[#This Row],[Quantity increase by 20%]]*Table1[[#This Row],[UnitPrice]]</f>
        <v>19005.386400000003</v>
      </c>
      <c r="AK45">
        <f>ROUNDDOWN(Table1[[#This Row],[Quantity]]*(1+20%),0)</f>
        <v>18</v>
      </c>
      <c r="AL45" s="7">
        <f>Table1[[#This Row],[UnitCost]]*(1+15%)</f>
        <v>613.24899999999991</v>
      </c>
      <c r="AM45" s="9">
        <f>Table1[[#This Row],[Quantity]]*Table1[[#This Row],[Cost of unit by inflation 15%]]</f>
        <v>9198.7349999999988</v>
      </c>
      <c r="AN45" s="21" cm="1">
        <f t="array" ref="AN45">_xlfn.UNIQUE(AC45)</f>
        <v>45016</v>
      </c>
    </row>
    <row r="46" spans="1:40" x14ac:dyDescent="0.35">
      <c r="A46" t="s">
        <v>151</v>
      </c>
      <c r="B46" s="21">
        <v>45016</v>
      </c>
      <c r="C46" s="10">
        <v>45028</v>
      </c>
      <c r="D46" s="3">
        <f t="shared" si="0"/>
        <v>12</v>
      </c>
      <c r="E46" s="10" t="str">
        <f t="shared" si="1"/>
        <v>Q1-2023</v>
      </c>
      <c r="F46" t="s">
        <v>645</v>
      </c>
      <c r="G46" t="s">
        <v>649</v>
      </c>
      <c r="H46" t="s">
        <v>674</v>
      </c>
      <c r="I46" t="s">
        <v>704</v>
      </c>
      <c r="J46" t="s">
        <v>707</v>
      </c>
      <c r="K46" t="s">
        <v>711</v>
      </c>
      <c r="L46" t="s">
        <v>729</v>
      </c>
      <c r="M46" t="s">
        <v>869</v>
      </c>
      <c r="N46" s="3">
        <v>304.22000000000003</v>
      </c>
      <c r="O46" s="3">
        <v>393.31</v>
      </c>
      <c r="P46" s="6">
        <v>0.26500000000000001</v>
      </c>
      <c r="Q46" s="6">
        <f>IF(Table1[[#This Row],[DiscountPct]]&gt;25%,25%,Table1[[#This Row],[DiscountPct]])</f>
        <v>0.25</v>
      </c>
      <c r="R46" s="5">
        <v>15</v>
      </c>
      <c r="S46" s="6">
        <f t="shared" si="2"/>
        <v>0.29284728157254608</v>
      </c>
      <c r="T46" s="8">
        <f t="shared" si="3"/>
        <v>4336.2427499999994</v>
      </c>
      <c r="U46" s="8">
        <f t="shared" si="4"/>
        <v>4563.3</v>
      </c>
      <c r="V46" s="9">
        <f t="shared" si="5"/>
        <v>-227.05725000000075</v>
      </c>
      <c r="W46" s="6">
        <f t="shared" si="6"/>
        <v>-5.2362670424759034E-2</v>
      </c>
      <c r="X46" t="str" cm="1">
        <f t="array" ref="X46">_xlfn.IFS(S46&lt;=25%, "Low", S46&lt;=75%, "Medium", S46&gt;75%, "High")</f>
        <v>Medium</v>
      </c>
      <c r="Y46" s="8">
        <f>Table1[[#This Row],[Quantity]]*(Table1[[#This Row],[UnitPrice]]*(1-Table1[[#This Row],[DiscountPct]]))</f>
        <v>4336.2427500000003</v>
      </c>
      <c r="Z46" s="9">
        <f t="shared" si="7"/>
        <v>-227.05724999999984</v>
      </c>
      <c r="AA46">
        <f>COUNTIF($G$2:G47,G46)</f>
        <v>7</v>
      </c>
      <c r="AB46" s="21">
        <f t="shared" si="8"/>
        <v>44988</v>
      </c>
      <c r="AC46" s="21">
        <f t="shared" si="9"/>
        <v>45016</v>
      </c>
      <c r="AD46" s="5">
        <f>(Table1[[#This Row],[OrderDate]]-Table1[[#This Row],[Date of first order]])/30</f>
        <v>0.93333333333333335</v>
      </c>
      <c r="AE46" t="str">
        <f t="shared" si="10"/>
        <v>Poor</v>
      </c>
      <c r="AF46">
        <f>COUNTIF(AE$2:AE47,AE46)</f>
        <v>31</v>
      </c>
      <c r="AG46" t="str">
        <f t="shared" si="11"/>
        <v>True</v>
      </c>
      <c r="AH46" s="7">
        <f>Table1[[#This Row],[UnitPrice]]*(1-Table1[[#This Row],[Disc Scenario]])*Table1[[#This Row],[Quantity]]</f>
        <v>4424.7375000000002</v>
      </c>
      <c r="AI46">
        <f>ROUNDDOWN((Table1[[#This Row],[Quantity]]*(1+20%)),0)</f>
        <v>18</v>
      </c>
      <c r="AJ46" s="7">
        <f>Table1[[#This Row],[Quantity increase by 20%]]*Table1[[#This Row],[UnitPrice]]</f>
        <v>7079.58</v>
      </c>
      <c r="AK46">
        <f>ROUNDDOWN(Table1[[#This Row],[Quantity]]*(1+20%),0)</f>
        <v>18</v>
      </c>
      <c r="AL46" s="7">
        <f>Table1[[#This Row],[UnitCost]]*(1+15%)</f>
        <v>349.85300000000001</v>
      </c>
      <c r="AM46" s="9">
        <f>Table1[[#This Row],[Quantity]]*Table1[[#This Row],[Cost of unit by inflation 15%]]</f>
        <v>5247.7950000000001</v>
      </c>
      <c r="AN46" s="21" cm="1">
        <f t="array" ref="AN46">_xlfn.UNIQUE(AC46)</f>
        <v>45016</v>
      </c>
    </row>
    <row r="47" spans="1:40" x14ac:dyDescent="0.35">
      <c r="A47" t="s">
        <v>603</v>
      </c>
      <c r="B47" s="21">
        <v>45019</v>
      </c>
      <c r="C47" s="10">
        <v>45032</v>
      </c>
      <c r="D47" s="3">
        <f t="shared" si="0"/>
        <v>13</v>
      </c>
      <c r="E47" s="10" t="str">
        <f t="shared" si="1"/>
        <v>Q2-2023</v>
      </c>
      <c r="F47" t="s">
        <v>648</v>
      </c>
      <c r="G47" t="s">
        <v>656</v>
      </c>
      <c r="H47" t="s">
        <v>672</v>
      </c>
      <c r="I47" t="s">
        <v>702</v>
      </c>
      <c r="J47" t="s">
        <v>708</v>
      </c>
      <c r="K47" t="s">
        <v>723</v>
      </c>
      <c r="L47" t="s">
        <v>732</v>
      </c>
      <c r="M47" t="s">
        <v>1319</v>
      </c>
      <c r="N47" s="3">
        <v>790.54</v>
      </c>
      <c r="O47" s="3">
        <v>1375.5395999999998</v>
      </c>
      <c r="P47" s="6">
        <v>0</v>
      </c>
      <c r="Q47" s="6">
        <f>IF(Table1[[#This Row],[DiscountPct]]&gt;25%,25%,Table1[[#This Row],[DiscountPct]])</f>
        <v>0</v>
      </c>
      <c r="R47" s="5">
        <v>15</v>
      </c>
      <c r="S47" s="6">
        <f t="shared" si="2"/>
        <v>0.73999999999999988</v>
      </c>
      <c r="T47" s="8">
        <f t="shared" si="3"/>
        <v>20633.093999999997</v>
      </c>
      <c r="U47" s="8">
        <f t="shared" si="4"/>
        <v>11858.099999999999</v>
      </c>
      <c r="V47" s="9">
        <f t="shared" si="5"/>
        <v>8774.9939999999988</v>
      </c>
      <c r="W47" s="6">
        <f t="shared" si="6"/>
        <v>0.42528735632183906</v>
      </c>
      <c r="X47" t="str" cm="1">
        <f t="array" ref="X47">_xlfn.IFS(S47&lt;=25%, "Low", S47&lt;=75%, "Medium", S47&gt;75%, "High")</f>
        <v>Medium</v>
      </c>
      <c r="Y47" s="8">
        <f>Table1[[#This Row],[Quantity]]*(Table1[[#This Row],[UnitPrice]]*(1-Table1[[#This Row],[DiscountPct]]))</f>
        <v>20633.093999999997</v>
      </c>
      <c r="Z47" s="9">
        <f t="shared" si="7"/>
        <v>8774.9939999999988</v>
      </c>
      <c r="AA47">
        <f>COUNTIF($G$2:G48,G47)</f>
        <v>3</v>
      </c>
      <c r="AB47" s="21">
        <f t="shared" si="8"/>
        <v>44988</v>
      </c>
      <c r="AC47" s="21">
        <f t="shared" si="9"/>
        <v>45016</v>
      </c>
      <c r="AD47" s="5">
        <f>(Table1[[#This Row],[OrderDate]]-Table1[[#This Row],[Date of first order]])/30</f>
        <v>1.0333333333333334</v>
      </c>
      <c r="AE47" t="str">
        <f t="shared" si="10"/>
        <v>Poor</v>
      </c>
      <c r="AF47">
        <f>COUNTIF(AE$2:AE48,AE47)</f>
        <v>32</v>
      </c>
      <c r="AG47" t="str">
        <f t="shared" si="11"/>
        <v>False</v>
      </c>
      <c r="AH47" s="7">
        <f>Table1[[#This Row],[UnitPrice]]*(1-Table1[[#This Row],[Disc Scenario]])*Table1[[#This Row],[Quantity]]</f>
        <v>20633.093999999997</v>
      </c>
      <c r="AI47">
        <f>ROUNDDOWN((Table1[[#This Row],[Quantity]]*(1+20%)),0)</f>
        <v>18</v>
      </c>
      <c r="AJ47" s="7">
        <f>Table1[[#This Row],[Quantity increase by 20%]]*Table1[[#This Row],[UnitPrice]]</f>
        <v>24759.712799999998</v>
      </c>
      <c r="AK47">
        <f>ROUNDDOWN(Table1[[#This Row],[Quantity]]*(1+20%),0)</f>
        <v>18</v>
      </c>
      <c r="AL47" s="7">
        <f>Table1[[#This Row],[UnitCost]]*(1+15%)</f>
        <v>909.12099999999987</v>
      </c>
      <c r="AM47" s="9">
        <f>Table1[[#This Row],[Quantity]]*Table1[[#This Row],[Cost of unit by inflation 15%]]</f>
        <v>13636.814999999999</v>
      </c>
      <c r="AN47" s="21" cm="1">
        <f t="array" ref="AN47">_xlfn.UNIQUE(AC47)</f>
        <v>45016</v>
      </c>
    </row>
    <row r="48" spans="1:40" x14ac:dyDescent="0.35">
      <c r="A48" t="s">
        <v>192</v>
      </c>
      <c r="B48" s="21">
        <v>45021</v>
      </c>
      <c r="C48" s="10">
        <v>45032</v>
      </c>
      <c r="D48" s="3">
        <f t="shared" si="0"/>
        <v>11</v>
      </c>
      <c r="E48" s="10" t="str">
        <f t="shared" si="1"/>
        <v>Q2-2023</v>
      </c>
      <c r="F48" t="s">
        <v>647</v>
      </c>
      <c r="G48" t="s">
        <v>652</v>
      </c>
      <c r="H48" t="s">
        <v>687</v>
      </c>
      <c r="I48" t="s">
        <v>702</v>
      </c>
      <c r="J48" t="s">
        <v>707</v>
      </c>
      <c r="K48" t="s">
        <v>718</v>
      </c>
      <c r="L48" t="s">
        <v>731</v>
      </c>
      <c r="M48" t="s">
        <v>910</v>
      </c>
      <c r="N48" s="3">
        <v>213.1</v>
      </c>
      <c r="O48" s="3">
        <v>501.31</v>
      </c>
      <c r="P48" s="6">
        <v>5.6000000000000001E-2</v>
      </c>
      <c r="Q48" s="6">
        <f>IF(Table1[[#This Row],[DiscountPct]]&gt;25%,25%,Table1[[#This Row],[DiscountPct]])</f>
        <v>5.6000000000000001E-2</v>
      </c>
      <c r="R48" s="5">
        <v>15</v>
      </c>
      <c r="S48" s="6">
        <f t="shared" si="2"/>
        <v>1.3524636320976069</v>
      </c>
      <c r="T48" s="8">
        <f t="shared" si="3"/>
        <v>7098.5495999999994</v>
      </c>
      <c r="U48" s="8">
        <f t="shared" si="4"/>
        <v>3196.5</v>
      </c>
      <c r="V48" s="9">
        <f t="shared" si="5"/>
        <v>3902.0495999999994</v>
      </c>
      <c r="W48" s="6">
        <f t="shared" si="6"/>
        <v>0.54969674368409005</v>
      </c>
      <c r="X48" t="str" cm="1">
        <f t="array" ref="X48">_xlfn.IFS(S48&lt;=25%, "Low", S48&lt;=75%, "Medium", S48&gt;75%, "High")</f>
        <v>High</v>
      </c>
      <c r="Y48" s="8">
        <f>Table1[[#This Row],[Quantity]]*(Table1[[#This Row],[UnitPrice]]*(1-Table1[[#This Row],[DiscountPct]]))</f>
        <v>7098.5495999999994</v>
      </c>
      <c r="Z48" s="9">
        <f t="shared" si="7"/>
        <v>3902.0495999999994</v>
      </c>
      <c r="AA48">
        <f>COUNTIF($G$2:G49,G48)</f>
        <v>4</v>
      </c>
      <c r="AB48" s="21">
        <f t="shared" si="8"/>
        <v>44988</v>
      </c>
      <c r="AC48" s="21">
        <f t="shared" si="9"/>
        <v>45016</v>
      </c>
      <c r="AD48" s="5">
        <f>(Table1[[#This Row],[OrderDate]]-Table1[[#This Row],[Date of first order]])/30</f>
        <v>1.1000000000000001</v>
      </c>
      <c r="AE48" t="str">
        <f t="shared" si="10"/>
        <v>Poor</v>
      </c>
      <c r="AF48">
        <f>COUNTIF(AE$2:AE49,AE48)</f>
        <v>33</v>
      </c>
      <c r="AG48" t="str">
        <f t="shared" si="11"/>
        <v>False</v>
      </c>
      <c r="AH48" s="7">
        <f>Table1[[#This Row],[UnitPrice]]*(1-Table1[[#This Row],[Disc Scenario]])*Table1[[#This Row],[Quantity]]</f>
        <v>7098.5495999999994</v>
      </c>
      <c r="AI48">
        <f>ROUNDDOWN((Table1[[#This Row],[Quantity]]*(1+20%)),0)</f>
        <v>18</v>
      </c>
      <c r="AJ48" s="7">
        <f>Table1[[#This Row],[Quantity increase by 20%]]*Table1[[#This Row],[UnitPrice]]</f>
        <v>9023.58</v>
      </c>
      <c r="AK48">
        <f>ROUNDDOWN(Table1[[#This Row],[Quantity]]*(1+20%),0)</f>
        <v>18</v>
      </c>
      <c r="AL48" s="7">
        <f>Table1[[#This Row],[UnitCost]]*(1+15%)</f>
        <v>245.06499999999997</v>
      </c>
      <c r="AM48" s="9">
        <f>Table1[[#This Row],[Quantity]]*Table1[[#This Row],[Cost of unit by inflation 15%]]</f>
        <v>3675.9749999999995</v>
      </c>
      <c r="AN48" s="21" cm="1">
        <f t="array" ref="AN48">_xlfn.UNIQUE(AC48)</f>
        <v>45016</v>
      </c>
    </row>
    <row r="49" spans="1:40" x14ac:dyDescent="0.35">
      <c r="A49" t="s">
        <v>110</v>
      </c>
      <c r="B49" s="21">
        <v>45022</v>
      </c>
      <c r="C49" s="10">
        <v>45043</v>
      </c>
      <c r="D49" s="3">
        <f t="shared" si="0"/>
        <v>21</v>
      </c>
      <c r="E49" s="10" t="str">
        <f t="shared" si="1"/>
        <v>Q2-2023</v>
      </c>
      <c r="F49" t="s">
        <v>648</v>
      </c>
      <c r="G49" t="s">
        <v>657</v>
      </c>
      <c r="H49" t="s">
        <v>692</v>
      </c>
      <c r="I49" t="s">
        <v>705</v>
      </c>
      <c r="J49" t="s">
        <v>709</v>
      </c>
      <c r="K49" t="s">
        <v>713</v>
      </c>
      <c r="L49" t="s">
        <v>727</v>
      </c>
      <c r="M49" t="s">
        <v>828</v>
      </c>
      <c r="N49" s="3">
        <v>1084.79</v>
      </c>
      <c r="O49" s="3">
        <v>2484.9899999999998</v>
      </c>
      <c r="P49" s="6">
        <v>3.4000000000000002E-2</v>
      </c>
      <c r="Q49" s="6">
        <f>IF(Table1[[#This Row],[DiscountPct]]&gt;25%,25%,Table1[[#This Row],[DiscountPct]])</f>
        <v>3.4000000000000002E-2</v>
      </c>
      <c r="R49" s="5">
        <v>18</v>
      </c>
      <c r="S49" s="6">
        <f t="shared" si="2"/>
        <v>1.2907567363268466</v>
      </c>
      <c r="T49" s="8">
        <f t="shared" si="3"/>
        <v>43209.006119999991</v>
      </c>
      <c r="U49" s="8">
        <f t="shared" si="4"/>
        <v>19526.22</v>
      </c>
      <c r="V49" s="9">
        <f t="shared" si="5"/>
        <v>23682.78611999999</v>
      </c>
      <c r="W49" s="6">
        <f t="shared" si="6"/>
        <v>0.54809837685755114</v>
      </c>
      <c r="X49" t="str" cm="1">
        <f t="array" ref="X49">_xlfn.IFS(S49&lt;=25%, "Low", S49&lt;=75%, "Medium", S49&gt;75%, "High")</f>
        <v>High</v>
      </c>
      <c r="Y49" s="8">
        <f>Table1[[#This Row],[Quantity]]*(Table1[[#This Row],[UnitPrice]]*(1-Table1[[#This Row],[DiscountPct]]))</f>
        <v>43209.006119999991</v>
      </c>
      <c r="Z49" s="9">
        <f t="shared" si="7"/>
        <v>23682.78611999999</v>
      </c>
      <c r="AA49">
        <f>COUNTIF($G$2:G50,G49)</f>
        <v>5</v>
      </c>
      <c r="AB49" s="21">
        <f t="shared" si="8"/>
        <v>44988</v>
      </c>
      <c r="AC49" s="21">
        <f t="shared" si="9"/>
        <v>45016</v>
      </c>
      <c r="AD49" s="5">
        <f>(Table1[[#This Row],[OrderDate]]-Table1[[#This Row],[Date of first order]])/30</f>
        <v>1.1333333333333333</v>
      </c>
      <c r="AE49" t="str">
        <f t="shared" si="10"/>
        <v>Poor</v>
      </c>
      <c r="AF49">
        <f>COUNTIF(AE$2:AE50,AE49)</f>
        <v>33</v>
      </c>
      <c r="AG49" t="str">
        <f t="shared" si="11"/>
        <v>False</v>
      </c>
      <c r="AH49" s="7">
        <f>Table1[[#This Row],[UnitPrice]]*(1-Table1[[#This Row],[Disc Scenario]])*Table1[[#This Row],[Quantity]]</f>
        <v>43209.006119999991</v>
      </c>
      <c r="AI49">
        <f>ROUNDDOWN((Table1[[#This Row],[Quantity]]*(1+20%)),0)</f>
        <v>21</v>
      </c>
      <c r="AJ49" s="7">
        <f>Table1[[#This Row],[Quantity increase by 20%]]*Table1[[#This Row],[UnitPrice]]</f>
        <v>52184.789999999994</v>
      </c>
      <c r="AK49">
        <f>ROUNDDOWN(Table1[[#This Row],[Quantity]]*(1+20%),0)</f>
        <v>21</v>
      </c>
      <c r="AL49" s="7">
        <f>Table1[[#This Row],[UnitCost]]*(1+15%)</f>
        <v>1247.5084999999999</v>
      </c>
      <c r="AM49" s="9">
        <f>Table1[[#This Row],[Quantity]]*Table1[[#This Row],[Cost of unit by inflation 15%]]</f>
        <v>22455.152999999998</v>
      </c>
      <c r="AN49" s="21" cm="1">
        <f t="array" ref="AN49">_xlfn.UNIQUE(AC49)</f>
        <v>45016</v>
      </c>
    </row>
    <row r="50" spans="1:40" x14ac:dyDescent="0.35">
      <c r="A50" t="s">
        <v>385</v>
      </c>
      <c r="B50" s="21">
        <v>45022</v>
      </c>
      <c r="C50" s="10">
        <v>45024</v>
      </c>
      <c r="D50" s="3">
        <f t="shared" si="0"/>
        <v>2</v>
      </c>
      <c r="E50" s="10" t="str">
        <f t="shared" si="1"/>
        <v>Q2-2023</v>
      </c>
      <c r="F50" t="s">
        <v>645</v>
      </c>
      <c r="G50" t="s">
        <v>650</v>
      </c>
      <c r="H50" t="s">
        <v>668</v>
      </c>
      <c r="I50" t="s">
        <v>704</v>
      </c>
      <c r="J50" t="s">
        <v>708</v>
      </c>
      <c r="K50" t="s">
        <v>722</v>
      </c>
      <c r="L50" t="s">
        <v>731</v>
      </c>
      <c r="M50" t="s">
        <v>1103</v>
      </c>
      <c r="N50" s="3">
        <v>720.35</v>
      </c>
      <c r="O50" s="3">
        <v>1571.66</v>
      </c>
      <c r="P50" s="6">
        <v>0.107</v>
      </c>
      <c r="Q50" s="6">
        <f>IF(Table1[[#This Row],[DiscountPct]]&gt;25%,25%,Table1[[#This Row],[DiscountPct]])</f>
        <v>0.107</v>
      </c>
      <c r="R50" s="5">
        <v>23</v>
      </c>
      <c r="S50" s="6">
        <f t="shared" si="2"/>
        <v>1.1818005136392031</v>
      </c>
      <c r="T50" s="8">
        <f t="shared" si="3"/>
        <v>32280.32474</v>
      </c>
      <c r="U50" s="8">
        <f t="shared" si="4"/>
        <v>16568.05</v>
      </c>
      <c r="V50" s="9">
        <f t="shared" si="5"/>
        <v>15712.274740000001</v>
      </c>
      <c r="W50" s="6">
        <f t="shared" si="6"/>
        <v>0.4867446305622265</v>
      </c>
      <c r="X50" t="str" cm="1">
        <f t="array" ref="X50">_xlfn.IFS(S50&lt;=25%, "Low", S50&lt;=75%, "Medium", S50&gt;75%, "High")</f>
        <v>High</v>
      </c>
      <c r="Y50" s="8">
        <f>Table1[[#This Row],[Quantity]]*(Table1[[#This Row],[UnitPrice]]*(1-Table1[[#This Row],[DiscountPct]]))</f>
        <v>32280.324740000004</v>
      </c>
      <c r="Z50" s="9">
        <f t="shared" si="7"/>
        <v>15712.274740000004</v>
      </c>
      <c r="AA50">
        <f>COUNTIF($G$2:G51,G50)</f>
        <v>3</v>
      </c>
      <c r="AB50" s="21">
        <f t="shared" si="8"/>
        <v>44988</v>
      </c>
      <c r="AC50" s="21">
        <f t="shared" si="9"/>
        <v>45016</v>
      </c>
      <c r="AD50" s="5">
        <f>(Table1[[#This Row],[OrderDate]]-Table1[[#This Row],[Date of first order]])/30</f>
        <v>1.1333333333333333</v>
      </c>
      <c r="AE50" t="str">
        <f t="shared" si="10"/>
        <v>Good</v>
      </c>
      <c r="AF50">
        <f>COUNTIF(AE$2:AE51,AE50)</f>
        <v>16</v>
      </c>
      <c r="AG50" t="str">
        <f t="shared" si="11"/>
        <v>False</v>
      </c>
      <c r="AH50" s="7">
        <f>Table1[[#This Row],[UnitPrice]]*(1-Table1[[#This Row],[Disc Scenario]])*Table1[[#This Row],[Quantity]]</f>
        <v>32280.324740000004</v>
      </c>
      <c r="AI50">
        <f>ROUNDDOWN((Table1[[#This Row],[Quantity]]*(1+20%)),0)</f>
        <v>27</v>
      </c>
      <c r="AJ50" s="7">
        <f>Table1[[#This Row],[Quantity increase by 20%]]*Table1[[#This Row],[UnitPrice]]</f>
        <v>42434.82</v>
      </c>
      <c r="AK50">
        <f>ROUNDDOWN(Table1[[#This Row],[Quantity]]*(1+20%),0)</f>
        <v>27</v>
      </c>
      <c r="AL50" s="7">
        <f>Table1[[#This Row],[UnitCost]]*(1+15%)</f>
        <v>828.40249999999992</v>
      </c>
      <c r="AM50" s="9">
        <f>Table1[[#This Row],[Quantity]]*Table1[[#This Row],[Cost of unit by inflation 15%]]</f>
        <v>19053.2575</v>
      </c>
      <c r="AN50" s="21" cm="1">
        <f t="array" ref="AN50">_xlfn.UNIQUE(AC50)</f>
        <v>45016</v>
      </c>
    </row>
    <row r="51" spans="1:40" x14ac:dyDescent="0.35">
      <c r="A51" t="s">
        <v>617</v>
      </c>
      <c r="B51" s="21">
        <v>45026</v>
      </c>
      <c r="C51" s="10">
        <v>45041</v>
      </c>
      <c r="D51" s="3">
        <f t="shared" si="0"/>
        <v>15</v>
      </c>
      <c r="E51" s="10" t="str">
        <f t="shared" si="1"/>
        <v>Q2-2023</v>
      </c>
      <c r="F51" t="s">
        <v>648</v>
      </c>
      <c r="G51" t="s">
        <v>657</v>
      </c>
      <c r="H51" t="s">
        <v>682</v>
      </c>
      <c r="I51" t="s">
        <v>704</v>
      </c>
      <c r="J51" t="s">
        <v>706</v>
      </c>
      <c r="K51" t="s">
        <v>725</v>
      </c>
      <c r="L51" t="s">
        <v>727</v>
      </c>
      <c r="M51" t="s">
        <v>1333</v>
      </c>
      <c r="N51" s="3">
        <v>405.66</v>
      </c>
      <c r="O51" s="3">
        <v>962.51</v>
      </c>
      <c r="P51" s="6">
        <v>0.19</v>
      </c>
      <c r="Q51" s="6">
        <f>IF(Table1[[#This Row],[DiscountPct]]&gt;25%,25%,Table1[[#This Row],[DiscountPct]])</f>
        <v>0.19</v>
      </c>
      <c r="R51" s="5">
        <v>7</v>
      </c>
      <c r="S51" s="6">
        <f t="shared" si="2"/>
        <v>1.3727012769314202</v>
      </c>
      <c r="T51" s="8">
        <f t="shared" si="3"/>
        <v>5457.4317000000001</v>
      </c>
      <c r="U51" s="8">
        <f t="shared" si="4"/>
        <v>2839.6200000000003</v>
      </c>
      <c r="V51" s="9">
        <f t="shared" si="5"/>
        <v>2617.8116999999997</v>
      </c>
      <c r="W51" s="6">
        <f t="shared" si="6"/>
        <v>0.47967832561239376</v>
      </c>
      <c r="X51" t="str" cm="1">
        <f t="array" ref="X51">_xlfn.IFS(S51&lt;=25%, "Low", S51&lt;=75%, "Medium", S51&gt;75%, "High")</f>
        <v>High</v>
      </c>
      <c r="Y51" s="8">
        <f>Table1[[#This Row],[Quantity]]*(Table1[[#This Row],[UnitPrice]]*(1-Table1[[#This Row],[DiscountPct]]))</f>
        <v>5457.4317000000001</v>
      </c>
      <c r="Z51" s="9">
        <f t="shared" si="7"/>
        <v>2617.8116999999997</v>
      </c>
      <c r="AA51">
        <f>COUNTIF($G$2:G52,G51)</f>
        <v>6</v>
      </c>
      <c r="AB51" s="21">
        <f t="shared" si="8"/>
        <v>44988</v>
      </c>
      <c r="AC51" s="21">
        <f t="shared" si="9"/>
        <v>45016</v>
      </c>
      <c r="AD51" s="5">
        <f>(Table1[[#This Row],[OrderDate]]-Table1[[#This Row],[Date of first order]])/30</f>
        <v>1.2666666666666666</v>
      </c>
      <c r="AE51" t="str">
        <f t="shared" si="10"/>
        <v>Poor</v>
      </c>
      <c r="AF51">
        <f>COUNTIF(AE$2:AE52,AE51)</f>
        <v>34</v>
      </c>
      <c r="AG51" t="str">
        <f t="shared" si="11"/>
        <v>False</v>
      </c>
      <c r="AH51" s="7">
        <f>Table1[[#This Row],[UnitPrice]]*(1-Table1[[#This Row],[Disc Scenario]])*Table1[[#This Row],[Quantity]]</f>
        <v>5457.4317000000001</v>
      </c>
      <c r="AI51">
        <f>ROUNDDOWN((Table1[[#This Row],[Quantity]]*(1+20%)),0)</f>
        <v>8</v>
      </c>
      <c r="AJ51" s="7">
        <f>Table1[[#This Row],[Quantity increase by 20%]]*Table1[[#This Row],[UnitPrice]]</f>
        <v>7700.08</v>
      </c>
      <c r="AK51">
        <f>ROUNDDOWN(Table1[[#This Row],[Quantity]]*(1+20%),0)</f>
        <v>8</v>
      </c>
      <c r="AL51" s="7">
        <f>Table1[[#This Row],[UnitCost]]*(1+15%)</f>
        <v>466.50900000000001</v>
      </c>
      <c r="AM51" s="9">
        <f>Table1[[#This Row],[Quantity]]*Table1[[#This Row],[Cost of unit by inflation 15%]]</f>
        <v>3265.5630000000001</v>
      </c>
      <c r="AN51" s="21" cm="1">
        <f t="array" ref="AN51">_xlfn.UNIQUE(AC51)</f>
        <v>45016</v>
      </c>
    </row>
    <row r="52" spans="1:40" x14ac:dyDescent="0.35">
      <c r="A52" t="s">
        <v>354</v>
      </c>
      <c r="B52" s="21">
        <v>45027</v>
      </c>
      <c r="C52" s="10">
        <v>45029</v>
      </c>
      <c r="D52" s="3">
        <f t="shared" si="0"/>
        <v>2</v>
      </c>
      <c r="E52" s="10" t="str">
        <f t="shared" si="1"/>
        <v>Q2-2023</v>
      </c>
      <c r="F52" t="s">
        <v>647</v>
      </c>
      <c r="G52" t="s">
        <v>659</v>
      </c>
      <c r="H52" t="s">
        <v>685</v>
      </c>
      <c r="I52" t="s">
        <v>701</v>
      </c>
      <c r="J52" t="s">
        <v>708</v>
      </c>
      <c r="K52" t="s">
        <v>714</v>
      </c>
      <c r="L52" t="s">
        <v>728</v>
      </c>
      <c r="M52" t="s">
        <v>1072</v>
      </c>
      <c r="N52" s="3">
        <v>32.1</v>
      </c>
      <c r="O52" s="3">
        <v>70.599999999999994</v>
      </c>
      <c r="P52" s="6">
        <v>0.28199999999999997</v>
      </c>
      <c r="Q52" s="6">
        <f>IF(Table1[[#This Row],[DiscountPct]]&gt;25%,25%,Table1[[#This Row],[DiscountPct]])</f>
        <v>0.25</v>
      </c>
      <c r="R52" s="5">
        <v>22</v>
      </c>
      <c r="S52" s="6">
        <f t="shared" si="2"/>
        <v>1.1993769470404982</v>
      </c>
      <c r="T52" s="8">
        <f t="shared" si="3"/>
        <v>1115.1975999999997</v>
      </c>
      <c r="U52" s="8">
        <f t="shared" si="4"/>
        <v>706.2</v>
      </c>
      <c r="V52" s="9">
        <f t="shared" si="5"/>
        <v>408.99759999999969</v>
      </c>
      <c r="W52" s="6">
        <f t="shared" si="6"/>
        <v>0.36674899587301818</v>
      </c>
      <c r="X52" t="str" cm="1">
        <f t="array" ref="X52">_xlfn.IFS(S52&lt;=25%, "Low", S52&lt;=75%, "Medium", S52&gt;75%, "High")</f>
        <v>High</v>
      </c>
      <c r="Y52" s="8">
        <f>Table1[[#This Row],[Quantity]]*(Table1[[#This Row],[UnitPrice]]*(1-Table1[[#This Row],[DiscountPct]]))</f>
        <v>1115.1976</v>
      </c>
      <c r="Z52" s="9">
        <f t="shared" si="7"/>
        <v>408.99759999999992</v>
      </c>
      <c r="AA52">
        <f>COUNTIF($G$2:G53,G52)</f>
        <v>5</v>
      </c>
      <c r="AB52" s="21">
        <f t="shared" si="8"/>
        <v>44988</v>
      </c>
      <c r="AC52" s="21">
        <f t="shared" si="9"/>
        <v>45016</v>
      </c>
      <c r="AD52" s="5">
        <f>(Table1[[#This Row],[OrderDate]]-Table1[[#This Row],[Date of first order]])/30</f>
        <v>1.3</v>
      </c>
      <c r="AE52" t="str">
        <f t="shared" si="10"/>
        <v>Good</v>
      </c>
      <c r="AF52">
        <f>COUNTIF(AE$2:AE53,AE52)</f>
        <v>18</v>
      </c>
      <c r="AG52" t="str">
        <f t="shared" si="11"/>
        <v>True</v>
      </c>
      <c r="AH52" s="7">
        <f>Table1[[#This Row],[UnitPrice]]*(1-Table1[[#This Row],[Disc Scenario]])*Table1[[#This Row],[Quantity]]</f>
        <v>1164.8999999999999</v>
      </c>
      <c r="AI52">
        <f>ROUNDDOWN((Table1[[#This Row],[Quantity]]*(1+20%)),0)</f>
        <v>26</v>
      </c>
      <c r="AJ52" s="7">
        <f>Table1[[#This Row],[Quantity increase by 20%]]*Table1[[#This Row],[UnitPrice]]</f>
        <v>1835.6</v>
      </c>
      <c r="AK52">
        <f>ROUNDDOWN(Table1[[#This Row],[Quantity]]*(1+20%),0)</f>
        <v>26</v>
      </c>
      <c r="AL52" s="7">
        <f>Table1[[#This Row],[UnitCost]]*(1+15%)</f>
        <v>36.914999999999999</v>
      </c>
      <c r="AM52" s="9">
        <f>Table1[[#This Row],[Quantity]]*Table1[[#This Row],[Cost of unit by inflation 15%]]</f>
        <v>812.13</v>
      </c>
      <c r="AN52" s="21" cm="1">
        <f t="array" ref="AN52">_xlfn.UNIQUE(AC52)</f>
        <v>45016</v>
      </c>
    </row>
    <row r="53" spans="1:40" x14ac:dyDescent="0.35">
      <c r="A53" t="s">
        <v>149</v>
      </c>
      <c r="B53" s="21">
        <v>45028</v>
      </c>
      <c r="C53" s="10">
        <v>45033</v>
      </c>
      <c r="D53" s="3">
        <f t="shared" si="0"/>
        <v>5</v>
      </c>
      <c r="E53" s="10" t="str">
        <f t="shared" si="1"/>
        <v>Q2-2023</v>
      </c>
      <c r="F53" t="s">
        <v>648</v>
      </c>
      <c r="G53" t="s">
        <v>656</v>
      </c>
      <c r="H53" t="s">
        <v>678</v>
      </c>
      <c r="I53" t="s">
        <v>705</v>
      </c>
      <c r="J53" t="s">
        <v>710</v>
      </c>
      <c r="K53" t="s">
        <v>717</v>
      </c>
      <c r="L53" t="s">
        <v>731</v>
      </c>
      <c r="M53" t="s">
        <v>867</v>
      </c>
      <c r="N53" s="3">
        <v>1087.81</v>
      </c>
      <c r="O53" s="3">
        <v>2323.87</v>
      </c>
      <c r="P53" s="6">
        <v>9.4E-2</v>
      </c>
      <c r="Q53" s="6">
        <f>IF(Table1[[#This Row],[DiscountPct]]&gt;25%,25%,Table1[[#This Row],[DiscountPct]])</f>
        <v>9.4E-2</v>
      </c>
      <c r="R53" s="5">
        <v>13</v>
      </c>
      <c r="S53" s="6">
        <f t="shared" si="2"/>
        <v>1.1362829905957843</v>
      </c>
      <c r="T53" s="8">
        <f t="shared" si="3"/>
        <v>27370.540859999997</v>
      </c>
      <c r="U53" s="8">
        <f t="shared" si="4"/>
        <v>14141.529999999999</v>
      </c>
      <c r="V53" s="9">
        <f t="shared" si="5"/>
        <v>13229.010859999999</v>
      </c>
      <c r="W53" s="6">
        <f t="shared" si="6"/>
        <v>0.48333026839572651</v>
      </c>
      <c r="X53" t="str" cm="1">
        <f t="array" ref="X53">_xlfn.IFS(S53&lt;=25%, "Low", S53&lt;=75%, "Medium", S53&gt;75%, "High")</f>
        <v>High</v>
      </c>
      <c r="Y53" s="8">
        <f>Table1[[#This Row],[Quantity]]*(Table1[[#This Row],[UnitPrice]]*(1-Table1[[#This Row],[DiscountPct]]))</f>
        <v>27370.540859999997</v>
      </c>
      <c r="Z53" s="9">
        <f t="shared" si="7"/>
        <v>13229.010859999999</v>
      </c>
      <c r="AA53">
        <f>COUNTIF($G$2:G54,G53)</f>
        <v>4</v>
      </c>
      <c r="AB53" s="21">
        <f t="shared" si="8"/>
        <v>44988</v>
      </c>
      <c r="AC53" s="21">
        <f t="shared" si="9"/>
        <v>45016</v>
      </c>
      <c r="AD53" s="5">
        <f>(Table1[[#This Row],[OrderDate]]-Table1[[#This Row],[Date of first order]])/30</f>
        <v>1.3333333333333333</v>
      </c>
      <c r="AE53" t="str">
        <f t="shared" si="10"/>
        <v>Good</v>
      </c>
      <c r="AF53">
        <f>COUNTIF(AE$2:AE54,AE53)</f>
        <v>18</v>
      </c>
      <c r="AG53" t="str">
        <f t="shared" si="11"/>
        <v>False</v>
      </c>
      <c r="AH53" s="7">
        <f>Table1[[#This Row],[UnitPrice]]*(1-Table1[[#This Row],[Disc Scenario]])*Table1[[#This Row],[Quantity]]</f>
        <v>27370.540859999997</v>
      </c>
      <c r="AI53">
        <f>ROUNDDOWN((Table1[[#This Row],[Quantity]]*(1+20%)),0)</f>
        <v>15</v>
      </c>
      <c r="AJ53" s="7">
        <f>Table1[[#This Row],[Quantity increase by 20%]]*Table1[[#This Row],[UnitPrice]]</f>
        <v>34858.049999999996</v>
      </c>
      <c r="AK53">
        <f>ROUNDDOWN(Table1[[#This Row],[Quantity]]*(1+20%),0)</f>
        <v>15</v>
      </c>
      <c r="AL53" s="7">
        <f>Table1[[#This Row],[UnitCost]]*(1+15%)</f>
        <v>1250.9814999999999</v>
      </c>
      <c r="AM53" s="9">
        <f>Table1[[#This Row],[Quantity]]*Table1[[#This Row],[Cost of unit by inflation 15%]]</f>
        <v>16262.759499999998</v>
      </c>
      <c r="AN53" s="21" cm="1">
        <f t="array" ref="AN53">_xlfn.UNIQUE(AC53)</f>
        <v>45016</v>
      </c>
    </row>
    <row r="54" spans="1:40" x14ac:dyDescent="0.35">
      <c r="A54" t="s">
        <v>576</v>
      </c>
      <c r="B54" s="21">
        <v>45029</v>
      </c>
      <c r="C54" s="10">
        <v>45048</v>
      </c>
      <c r="D54" s="3">
        <f t="shared" si="0"/>
        <v>19</v>
      </c>
      <c r="E54" s="10" t="str">
        <f t="shared" si="1"/>
        <v>Q2-2023</v>
      </c>
      <c r="F54" t="s">
        <v>647</v>
      </c>
      <c r="G54" t="s">
        <v>652</v>
      </c>
      <c r="H54" t="s">
        <v>680</v>
      </c>
      <c r="I54" t="s">
        <v>703</v>
      </c>
      <c r="J54" t="s">
        <v>709</v>
      </c>
      <c r="K54" t="s">
        <v>717</v>
      </c>
      <c r="L54" t="s">
        <v>731</v>
      </c>
      <c r="M54" t="s">
        <v>1292</v>
      </c>
      <c r="N54" s="3">
        <v>671.05</v>
      </c>
      <c r="O54" s="3">
        <v>1645.48</v>
      </c>
      <c r="P54" s="6">
        <v>0.13700000000000001</v>
      </c>
      <c r="Q54" s="6">
        <f>IF(Table1[[#This Row],[DiscountPct]]&gt;25%,25%,Table1[[#This Row],[DiscountPct]])</f>
        <v>0.13700000000000001</v>
      </c>
      <c r="R54" s="5">
        <v>6</v>
      </c>
      <c r="S54" s="6">
        <f t="shared" si="2"/>
        <v>1.4520974592057225</v>
      </c>
      <c r="T54" s="8">
        <f t="shared" si="3"/>
        <v>8520.2954399999999</v>
      </c>
      <c r="U54" s="8">
        <f t="shared" si="4"/>
        <v>4026.2999999999997</v>
      </c>
      <c r="V54" s="9">
        <f t="shared" si="5"/>
        <v>4493.9954400000006</v>
      </c>
      <c r="W54" s="6">
        <f t="shared" si="6"/>
        <v>0.52744596377517172</v>
      </c>
      <c r="X54" t="str" cm="1">
        <f t="array" ref="X54">_xlfn.IFS(S54&lt;=25%, "Low", S54&lt;=75%, "Medium", S54&gt;75%, "High")</f>
        <v>High</v>
      </c>
      <c r="Y54" s="8">
        <f>Table1[[#This Row],[Quantity]]*(Table1[[#This Row],[UnitPrice]]*(1-Table1[[#This Row],[DiscountPct]]))</f>
        <v>8520.2954399999999</v>
      </c>
      <c r="Z54" s="9">
        <f t="shared" si="7"/>
        <v>4493.9954400000006</v>
      </c>
      <c r="AA54">
        <f>COUNTIF($G$2:G55,G54)</f>
        <v>5</v>
      </c>
      <c r="AB54" s="21">
        <f t="shared" si="8"/>
        <v>44988</v>
      </c>
      <c r="AC54" s="21">
        <f t="shared" si="9"/>
        <v>45016</v>
      </c>
      <c r="AD54" s="5">
        <f>(Table1[[#This Row],[OrderDate]]-Table1[[#This Row],[Date of first order]])/30</f>
        <v>1.3666666666666667</v>
      </c>
      <c r="AE54" t="str">
        <f t="shared" si="10"/>
        <v>Poor</v>
      </c>
      <c r="AF54">
        <f>COUNTIF(AE$2:AE55,AE54)</f>
        <v>35</v>
      </c>
      <c r="AG54" t="str">
        <f t="shared" si="11"/>
        <v>False</v>
      </c>
      <c r="AH54" s="7">
        <f>Table1[[#This Row],[UnitPrice]]*(1-Table1[[#This Row],[Disc Scenario]])*Table1[[#This Row],[Quantity]]</f>
        <v>8520.2954399999999</v>
      </c>
      <c r="AI54">
        <f>ROUNDDOWN((Table1[[#This Row],[Quantity]]*(1+20%)),0)</f>
        <v>7</v>
      </c>
      <c r="AJ54" s="7">
        <f>Table1[[#This Row],[Quantity increase by 20%]]*Table1[[#This Row],[UnitPrice]]</f>
        <v>11518.36</v>
      </c>
      <c r="AK54">
        <f>ROUNDDOWN(Table1[[#This Row],[Quantity]]*(1+20%),0)</f>
        <v>7</v>
      </c>
      <c r="AL54" s="7">
        <f>Table1[[#This Row],[UnitCost]]*(1+15%)</f>
        <v>771.70749999999987</v>
      </c>
      <c r="AM54" s="9">
        <f>Table1[[#This Row],[Quantity]]*Table1[[#This Row],[Cost of unit by inflation 15%]]</f>
        <v>4630.244999999999</v>
      </c>
      <c r="AN54" s="21" cm="1">
        <f t="array" ref="AN54">_xlfn.UNIQUE(AC54)</f>
        <v>45016</v>
      </c>
    </row>
    <row r="55" spans="1:40" x14ac:dyDescent="0.35">
      <c r="A55" t="s">
        <v>521</v>
      </c>
      <c r="B55" s="21">
        <v>45029</v>
      </c>
      <c r="C55" s="10">
        <v>45036</v>
      </c>
      <c r="D55" s="3">
        <f t="shared" si="0"/>
        <v>7</v>
      </c>
      <c r="E55" s="10" t="str">
        <f t="shared" si="1"/>
        <v>Q2-2023</v>
      </c>
      <c r="F55" t="s">
        <v>648</v>
      </c>
      <c r="G55" t="s">
        <v>656</v>
      </c>
      <c r="H55" t="s">
        <v>678</v>
      </c>
      <c r="I55" t="s">
        <v>704</v>
      </c>
      <c r="J55" t="s">
        <v>707</v>
      </c>
      <c r="K55" t="s">
        <v>719</v>
      </c>
      <c r="L55" t="s">
        <v>730</v>
      </c>
      <c r="M55" t="s">
        <v>1238</v>
      </c>
      <c r="N55" s="3">
        <v>227.02</v>
      </c>
      <c r="O55" s="3">
        <v>434.72</v>
      </c>
      <c r="P55" s="6">
        <v>9.8000000000000004E-2</v>
      </c>
      <c r="Q55" s="6">
        <f>IF(Table1[[#This Row],[DiscountPct]]&gt;25%,25%,Table1[[#This Row],[DiscountPct]])</f>
        <v>9.8000000000000004E-2</v>
      </c>
      <c r="R55" s="5">
        <v>10</v>
      </c>
      <c r="S55" s="6">
        <f t="shared" si="2"/>
        <v>0.91489736587084847</v>
      </c>
      <c r="T55" s="8">
        <f t="shared" si="3"/>
        <v>3921.1744000000008</v>
      </c>
      <c r="U55" s="8">
        <f t="shared" si="4"/>
        <v>2270.2000000000003</v>
      </c>
      <c r="V55" s="9">
        <f t="shared" si="5"/>
        <v>1650.9744000000005</v>
      </c>
      <c r="W55" s="6">
        <f t="shared" si="6"/>
        <v>0.42104079838938052</v>
      </c>
      <c r="X55" t="str" cm="1">
        <f t="array" ref="X55">_xlfn.IFS(S55&lt;=25%, "Low", S55&lt;=75%, "Medium", S55&gt;75%, "High")</f>
        <v>High</v>
      </c>
      <c r="Y55" s="8">
        <f>Table1[[#This Row],[Quantity]]*(Table1[[#This Row],[UnitPrice]]*(1-Table1[[#This Row],[DiscountPct]]))</f>
        <v>3921.1744000000003</v>
      </c>
      <c r="Z55" s="9">
        <f t="shared" si="7"/>
        <v>1650.9744000000001</v>
      </c>
      <c r="AA55">
        <f>COUNTIF($G$2:G56,G55)</f>
        <v>5</v>
      </c>
      <c r="AB55" s="21">
        <f t="shared" si="8"/>
        <v>44988</v>
      </c>
      <c r="AC55" s="21">
        <f t="shared" si="9"/>
        <v>45016</v>
      </c>
      <c r="AD55" s="5">
        <f>(Table1[[#This Row],[OrderDate]]-Table1[[#This Row],[Date of first order]])/30</f>
        <v>1.3666666666666667</v>
      </c>
      <c r="AE55" t="str">
        <f t="shared" si="10"/>
        <v>Good</v>
      </c>
      <c r="AF55">
        <f>COUNTIF(AE$2:AE56,AE55)</f>
        <v>19</v>
      </c>
      <c r="AG55" t="str">
        <f t="shared" si="11"/>
        <v>False</v>
      </c>
      <c r="AH55" s="7">
        <f>Table1[[#This Row],[UnitPrice]]*(1-Table1[[#This Row],[Disc Scenario]])*Table1[[#This Row],[Quantity]]</f>
        <v>3921.1744000000003</v>
      </c>
      <c r="AI55">
        <f>ROUNDDOWN((Table1[[#This Row],[Quantity]]*(1+20%)),0)</f>
        <v>12</v>
      </c>
      <c r="AJ55" s="7">
        <f>Table1[[#This Row],[Quantity increase by 20%]]*Table1[[#This Row],[UnitPrice]]</f>
        <v>5216.6400000000003</v>
      </c>
      <c r="AK55">
        <f>ROUNDDOWN(Table1[[#This Row],[Quantity]]*(1+20%),0)</f>
        <v>12</v>
      </c>
      <c r="AL55" s="7">
        <f>Table1[[#This Row],[UnitCost]]*(1+15%)</f>
        <v>261.07299999999998</v>
      </c>
      <c r="AM55" s="9">
        <f>Table1[[#This Row],[Quantity]]*Table1[[#This Row],[Cost of unit by inflation 15%]]</f>
        <v>2610.7299999999996</v>
      </c>
      <c r="AN55" s="21" cm="1">
        <f t="array" ref="AN55">_xlfn.UNIQUE(AC55)</f>
        <v>45016</v>
      </c>
    </row>
    <row r="56" spans="1:40" x14ac:dyDescent="0.35">
      <c r="A56" t="s">
        <v>212</v>
      </c>
      <c r="B56" s="21">
        <v>45030</v>
      </c>
      <c r="C56" s="10">
        <v>45059</v>
      </c>
      <c r="D56" s="3">
        <f t="shared" si="0"/>
        <v>29</v>
      </c>
      <c r="E56" s="10" t="str">
        <f t="shared" si="1"/>
        <v>Q2-2023</v>
      </c>
      <c r="F56" t="s">
        <v>648</v>
      </c>
      <c r="G56" t="s">
        <v>655</v>
      </c>
      <c r="H56" t="s">
        <v>697</v>
      </c>
      <c r="I56" t="s">
        <v>703</v>
      </c>
      <c r="J56" t="s">
        <v>710</v>
      </c>
      <c r="K56" t="s">
        <v>712</v>
      </c>
      <c r="L56" t="s">
        <v>727</v>
      </c>
      <c r="M56" t="s">
        <v>930</v>
      </c>
      <c r="N56" s="3">
        <v>1320.33</v>
      </c>
      <c r="O56" s="3">
        <v>2645.23</v>
      </c>
      <c r="P56" s="6">
        <v>0.155</v>
      </c>
      <c r="Q56" s="6">
        <f>IF(Table1[[#This Row],[DiscountPct]]&gt;25%,25%,Table1[[#This Row],[DiscountPct]])</f>
        <v>0.155</v>
      </c>
      <c r="R56" s="5">
        <v>25</v>
      </c>
      <c r="S56" s="6">
        <f t="shared" si="2"/>
        <v>1.0034612558981468</v>
      </c>
      <c r="T56" s="8">
        <f t="shared" si="3"/>
        <v>55880.483749999999</v>
      </c>
      <c r="U56" s="8">
        <f t="shared" si="4"/>
        <v>33008.25</v>
      </c>
      <c r="V56" s="9">
        <f t="shared" si="5"/>
        <v>22872.233749999999</v>
      </c>
      <c r="W56" s="6">
        <f t="shared" si="6"/>
        <v>0.40930629470436536</v>
      </c>
      <c r="X56" t="str" cm="1">
        <f t="array" ref="X56">_xlfn.IFS(S56&lt;=25%, "Low", S56&lt;=75%, "Medium", S56&gt;75%, "High")</f>
        <v>High</v>
      </c>
      <c r="Y56" s="8">
        <f>Table1[[#This Row],[Quantity]]*(Table1[[#This Row],[UnitPrice]]*(1-Table1[[#This Row],[DiscountPct]]))</f>
        <v>55880.483749999999</v>
      </c>
      <c r="Z56" s="9">
        <f t="shared" si="7"/>
        <v>22872.233749999999</v>
      </c>
      <c r="AA56">
        <f>COUNTIF($G$2:G57,G56)</f>
        <v>9</v>
      </c>
      <c r="AB56" s="21">
        <f t="shared" si="8"/>
        <v>44988</v>
      </c>
      <c r="AC56" s="21">
        <f t="shared" si="9"/>
        <v>45016</v>
      </c>
      <c r="AD56" s="5">
        <f>(Table1[[#This Row],[OrderDate]]-Table1[[#This Row],[Date of first order]])/30</f>
        <v>1.4</v>
      </c>
      <c r="AE56" t="str">
        <f t="shared" si="10"/>
        <v>Poor</v>
      </c>
      <c r="AF56">
        <f>COUNTIF(AE$2:AE57,AE56)</f>
        <v>37</v>
      </c>
      <c r="AG56" t="str">
        <f t="shared" si="11"/>
        <v>False</v>
      </c>
      <c r="AH56" s="7">
        <f>Table1[[#This Row],[UnitPrice]]*(1-Table1[[#This Row],[Disc Scenario]])*Table1[[#This Row],[Quantity]]</f>
        <v>55880.483749999999</v>
      </c>
      <c r="AI56">
        <f>ROUNDDOWN((Table1[[#This Row],[Quantity]]*(1+20%)),0)</f>
        <v>30</v>
      </c>
      <c r="AJ56" s="7">
        <f>Table1[[#This Row],[Quantity increase by 20%]]*Table1[[#This Row],[UnitPrice]]</f>
        <v>79356.899999999994</v>
      </c>
      <c r="AK56">
        <f>ROUNDDOWN(Table1[[#This Row],[Quantity]]*(1+20%),0)</f>
        <v>30</v>
      </c>
      <c r="AL56" s="7">
        <f>Table1[[#This Row],[UnitCost]]*(1+15%)</f>
        <v>1518.3794999999998</v>
      </c>
      <c r="AM56" s="9">
        <f>Table1[[#This Row],[Quantity]]*Table1[[#This Row],[Cost of unit by inflation 15%]]</f>
        <v>37959.487499999996</v>
      </c>
      <c r="AN56" s="21" cm="1">
        <f t="array" ref="AN56">_xlfn.UNIQUE(AC56)</f>
        <v>45016</v>
      </c>
    </row>
    <row r="57" spans="1:40" x14ac:dyDescent="0.35">
      <c r="A57" t="s">
        <v>43</v>
      </c>
      <c r="B57" s="21">
        <v>45030</v>
      </c>
      <c r="C57" s="10">
        <v>45060</v>
      </c>
      <c r="D57" s="3">
        <f t="shared" si="0"/>
        <v>30</v>
      </c>
      <c r="E57" s="10" t="str">
        <f t="shared" si="1"/>
        <v>Q2-2023</v>
      </c>
      <c r="F57" t="s">
        <v>645</v>
      </c>
      <c r="G57" t="s">
        <v>649</v>
      </c>
      <c r="H57" t="s">
        <v>677</v>
      </c>
      <c r="I57" t="s">
        <v>703</v>
      </c>
      <c r="J57" t="s">
        <v>708</v>
      </c>
      <c r="K57" t="s">
        <v>723</v>
      </c>
      <c r="L57" t="s">
        <v>729</v>
      </c>
      <c r="M57" t="s">
        <v>761</v>
      </c>
      <c r="N57" s="3">
        <v>209.25</v>
      </c>
      <c r="O57" s="3">
        <v>434.8</v>
      </c>
      <c r="P57" s="6">
        <v>0</v>
      </c>
      <c r="Q57" s="6">
        <f>IF(Table1[[#This Row],[DiscountPct]]&gt;25%,25%,Table1[[#This Row],[DiscountPct]])</f>
        <v>0</v>
      </c>
      <c r="R57" s="5">
        <v>9</v>
      </c>
      <c r="S57" s="6">
        <f t="shared" si="2"/>
        <v>1.0778972520908006</v>
      </c>
      <c r="T57" s="8">
        <f t="shared" si="3"/>
        <v>3913.2000000000003</v>
      </c>
      <c r="U57" s="8">
        <f t="shared" si="4"/>
        <v>1883.25</v>
      </c>
      <c r="V57" s="9">
        <f t="shared" si="5"/>
        <v>2029.9500000000003</v>
      </c>
      <c r="W57" s="6">
        <f t="shared" si="6"/>
        <v>0.51874425022999082</v>
      </c>
      <c r="X57" t="str" cm="1">
        <f t="array" ref="X57">_xlfn.IFS(S57&lt;=25%, "Low", S57&lt;=75%, "Medium", S57&gt;75%, "High")</f>
        <v>High</v>
      </c>
      <c r="Y57" s="8">
        <f>Table1[[#This Row],[Quantity]]*(Table1[[#This Row],[UnitPrice]]*(1-Table1[[#This Row],[DiscountPct]]))</f>
        <v>3913.2000000000003</v>
      </c>
      <c r="Z57" s="9">
        <f t="shared" si="7"/>
        <v>2029.9500000000003</v>
      </c>
      <c r="AA57">
        <f>COUNTIF($G$2:G58,G57)</f>
        <v>8</v>
      </c>
      <c r="AB57" s="21">
        <f t="shared" si="8"/>
        <v>44988</v>
      </c>
      <c r="AC57" s="21">
        <f t="shared" si="9"/>
        <v>45016</v>
      </c>
      <c r="AD57" s="5">
        <f>(Table1[[#This Row],[OrderDate]]-Table1[[#This Row],[Date of first order]])/30</f>
        <v>1.4</v>
      </c>
      <c r="AE57" t="str">
        <f t="shared" si="10"/>
        <v>Poor</v>
      </c>
      <c r="AF57">
        <f>COUNTIF(AE$2:AE58,AE57)</f>
        <v>37</v>
      </c>
      <c r="AG57" t="str">
        <f t="shared" si="11"/>
        <v>False</v>
      </c>
      <c r="AH57" s="7">
        <f>Table1[[#This Row],[UnitPrice]]*(1-Table1[[#This Row],[Disc Scenario]])*Table1[[#This Row],[Quantity]]</f>
        <v>3913.2000000000003</v>
      </c>
      <c r="AI57">
        <f>ROUNDDOWN((Table1[[#This Row],[Quantity]]*(1+20%)),0)</f>
        <v>10</v>
      </c>
      <c r="AJ57" s="7">
        <f>Table1[[#This Row],[Quantity increase by 20%]]*Table1[[#This Row],[UnitPrice]]</f>
        <v>4348</v>
      </c>
      <c r="AK57">
        <f>ROUNDDOWN(Table1[[#This Row],[Quantity]]*(1+20%),0)</f>
        <v>10</v>
      </c>
      <c r="AL57" s="7">
        <f>Table1[[#This Row],[UnitCost]]*(1+15%)</f>
        <v>240.63749999999999</v>
      </c>
      <c r="AM57" s="9">
        <f>Table1[[#This Row],[Quantity]]*Table1[[#This Row],[Cost of unit by inflation 15%]]</f>
        <v>2165.7374999999997</v>
      </c>
      <c r="AN57" s="21" cm="1">
        <f t="array" ref="AN57">_xlfn.UNIQUE(AC57)</f>
        <v>45016</v>
      </c>
    </row>
    <row r="58" spans="1:40" x14ac:dyDescent="0.35">
      <c r="A58" t="s">
        <v>492</v>
      </c>
      <c r="B58" s="21">
        <v>45032</v>
      </c>
      <c r="C58" s="10">
        <v>45035</v>
      </c>
      <c r="D58" s="3">
        <f t="shared" si="0"/>
        <v>3</v>
      </c>
      <c r="E58" s="10" t="str">
        <f t="shared" si="1"/>
        <v>Q2-2023</v>
      </c>
      <c r="F58" t="s">
        <v>648</v>
      </c>
      <c r="G58" t="s">
        <v>655</v>
      </c>
      <c r="H58" t="s">
        <v>683</v>
      </c>
      <c r="I58" t="s">
        <v>700</v>
      </c>
      <c r="J58" t="s">
        <v>710</v>
      </c>
      <c r="K58" t="s">
        <v>716</v>
      </c>
      <c r="L58" t="s">
        <v>732</v>
      </c>
      <c r="M58" t="s">
        <v>1209</v>
      </c>
      <c r="N58" s="3">
        <v>553.61</v>
      </c>
      <c r="O58" s="3">
        <v>699.47</v>
      </c>
      <c r="P58" s="6">
        <v>0.02</v>
      </c>
      <c r="Q58" s="6">
        <f>IF(Table1[[#This Row],[DiscountPct]]&gt;25%,25%,Table1[[#This Row],[DiscountPct]])</f>
        <v>0.02</v>
      </c>
      <c r="R58" s="5">
        <v>33</v>
      </c>
      <c r="S58" s="6">
        <f t="shared" si="2"/>
        <v>0.26347067430140353</v>
      </c>
      <c r="T58" s="8">
        <f t="shared" si="3"/>
        <v>22620.859800000002</v>
      </c>
      <c r="U58" s="8">
        <f t="shared" si="4"/>
        <v>18269.13</v>
      </c>
      <c r="V58" s="9">
        <f t="shared" si="5"/>
        <v>4351.729800000001</v>
      </c>
      <c r="W58" s="6">
        <f t="shared" si="6"/>
        <v>0.19237685209472014</v>
      </c>
      <c r="X58" t="str" cm="1">
        <f t="array" ref="X58">_xlfn.IFS(S58&lt;=25%, "Low", S58&lt;=75%, "Medium", S58&gt;75%, "High")</f>
        <v>Medium</v>
      </c>
      <c r="Y58" s="8">
        <f>Table1[[#This Row],[Quantity]]*(Table1[[#This Row],[UnitPrice]]*(1-Table1[[#This Row],[DiscountPct]]))</f>
        <v>22620.859799999998</v>
      </c>
      <c r="Z58" s="9">
        <f t="shared" si="7"/>
        <v>4351.7297999999973</v>
      </c>
      <c r="AA58">
        <f>COUNTIF($G$2:G59,G58)</f>
        <v>10</v>
      </c>
      <c r="AB58" s="21">
        <f t="shared" si="8"/>
        <v>44988</v>
      </c>
      <c r="AC58" s="21">
        <f t="shared" si="9"/>
        <v>45016</v>
      </c>
      <c r="AD58" s="5">
        <f>(Table1[[#This Row],[OrderDate]]-Table1[[#This Row],[Date of first order]])/30</f>
        <v>1.4666666666666666</v>
      </c>
      <c r="AE58" t="str">
        <f t="shared" si="10"/>
        <v>Good</v>
      </c>
      <c r="AF58">
        <f>COUNTIF(AE$2:AE59,AE58)</f>
        <v>21</v>
      </c>
      <c r="AG58" t="str">
        <f t="shared" si="11"/>
        <v>False</v>
      </c>
      <c r="AH58" s="7">
        <f>Table1[[#This Row],[UnitPrice]]*(1-Table1[[#This Row],[Disc Scenario]])*Table1[[#This Row],[Quantity]]</f>
        <v>22620.859799999998</v>
      </c>
      <c r="AI58">
        <f>ROUNDDOWN((Table1[[#This Row],[Quantity]]*(1+20%)),0)</f>
        <v>39</v>
      </c>
      <c r="AJ58" s="7">
        <f>Table1[[#This Row],[Quantity increase by 20%]]*Table1[[#This Row],[UnitPrice]]</f>
        <v>27279.33</v>
      </c>
      <c r="AK58">
        <f>ROUNDDOWN(Table1[[#This Row],[Quantity]]*(1+20%),0)</f>
        <v>39</v>
      </c>
      <c r="AL58" s="7">
        <f>Table1[[#This Row],[UnitCost]]*(1+15%)</f>
        <v>636.65149999999994</v>
      </c>
      <c r="AM58" s="9">
        <f>Table1[[#This Row],[Quantity]]*Table1[[#This Row],[Cost of unit by inflation 15%]]</f>
        <v>21009.499499999998</v>
      </c>
      <c r="AN58" s="21" cm="1">
        <f t="array" ref="AN58">_xlfn.UNIQUE(AC58)</f>
        <v>45016</v>
      </c>
    </row>
    <row r="59" spans="1:40" x14ac:dyDescent="0.35">
      <c r="A59" t="s">
        <v>623</v>
      </c>
      <c r="B59" s="21">
        <v>45032</v>
      </c>
      <c r="C59" s="10">
        <v>45039</v>
      </c>
      <c r="D59" s="3">
        <f t="shared" si="0"/>
        <v>7</v>
      </c>
      <c r="E59" s="10" t="str">
        <f t="shared" si="1"/>
        <v>Q2-2023</v>
      </c>
      <c r="F59" t="s">
        <v>647</v>
      </c>
      <c r="G59" t="s">
        <v>659</v>
      </c>
      <c r="H59" t="s">
        <v>696</v>
      </c>
      <c r="I59" t="s">
        <v>700</v>
      </c>
      <c r="J59" t="s">
        <v>709</v>
      </c>
      <c r="K59" t="s">
        <v>718</v>
      </c>
      <c r="L59" t="s">
        <v>727</v>
      </c>
      <c r="M59" t="s">
        <v>1339</v>
      </c>
      <c r="N59" s="3">
        <v>1099.1500000000001</v>
      </c>
      <c r="O59" s="3">
        <v>1431.37</v>
      </c>
      <c r="P59" s="6">
        <v>0.104</v>
      </c>
      <c r="Q59" s="6">
        <f>IF(Table1[[#This Row],[DiscountPct]]&gt;25%,25%,Table1[[#This Row],[DiscountPct]])</f>
        <v>0.104</v>
      </c>
      <c r="R59" s="5">
        <v>8</v>
      </c>
      <c r="S59" s="6">
        <f t="shared" si="2"/>
        <v>0.30225173998089411</v>
      </c>
      <c r="T59" s="8">
        <f t="shared" si="3"/>
        <v>10260.060159999999</v>
      </c>
      <c r="U59" s="8">
        <f t="shared" si="4"/>
        <v>8793.2000000000007</v>
      </c>
      <c r="V59" s="9">
        <f t="shared" si="5"/>
        <v>1466.8601599999984</v>
      </c>
      <c r="W59" s="6">
        <f t="shared" si="6"/>
        <v>0.14296798821109433</v>
      </c>
      <c r="X59" t="str" cm="1">
        <f t="array" ref="X59">_xlfn.IFS(S59&lt;=25%, "Low", S59&lt;=75%, "Medium", S59&gt;75%, "High")</f>
        <v>Medium</v>
      </c>
      <c r="Y59" s="8">
        <f>Table1[[#This Row],[Quantity]]*(Table1[[#This Row],[UnitPrice]]*(1-Table1[[#This Row],[DiscountPct]]))</f>
        <v>10260.060159999999</v>
      </c>
      <c r="Z59" s="9">
        <f t="shared" si="7"/>
        <v>1466.8601599999984</v>
      </c>
      <c r="AA59">
        <f>COUNTIF($G$2:G60,G59)</f>
        <v>6</v>
      </c>
      <c r="AB59" s="21">
        <f t="shared" si="8"/>
        <v>44988</v>
      </c>
      <c r="AC59" s="21">
        <f t="shared" si="9"/>
        <v>45016</v>
      </c>
      <c r="AD59" s="5">
        <f>(Table1[[#This Row],[OrderDate]]-Table1[[#This Row],[Date of first order]])/30</f>
        <v>1.4666666666666666</v>
      </c>
      <c r="AE59" t="str">
        <f t="shared" si="10"/>
        <v>Good</v>
      </c>
      <c r="AF59">
        <f>COUNTIF(AE$2:AE60,AE59)</f>
        <v>21</v>
      </c>
      <c r="AG59" t="str">
        <f t="shared" si="11"/>
        <v>False</v>
      </c>
      <c r="AH59" s="7">
        <f>Table1[[#This Row],[UnitPrice]]*(1-Table1[[#This Row],[Disc Scenario]])*Table1[[#This Row],[Quantity]]</f>
        <v>10260.060159999999</v>
      </c>
      <c r="AI59">
        <f>ROUNDDOWN((Table1[[#This Row],[Quantity]]*(1+20%)),0)</f>
        <v>9</v>
      </c>
      <c r="AJ59" s="7">
        <f>Table1[[#This Row],[Quantity increase by 20%]]*Table1[[#This Row],[UnitPrice]]</f>
        <v>12882.329999999998</v>
      </c>
      <c r="AK59">
        <f>ROUNDDOWN(Table1[[#This Row],[Quantity]]*(1+20%),0)</f>
        <v>9</v>
      </c>
      <c r="AL59" s="7">
        <f>Table1[[#This Row],[UnitCost]]*(1+15%)</f>
        <v>1264.0225</v>
      </c>
      <c r="AM59" s="9">
        <f>Table1[[#This Row],[Quantity]]*Table1[[#This Row],[Cost of unit by inflation 15%]]</f>
        <v>10112.18</v>
      </c>
      <c r="AN59" s="21" cm="1">
        <f t="array" ref="AN59">_xlfn.UNIQUE(AC59)</f>
        <v>45016</v>
      </c>
    </row>
    <row r="60" spans="1:40" x14ac:dyDescent="0.35">
      <c r="A60" t="s">
        <v>180</v>
      </c>
      <c r="B60" s="21">
        <v>45034</v>
      </c>
      <c r="C60" s="10">
        <v>45064</v>
      </c>
      <c r="D60" s="3">
        <f t="shared" si="0"/>
        <v>30</v>
      </c>
      <c r="E60" s="10" t="str">
        <f t="shared" si="1"/>
        <v>Q2-2023</v>
      </c>
      <c r="F60" t="s">
        <v>646</v>
      </c>
      <c r="G60" t="s">
        <v>658</v>
      </c>
      <c r="H60" t="s">
        <v>675</v>
      </c>
      <c r="I60" t="s">
        <v>702</v>
      </c>
      <c r="J60" t="s">
        <v>706</v>
      </c>
      <c r="K60" t="s">
        <v>721</v>
      </c>
      <c r="L60" t="s">
        <v>730</v>
      </c>
      <c r="M60" t="s">
        <v>898</v>
      </c>
      <c r="N60" s="3">
        <v>329.03</v>
      </c>
      <c r="O60" s="3">
        <v>391.15</v>
      </c>
      <c r="P60" s="6">
        <v>0.19700000000000001</v>
      </c>
      <c r="Q60" s="6">
        <f>IF(Table1[[#This Row],[DiscountPct]]&gt;25%,25%,Table1[[#This Row],[DiscountPct]])</f>
        <v>0.19700000000000001</v>
      </c>
      <c r="R60" s="5">
        <v>46</v>
      </c>
      <c r="S60" s="6">
        <f t="shared" si="2"/>
        <v>0.18879737409962621</v>
      </c>
      <c r="T60" s="8">
        <f t="shared" si="3"/>
        <v>14448.298699999998</v>
      </c>
      <c r="U60" s="8">
        <f t="shared" si="4"/>
        <v>15135.38</v>
      </c>
      <c r="V60" s="9">
        <f t="shared" si="5"/>
        <v>-687.08130000000165</v>
      </c>
      <c r="W60" s="6">
        <f t="shared" si="6"/>
        <v>-4.7554477815440081E-2</v>
      </c>
      <c r="X60" t="str" cm="1">
        <f t="array" ref="X60">_xlfn.IFS(S60&lt;=25%, "Low", S60&lt;=75%, "Medium", S60&gt;75%, "High")</f>
        <v>Low</v>
      </c>
      <c r="Y60" s="8">
        <f>Table1[[#This Row],[Quantity]]*(Table1[[#This Row],[UnitPrice]]*(1-Table1[[#This Row],[DiscountPct]]))</f>
        <v>14448.298699999998</v>
      </c>
      <c r="Z60" s="9">
        <f t="shared" si="7"/>
        <v>-687.08130000000165</v>
      </c>
      <c r="AA60">
        <f>COUNTIF($G$2:G61,G60)</f>
        <v>4</v>
      </c>
      <c r="AB60" s="21">
        <f t="shared" si="8"/>
        <v>44988</v>
      </c>
      <c r="AC60" s="21">
        <f t="shared" si="9"/>
        <v>45016</v>
      </c>
      <c r="AD60" s="5">
        <f>(Table1[[#This Row],[OrderDate]]-Table1[[#This Row],[Date of first order]])/30</f>
        <v>1.5333333333333334</v>
      </c>
      <c r="AE60" t="str">
        <f t="shared" si="10"/>
        <v>Poor</v>
      </c>
      <c r="AF60">
        <f>COUNTIF(AE$2:AE61,AE60)</f>
        <v>39</v>
      </c>
      <c r="AG60" t="str">
        <f t="shared" si="11"/>
        <v>False</v>
      </c>
      <c r="AH60" s="7">
        <f>Table1[[#This Row],[UnitPrice]]*(1-Table1[[#This Row],[Disc Scenario]])*Table1[[#This Row],[Quantity]]</f>
        <v>14448.298699999998</v>
      </c>
      <c r="AI60">
        <f>ROUNDDOWN((Table1[[#This Row],[Quantity]]*(1+20%)),0)</f>
        <v>55</v>
      </c>
      <c r="AJ60" s="7">
        <f>Table1[[#This Row],[Quantity increase by 20%]]*Table1[[#This Row],[UnitPrice]]</f>
        <v>21513.25</v>
      </c>
      <c r="AK60">
        <f>ROUNDDOWN(Table1[[#This Row],[Quantity]]*(1+20%),0)</f>
        <v>55</v>
      </c>
      <c r="AL60" s="7">
        <f>Table1[[#This Row],[UnitCost]]*(1+15%)</f>
        <v>378.38449999999995</v>
      </c>
      <c r="AM60" s="9">
        <f>Table1[[#This Row],[Quantity]]*Table1[[#This Row],[Cost of unit by inflation 15%]]</f>
        <v>17405.686999999998</v>
      </c>
      <c r="AN60" s="21" cm="1">
        <f t="array" ref="AN60">_xlfn.UNIQUE(AC60)</f>
        <v>45016</v>
      </c>
    </row>
    <row r="61" spans="1:40" x14ac:dyDescent="0.35">
      <c r="A61" t="s">
        <v>60</v>
      </c>
      <c r="B61" s="21">
        <v>45035</v>
      </c>
      <c r="C61" s="10">
        <v>45046</v>
      </c>
      <c r="D61" s="3">
        <f t="shared" si="0"/>
        <v>11</v>
      </c>
      <c r="E61" s="10" t="str">
        <f t="shared" si="1"/>
        <v>Q2-2023</v>
      </c>
      <c r="F61" t="s">
        <v>646</v>
      </c>
      <c r="G61" t="s">
        <v>653</v>
      </c>
      <c r="H61" t="s">
        <v>679</v>
      </c>
      <c r="I61" t="s">
        <v>704</v>
      </c>
      <c r="J61" t="s">
        <v>706</v>
      </c>
      <c r="K61" t="s">
        <v>719</v>
      </c>
      <c r="L61" t="s">
        <v>728</v>
      </c>
      <c r="M61" t="s">
        <v>778</v>
      </c>
      <c r="N61" s="3">
        <v>826.55</v>
      </c>
      <c r="O61" s="3">
        <v>1397.05</v>
      </c>
      <c r="P61" s="6">
        <v>0.16900000000000001</v>
      </c>
      <c r="Q61" s="6">
        <f>IF(Table1[[#This Row],[DiscountPct]]&gt;25%,25%,Table1[[#This Row],[DiscountPct]])</f>
        <v>0.16900000000000001</v>
      </c>
      <c r="R61" s="5">
        <v>28</v>
      </c>
      <c r="S61" s="6">
        <f t="shared" si="2"/>
        <v>0.69021837759361204</v>
      </c>
      <c r="T61" s="8">
        <f t="shared" si="3"/>
        <v>32506.559399999998</v>
      </c>
      <c r="U61" s="8">
        <f t="shared" si="4"/>
        <v>23143.399999999998</v>
      </c>
      <c r="V61" s="9">
        <f t="shared" si="5"/>
        <v>9363.1594000000005</v>
      </c>
      <c r="W61" s="6">
        <f t="shared" si="6"/>
        <v>0.28803907804527601</v>
      </c>
      <c r="X61" t="str" cm="1">
        <f t="array" ref="X61">_xlfn.IFS(S61&lt;=25%, "Low", S61&lt;=75%, "Medium", S61&gt;75%, "High")</f>
        <v>Medium</v>
      </c>
      <c r="Y61" s="8">
        <f>Table1[[#This Row],[Quantity]]*(Table1[[#This Row],[UnitPrice]]*(1-Table1[[#This Row],[DiscountPct]]))</f>
        <v>32506.559399999995</v>
      </c>
      <c r="Z61" s="9">
        <f t="shared" si="7"/>
        <v>9363.1593999999968</v>
      </c>
      <c r="AA61">
        <f>COUNTIF($G$2:G62,G61)</f>
        <v>3</v>
      </c>
      <c r="AB61" s="21">
        <f t="shared" si="8"/>
        <v>44988</v>
      </c>
      <c r="AC61" s="21">
        <f t="shared" si="9"/>
        <v>45016</v>
      </c>
      <c r="AD61" s="5">
        <f>(Table1[[#This Row],[OrderDate]]-Table1[[#This Row],[Date of first order]])/30</f>
        <v>1.5666666666666667</v>
      </c>
      <c r="AE61" t="str">
        <f t="shared" si="10"/>
        <v>Poor</v>
      </c>
      <c r="AF61">
        <f>COUNTIF(AE$2:AE62,AE61)</f>
        <v>40</v>
      </c>
      <c r="AG61" t="str">
        <f t="shared" si="11"/>
        <v>False</v>
      </c>
      <c r="AH61" s="7">
        <f>Table1[[#This Row],[UnitPrice]]*(1-Table1[[#This Row],[Disc Scenario]])*Table1[[#This Row],[Quantity]]</f>
        <v>32506.559399999995</v>
      </c>
      <c r="AI61">
        <f>ROUNDDOWN((Table1[[#This Row],[Quantity]]*(1+20%)),0)</f>
        <v>33</v>
      </c>
      <c r="AJ61" s="7">
        <f>Table1[[#This Row],[Quantity increase by 20%]]*Table1[[#This Row],[UnitPrice]]</f>
        <v>46102.65</v>
      </c>
      <c r="AK61">
        <f>ROUNDDOWN(Table1[[#This Row],[Quantity]]*(1+20%),0)</f>
        <v>33</v>
      </c>
      <c r="AL61" s="7">
        <f>Table1[[#This Row],[UnitCost]]*(1+15%)</f>
        <v>950.53249999999991</v>
      </c>
      <c r="AM61" s="9">
        <f>Table1[[#This Row],[Quantity]]*Table1[[#This Row],[Cost of unit by inflation 15%]]</f>
        <v>26614.909999999996</v>
      </c>
      <c r="AN61" s="21" cm="1">
        <f t="array" ref="AN61">_xlfn.UNIQUE(AC61)</f>
        <v>45016</v>
      </c>
    </row>
    <row r="62" spans="1:40" x14ac:dyDescent="0.35">
      <c r="A62" t="s">
        <v>237</v>
      </c>
      <c r="B62" s="21">
        <v>45035</v>
      </c>
      <c r="C62" s="10">
        <v>45053</v>
      </c>
      <c r="D62" s="3">
        <f t="shared" si="0"/>
        <v>18</v>
      </c>
      <c r="E62" s="10" t="str">
        <f t="shared" si="1"/>
        <v>Q2-2023</v>
      </c>
      <c r="F62" t="s">
        <v>648</v>
      </c>
      <c r="G62" t="s">
        <v>657</v>
      </c>
      <c r="H62" t="s">
        <v>673</v>
      </c>
      <c r="I62" t="s">
        <v>705</v>
      </c>
      <c r="J62" t="s">
        <v>706</v>
      </c>
      <c r="K62" t="s">
        <v>724</v>
      </c>
      <c r="L62" t="s">
        <v>730</v>
      </c>
      <c r="M62" t="s">
        <v>955</v>
      </c>
      <c r="N62" s="3">
        <v>1089.1500000000001</v>
      </c>
      <c r="O62" s="3">
        <v>2080.2765000000004</v>
      </c>
      <c r="P62" s="6">
        <v>5.0999999999999997E-2</v>
      </c>
      <c r="Q62" s="6">
        <f>IF(Table1[[#This Row],[DiscountPct]]&gt;25%,25%,Table1[[#This Row],[DiscountPct]])</f>
        <v>5.0999999999999997E-2</v>
      </c>
      <c r="R62" s="5">
        <v>15</v>
      </c>
      <c r="S62" s="6">
        <f t="shared" si="2"/>
        <v>0.91000000000000025</v>
      </c>
      <c r="T62" s="8">
        <f t="shared" si="3"/>
        <v>29612.735977500004</v>
      </c>
      <c r="U62" s="8">
        <f t="shared" si="4"/>
        <v>16337.250000000002</v>
      </c>
      <c r="V62" s="9">
        <f t="shared" si="5"/>
        <v>13275.485977500002</v>
      </c>
      <c r="W62" s="6">
        <f t="shared" si="6"/>
        <v>0.44830325666587589</v>
      </c>
      <c r="X62" t="str" cm="1">
        <f t="array" ref="X62">_xlfn.IFS(S62&lt;=25%, "Low", S62&lt;=75%, "Medium", S62&gt;75%, "High")</f>
        <v>High</v>
      </c>
      <c r="Y62" s="8">
        <f>Table1[[#This Row],[Quantity]]*(Table1[[#This Row],[UnitPrice]]*(1-Table1[[#This Row],[DiscountPct]]))</f>
        <v>29612.735977500004</v>
      </c>
      <c r="Z62" s="9">
        <f t="shared" si="7"/>
        <v>13275.485977500002</v>
      </c>
      <c r="AA62">
        <f>COUNTIF($G$2:G63,G62)</f>
        <v>7</v>
      </c>
      <c r="AB62" s="21">
        <f t="shared" si="8"/>
        <v>44988</v>
      </c>
      <c r="AC62" s="21">
        <f t="shared" si="9"/>
        <v>45016</v>
      </c>
      <c r="AD62" s="5">
        <f>(Table1[[#This Row],[OrderDate]]-Table1[[#This Row],[Date of first order]])/30</f>
        <v>1.5666666666666667</v>
      </c>
      <c r="AE62" t="str">
        <f t="shared" si="10"/>
        <v>Poor</v>
      </c>
      <c r="AF62">
        <f>COUNTIF(AE$2:AE63,AE62)</f>
        <v>41</v>
      </c>
      <c r="AG62" t="str">
        <f t="shared" si="11"/>
        <v>False</v>
      </c>
      <c r="AH62" s="7">
        <f>Table1[[#This Row],[UnitPrice]]*(1-Table1[[#This Row],[Disc Scenario]])*Table1[[#This Row],[Quantity]]</f>
        <v>29612.735977500004</v>
      </c>
      <c r="AI62">
        <f>ROUNDDOWN((Table1[[#This Row],[Quantity]]*(1+20%)),0)</f>
        <v>18</v>
      </c>
      <c r="AJ62" s="7">
        <f>Table1[[#This Row],[Quantity increase by 20%]]*Table1[[#This Row],[UnitPrice]]</f>
        <v>37444.977000000006</v>
      </c>
      <c r="AK62">
        <f>ROUNDDOWN(Table1[[#This Row],[Quantity]]*(1+20%),0)</f>
        <v>18</v>
      </c>
      <c r="AL62" s="7">
        <f>Table1[[#This Row],[UnitCost]]*(1+15%)</f>
        <v>1252.5225</v>
      </c>
      <c r="AM62" s="9">
        <f>Table1[[#This Row],[Quantity]]*Table1[[#This Row],[Cost of unit by inflation 15%]]</f>
        <v>18787.837500000001</v>
      </c>
      <c r="AN62" s="21" cm="1">
        <f t="array" ref="AN62">_xlfn.UNIQUE(AC62)</f>
        <v>45016</v>
      </c>
    </row>
    <row r="63" spans="1:40" x14ac:dyDescent="0.35">
      <c r="A63" t="s">
        <v>218</v>
      </c>
      <c r="B63" s="21">
        <v>45035</v>
      </c>
      <c r="C63" s="10">
        <v>45044</v>
      </c>
      <c r="D63" s="3">
        <f t="shared" si="0"/>
        <v>9</v>
      </c>
      <c r="E63" s="10" t="str">
        <f t="shared" si="1"/>
        <v>Q2-2023</v>
      </c>
      <c r="F63" t="s">
        <v>648</v>
      </c>
      <c r="G63" t="s">
        <v>655</v>
      </c>
      <c r="H63" t="s">
        <v>670</v>
      </c>
      <c r="I63" t="s">
        <v>701</v>
      </c>
      <c r="J63" t="s">
        <v>707</v>
      </c>
      <c r="K63" t="s">
        <v>717</v>
      </c>
      <c r="L63" t="s">
        <v>731</v>
      </c>
      <c r="M63" t="s">
        <v>936</v>
      </c>
      <c r="N63" s="3">
        <v>1178.42</v>
      </c>
      <c r="O63" s="3">
        <v>2446.56</v>
      </c>
      <c r="P63" s="6">
        <v>2.9000000000000001E-2</v>
      </c>
      <c r="Q63" s="6">
        <f>IF(Table1[[#This Row],[DiscountPct]]&gt;25%,25%,Table1[[#This Row],[DiscountPct]])</f>
        <v>2.9000000000000001E-2</v>
      </c>
      <c r="R63" s="5">
        <v>11</v>
      </c>
      <c r="S63" s="6">
        <f t="shared" si="2"/>
        <v>1.0761358429083008</v>
      </c>
      <c r="T63" s="8">
        <f t="shared" si="3"/>
        <v>26131.70736</v>
      </c>
      <c r="U63" s="8">
        <f t="shared" si="4"/>
        <v>12962.62</v>
      </c>
      <c r="V63" s="9">
        <f t="shared" si="5"/>
        <v>13169.08736</v>
      </c>
      <c r="W63" s="6">
        <f t="shared" si="6"/>
        <v>0.5039505141618883</v>
      </c>
      <c r="X63" t="str" cm="1">
        <f t="array" ref="X63">_xlfn.IFS(S63&lt;=25%, "Low", S63&lt;=75%, "Medium", S63&gt;75%, "High")</f>
        <v>High</v>
      </c>
      <c r="Y63" s="8">
        <f>Table1[[#This Row],[Quantity]]*(Table1[[#This Row],[UnitPrice]]*(1-Table1[[#This Row],[DiscountPct]]))</f>
        <v>26131.707359999997</v>
      </c>
      <c r="Z63" s="9">
        <f t="shared" si="7"/>
        <v>13169.087359999996</v>
      </c>
      <c r="AA63">
        <f>COUNTIF($G$2:G64,G63)</f>
        <v>11</v>
      </c>
      <c r="AB63" s="21">
        <f t="shared" si="8"/>
        <v>44988</v>
      </c>
      <c r="AC63" s="21">
        <f t="shared" si="9"/>
        <v>45016</v>
      </c>
      <c r="AD63" s="5">
        <f>(Table1[[#This Row],[OrderDate]]-Table1[[#This Row],[Date of first order]])/30</f>
        <v>1.5666666666666667</v>
      </c>
      <c r="AE63" t="str">
        <f t="shared" si="10"/>
        <v>Poor</v>
      </c>
      <c r="AF63">
        <f>COUNTIF(AE$2:AE64,AE63)</f>
        <v>42</v>
      </c>
      <c r="AG63" t="str">
        <f t="shared" si="11"/>
        <v>False</v>
      </c>
      <c r="AH63" s="7">
        <f>Table1[[#This Row],[UnitPrice]]*(1-Table1[[#This Row],[Disc Scenario]])*Table1[[#This Row],[Quantity]]</f>
        <v>26131.707359999997</v>
      </c>
      <c r="AI63">
        <f>ROUNDDOWN((Table1[[#This Row],[Quantity]]*(1+20%)),0)</f>
        <v>13</v>
      </c>
      <c r="AJ63" s="7">
        <f>Table1[[#This Row],[Quantity increase by 20%]]*Table1[[#This Row],[UnitPrice]]</f>
        <v>31805.279999999999</v>
      </c>
      <c r="AK63">
        <f>ROUNDDOWN(Table1[[#This Row],[Quantity]]*(1+20%),0)</f>
        <v>13</v>
      </c>
      <c r="AL63" s="7">
        <f>Table1[[#This Row],[UnitCost]]*(1+15%)</f>
        <v>1355.183</v>
      </c>
      <c r="AM63" s="9">
        <f>Table1[[#This Row],[Quantity]]*Table1[[#This Row],[Cost of unit by inflation 15%]]</f>
        <v>14907.012999999999</v>
      </c>
      <c r="AN63" s="21" cm="1">
        <f t="array" ref="AN63">_xlfn.UNIQUE(AC63)</f>
        <v>45016</v>
      </c>
    </row>
    <row r="64" spans="1:40" x14ac:dyDescent="0.35">
      <c r="A64" t="s">
        <v>257</v>
      </c>
      <c r="B64" s="21">
        <v>45035</v>
      </c>
      <c r="C64" s="10">
        <v>45044</v>
      </c>
      <c r="D64" s="3">
        <f t="shared" si="0"/>
        <v>9</v>
      </c>
      <c r="E64" s="10" t="str">
        <f t="shared" si="1"/>
        <v>Q2-2023</v>
      </c>
      <c r="F64" t="s">
        <v>647</v>
      </c>
      <c r="G64" t="s">
        <v>654</v>
      </c>
      <c r="H64" t="s">
        <v>691</v>
      </c>
      <c r="I64" t="s">
        <v>700</v>
      </c>
      <c r="J64" t="s">
        <v>709</v>
      </c>
      <c r="K64" t="s">
        <v>723</v>
      </c>
      <c r="L64" t="s">
        <v>729</v>
      </c>
      <c r="M64" t="s">
        <v>975</v>
      </c>
      <c r="N64" s="3">
        <v>1013.54</v>
      </c>
      <c r="O64" s="3">
        <v>1956.1322</v>
      </c>
      <c r="P64" s="6">
        <v>0.17499999999999999</v>
      </c>
      <c r="Q64" s="6">
        <f>IF(Table1[[#This Row],[DiscountPct]]&gt;25%,25%,Table1[[#This Row],[DiscountPct]])</f>
        <v>0.17499999999999999</v>
      </c>
      <c r="R64" s="5">
        <v>16</v>
      </c>
      <c r="S64" s="6">
        <f t="shared" si="2"/>
        <v>0.93</v>
      </c>
      <c r="T64" s="8">
        <f t="shared" si="3"/>
        <v>25820.945039999999</v>
      </c>
      <c r="U64" s="8">
        <f t="shared" si="4"/>
        <v>16216.64</v>
      </c>
      <c r="V64" s="9">
        <f t="shared" si="5"/>
        <v>9604.3050399999993</v>
      </c>
      <c r="W64" s="6">
        <f t="shared" si="6"/>
        <v>0.37195792118071908</v>
      </c>
      <c r="X64" t="str" cm="1">
        <f t="array" ref="X64">_xlfn.IFS(S64&lt;=25%, "Low", S64&lt;=75%, "Medium", S64&gt;75%, "High")</f>
        <v>High</v>
      </c>
      <c r="Y64" s="8">
        <f>Table1[[#This Row],[Quantity]]*(Table1[[#This Row],[UnitPrice]]*(1-Table1[[#This Row],[DiscountPct]]))</f>
        <v>25820.945039999999</v>
      </c>
      <c r="Z64" s="9">
        <f t="shared" si="7"/>
        <v>9604.3050399999993</v>
      </c>
      <c r="AA64">
        <f>COUNTIF($G$2:G65,G64)</f>
        <v>4</v>
      </c>
      <c r="AB64" s="21">
        <f t="shared" si="8"/>
        <v>44988</v>
      </c>
      <c r="AC64" s="21">
        <f t="shared" si="9"/>
        <v>45016</v>
      </c>
      <c r="AD64" s="5">
        <f>(Table1[[#This Row],[OrderDate]]-Table1[[#This Row],[Date of first order]])/30</f>
        <v>1.5666666666666667</v>
      </c>
      <c r="AE64" t="str">
        <f t="shared" si="10"/>
        <v>Poor</v>
      </c>
      <c r="AF64">
        <f>COUNTIF(AE$2:AE65,AE64)</f>
        <v>42</v>
      </c>
      <c r="AG64" t="str">
        <f t="shared" si="11"/>
        <v>False</v>
      </c>
      <c r="AH64" s="7">
        <f>Table1[[#This Row],[UnitPrice]]*(1-Table1[[#This Row],[Disc Scenario]])*Table1[[#This Row],[Quantity]]</f>
        <v>25820.945039999999</v>
      </c>
      <c r="AI64">
        <f>ROUNDDOWN((Table1[[#This Row],[Quantity]]*(1+20%)),0)</f>
        <v>19</v>
      </c>
      <c r="AJ64" s="7">
        <f>Table1[[#This Row],[Quantity increase by 20%]]*Table1[[#This Row],[UnitPrice]]</f>
        <v>37166.5118</v>
      </c>
      <c r="AK64">
        <f>ROUNDDOWN(Table1[[#This Row],[Quantity]]*(1+20%),0)</f>
        <v>19</v>
      </c>
      <c r="AL64" s="7">
        <f>Table1[[#This Row],[UnitCost]]*(1+15%)</f>
        <v>1165.5709999999999</v>
      </c>
      <c r="AM64" s="9">
        <f>Table1[[#This Row],[Quantity]]*Table1[[#This Row],[Cost of unit by inflation 15%]]</f>
        <v>18649.135999999999</v>
      </c>
      <c r="AN64" s="21" cm="1">
        <f t="array" ref="AN64">_xlfn.UNIQUE(AC64)</f>
        <v>45016</v>
      </c>
    </row>
    <row r="65" spans="1:40" x14ac:dyDescent="0.35">
      <c r="A65" t="s">
        <v>450</v>
      </c>
      <c r="B65" s="21">
        <v>45035</v>
      </c>
      <c r="C65" s="10">
        <v>45037</v>
      </c>
      <c r="D65" s="3">
        <f t="shared" si="0"/>
        <v>2</v>
      </c>
      <c r="E65" s="10" t="str">
        <f t="shared" si="1"/>
        <v>Q2-2023</v>
      </c>
      <c r="F65" t="s">
        <v>646</v>
      </c>
      <c r="G65" t="s">
        <v>651</v>
      </c>
      <c r="H65" t="s">
        <v>693</v>
      </c>
      <c r="I65" t="s">
        <v>704</v>
      </c>
      <c r="J65" t="s">
        <v>710</v>
      </c>
      <c r="K65" t="s">
        <v>723</v>
      </c>
      <c r="L65" t="s">
        <v>726</v>
      </c>
      <c r="M65" t="s">
        <v>1167</v>
      </c>
      <c r="N65" s="3">
        <v>607.04</v>
      </c>
      <c r="O65" s="3">
        <v>1229.3399999999999</v>
      </c>
      <c r="P65" s="6">
        <v>0.14699999999999999</v>
      </c>
      <c r="Q65" s="6">
        <f>IF(Table1[[#This Row],[DiscountPct]]&gt;25%,25%,Table1[[#This Row],[DiscountPct]])</f>
        <v>0.14699999999999999</v>
      </c>
      <c r="R65" s="5">
        <v>7</v>
      </c>
      <c r="S65" s="6">
        <f t="shared" si="2"/>
        <v>1.0251383763837638</v>
      </c>
      <c r="T65" s="8">
        <f t="shared" si="3"/>
        <v>7340.3891399999993</v>
      </c>
      <c r="U65" s="8">
        <f t="shared" si="4"/>
        <v>4249.28</v>
      </c>
      <c r="V65" s="9">
        <f t="shared" si="5"/>
        <v>3091.1091399999996</v>
      </c>
      <c r="W65" s="6">
        <f t="shared" si="6"/>
        <v>0.42110970972310058</v>
      </c>
      <c r="X65" t="str" cm="1">
        <f t="array" ref="X65">_xlfn.IFS(S65&lt;=25%, "Low", S65&lt;=75%, "Medium", S65&gt;75%, "High")</f>
        <v>High</v>
      </c>
      <c r="Y65" s="8">
        <f>Table1[[#This Row],[Quantity]]*(Table1[[#This Row],[UnitPrice]]*(1-Table1[[#This Row],[DiscountPct]]))</f>
        <v>7340.3891399999993</v>
      </c>
      <c r="Z65" s="9">
        <f t="shared" si="7"/>
        <v>3091.1091399999996</v>
      </c>
      <c r="AA65">
        <f>COUNTIF($G$2:G66,G65)</f>
        <v>3</v>
      </c>
      <c r="AB65" s="21">
        <f t="shared" si="8"/>
        <v>44988</v>
      </c>
      <c r="AC65" s="21">
        <f t="shared" si="9"/>
        <v>45016</v>
      </c>
      <c r="AD65" s="5">
        <f>(Table1[[#This Row],[OrderDate]]-Table1[[#This Row],[Date of first order]])/30</f>
        <v>1.5666666666666667</v>
      </c>
      <c r="AE65" t="str">
        <f t="shared" si="10"/>
        <v>Good</v>
      </c>
      <c r="AF65">
        <f>COUNTIF(AE$2:AE66,AE65)</f>
        <v>22</v>
      </c>
      <c r="AG65" t="str">
        <f t="shared" si="11"/>
        <v>False</v>
      </c>
      <c r="AH65" s="7">
        <f>Table1[[#This Row],[UnitPrice]]*(1-Table1[[#This Row],[Disc Scenario]])*Table1[[#This Row],[Quantity]]</f>
        <v>7340.3891399999993</v>
      </c>
      <c r="AI65">
        <f>ROUNDDOWN((Table1[[#This Row],[Quantity]]*(1+20%)),0)</f>
        <v>8</v>
      </c>
      <c r="AJ65" s="7">
        <f>Table1[[#This Row],[Quantity increase by 20%]]*Table1[[#This Row],[UnitPrice]]</f>
        <v>9834.7199999999993</v>
      </c>
      <c r="AK65">
        <f>ROUNDDOWN(Table1[[#This Row],[Quantity]]*(1+20%),0)</f>
        <v>8</v>
      </c>
      <c r="AL65" s="7">
        <f>Table1[[#This Row],[UnitCost]]*(1+15%)</f>
        <v>698.09599999999989</v>
      </c>
      <c r="AM65" s="9">
        <f>Table1[[#This Row],[Quantity]]*Table1[[#This Row],[Cost of unit by inflation 15%]]</f>
        <v>4886.6719999999996</v>
      </c>
      <c r="AN65" s="21" cm="1">
        <f t="array" ref="AN65">_xlfn.UNIQUE(AC65)</f>
        <v>45016</v>
      </c>
    </row>
    <row r="66" spans="1:40" x14ac:dyDescent="0.35">
      <c r="A66" t="s">
        <v>270</v>
      </c>
      <c r="B66" s="21">
        <v>45035</v>
      </c>
      <c r="C66" s="10">
        <v>45053</v>
      </c>
      <c r="D66" s="3">
        <f t="shared" ref="D66:D129" si="12">DATEDIF(B66,C66,"d")</f>
        <v>18</v>
      </c>
      <c r="E66" s="10" t="str">
        <f t="shared" ref="E66:E129" si="13">"Q"&amp;ROUNDUP(MONTH(B66)/3,0)&amp; "-" &amp;YEAR(B66)</f>
        <v>Q2-2023</v>
      </c>
      <c r="F66" t="s">
        <v>648</v>
      </c>
      <c r="G66" t="s">
        <v>657</v>
      </c>
      <c r="H66" t="s">
        <v>682</v>
      </c>
      <c r="I66" t="s">
        <v>702</v>
      </c>
      <c r="J66" t="s">
        <v>710</v>
      </c>
      <c r="K66" t="s">
        <v>721</v>
      </c>
      <c r="L66" t="s">
        <v>728</v>
      </c>
      <c r="M66" t="s">
        <v>988</v>
      </c>
      <c r="N66" s="3">
        <v>516.96</v>
      </c>
      <c r="O66" s="3">
        <v>745.38</v>
      </c>
      <c r="P66" s="6">
        <v>0.19700000000000001</v>
      </c>
      <c r="Q66" s="6">
        <f>IF(Table1[[#This Row],[DiscountPct]]&gt;25%,25%,Table1[[#This Row],[DiscountPct]])</f>
        <v>0.19700000000000001</v>
      </c>
      <c r="R66" s="5">
        <v>4</v>
      </c>
      <c r="S66" s="6">
        <f t="shared" ref="S66:S129" si="14">(O66-N66)/N66</f>
        <v>0.44185236768802216</v>
      </c>
      <c r="T66" s="8">
        <f t="shared" ref="T66:T129" si="15">O66*R66*(1-P66)</f>
        <v>2394.1605599999998</v>
      </c>
      <c r="U66" s="8">
        <f t="shared" ref="U66:U129" si="16">N66*R66</f>
        <v>2067.84</v>
      </c>
      <c r="V66" s="9">
        <f t="shared" ref="V66:V129" si="17">T66-U66</f>
        <v>326.32055999999966</v>
      </c>
      <c r="W66" s="6">
        <f t="shared" ref="W66:W129" si="18">V66/T66</f>
        <v>0.13629852794835101</v>
      </c>
      <c r="X66" t="str" cm="1">
        <f t="array" ref="X66">_xlfn.IFS(S66&lt;=25%, "Low", S66&lt;=75%, "Medium", S66&gt;75%, "High")</f>
        <v>Medium</v>
      </c>
      <c r="Y66" s="8">
        <f>Table1[[#This Row],[Quantity]]*(Table1[[#This Row],[UnitPrice]]*(1-Table1[[#This Row],[DiscountPct]]))</f>
        <v>2394.1605599999998</v>
      </c>
      <c r="Z66" s="9">
        <f t="shared" ref="Z66:Z129" si="19">Y66-(N66*R66)</f>
        <v>326.32055999999966</v>
      </c>
      <c r="AA66">
        <f>COUNTIF($G$2:G67,G66)</f>
        <v>8</v>
      </c>
      <c r="AB66" s="21">
        <f t="shared" ref="AB66:AB129" si="20">IF(AA66=1,B66,AB65)</f>
        <v>44988</v>
      </c>
      <c r="AC66" s="21">
        <f t="shared" ref="AC66:AC129" si="21">EOMONTH(AB66,0)</f>
        <v>45016</v>
      </c>
      <c r="AD66" s="5">
        <f>(Table1[[#This Row],[OrderDate]]-Table1[[#This Row],[Date of first order]])/30</f>
        <v>1.5666666666666667</v>
      </c>
      <c r="AE66" t="str">
        <f t="shared" ref="AE66:AE129" si="22">IF(D66&lt;=7,"Good","Poor")</f>
        <v>Poor</v>
      </c>
      <c r="AF66">
        <f>COUNTIF(AE$2:AE67,AE66)</f>
        <v>44</v>
      </c>
      <c r="AG66" t="str">
        <f t="shared" ref="AG66:AG129" si="23">IF(P66&gt;20%,"True","False")</f>
        <v>False</v>
      </c>
      <c r="AH66" s="7">
        <f>Table1[[#This Row],[UnitPrice]]*(1-Table1[[#This Row],[Disc Scenario]])*Table1[[#This Row],[Quantity]]</f>
        <v>2394.1605599999998</v>
      </c>
      <c r="AI66">
        <f>ROUNDDOWN((Table1[[#This Row],[Quantity]]*(1+20%)),0)</f>
        <v>4</v>
      </c>
      <c r="AJ66" s="7">
        <f>Table1[[#This Row],[Quantity increase by 20%]]*Table1[[#This Row],[UnitPrice]]</f>
        <v>2981.52</v>
      </c>
      <c r="AK66">
        <f>ROUNDDOWN(Table1[[#This Row],[Quantity]]*(1+20%),0)</f>
        <v>4</v>
      </c>
      <c r="AL66" s="7">
        <f>Table1[[#This Row],[UnitCost]]*(1+15%)</f>
        <v>594.50400000000002</v>
      </c>
      <c r="AM66" s="9">
        <f>Table1[[#This Row],[Quantity]]*Table1[[#This Row],[Cost of unit by inflation 15%]]</f>
        <v>2378.0160000000001</v>
      </c>
      <c r="AN66" s="21" cm="1">
        <f t="array" ref="AN66">_xlfn.UNIQUE(AC66)</f>
        <v>45016</v>
      </c>
    </row>
    <row r="67" spans="1:40" x14ac:dyDescent="0.35">
      <c r="A67" t="s">
        <v>84</v>
      </c>
      <c r="B67" s="21">
        <v>45037</v>
      </c>
      <c r="C67" s="10">
        <v>45056</v>
      </c>
      <c r="D67" s="3">
        <f t="shared" si="12"/>
        <v>19</v>
      </c>
      <c r="E67" s="10" t="str">
        <f t="shared" si="13"/>
        <v>Q2-2023</v>
      </c>
      <c r="F67" t="s">
        <v>646</v>
      </c>
      <c r="G67" t="s">
        <v>658</v>
      </c>
      <c r="H67" t="s">
        <v>684</v>
      </c>
      <c r="I67" t="s">
        <v>700</v>
      </c>
      <c r="J67" t="s">
        <v>706</v>
      </c>
      <c r="K67" t="s">
        <v>719</v>
      </c>
      <c r="L67" t="s">
        <v>726</v>
      </c>
      <c r="M67" t="s">
        <v>802</v>
      </c>
      <c r="N67" s="3">
        <v>882.33</v>
      </c>
      <c r="O67" s="3">
        <v>1880.15</v>
      </c>
      <c r="P67" s="6">
        <v>0.05</v>
      </c>
      <c r="Q67" s="6">
        <f>IF(Table1[[#This Row],[DiscountPct]]&gt;25%,25%,Table1[[#This Row],[DiscountPct]])</f>
        <v>0.05</v>
      </c>
      <c r="R67" s="5">
        <v>5</v>
      </c>
      <c r="S67" s="6">
        <f t="shared" si="14"/>
        <v>1.130892069860483</v>
      </c>
      <c r="T67" s="8">
        <f t="shared" si="15"/>
        <v>8930.7124999999996</v>
      </c>
      <c r="U67" s="8">
        <f t="shared" si="16"/>
        <v>4411.6500000000005</v>
      </c>
      <c r="V67" s="9">
        <f t="shared" si="17"/>
        <v>4519.0624999999991</v>
      </c>
      <c r="W67" s="6">
        <f t="shared" si="18"/>
        <v>0.50601365792482955</v>
      </c>
      <c r="X67" t="str" cm="1">
        <f t="array" ref="X67">_xlfn.IFS(S67&lt;=25%, "Low", S67&lt;=75%, "Medium", S67&gt;75%, "High")</f>
        <v>High</v>
      </c>
      <c r="Y67" s="8">
        <f>Table1[[#This Row],[Quantity]]*(Table1[[#This Row],[UnitPrice]]*(1-Table1[[#This Row],[DiscountPct]]))</f>
        <v>8930.7124999999996</v>
      </c>
      <c r="Z67" s="9">
        <f t="shared" si="19"/>
        <v>4519.0624999999991</v>
      </c>
      <c r="AA67">
        <f>COUNTIF($G$2:G68,G67)</f>
        <v>5</v>
      </c>
      <c r="AB67" s="21">
        <f t="shared" si="20"/>
        <v>44988</v>
      </c>
      <c r="AC67" s="21">
        <f t="shared" si="21"/>
        <v>45016</v>
      </c>
      <c r="AD67" s="5">
        <f>(Table1[[#This Row],[OrderDate]]-Table1[[#This Row],[Date of first order]])/30</f>
        <v>1.6333333333333333</v>
      </c>
      <c r="AE67" t="str">
        <f t="shared" si="22"/>
        <v>Poor</v>
      </c>
      <c r="AF67">
        <f>COUNTIF(AE$2:AE68,AE67)</f>
        <v>45</v>
      </c>
      <c r="AG67" t="str">
        <f t="shared" si="23"/>
        <v>False</v>
      </c>
      <c r="AH67" s="7">
        <f>Table1[[#This Row],[UnitPrice]]*(1-Table1[[#This Row],[Disc Scenario]])*Table1[[#This Row],[Quantity]]</f>
        <v>8930.7124999999996</v>
      </c>
      <c r="AI67">
        <f>ROUNDDOWN((Table1[[#This Row],[Quantity]]*(1+20%)),0)</f>
        <v>6</v>
      </c>
      <c r="AJ67" s="7">
        <f>Table1[[#This Row],[Quantity increase by 20%]]*Table1[[#This Row],[UnitPrice]]</f>
        <v>11280.900000000001</v>
      </c>
      <c r="AK67">
        <f>ROUNDDOWN(Table1[[#This Row],[Quantity]]*(1+20%),0)</f>
        <v>6</v>
      </c>
      <c r="AL67" s="7">
        <f>Table1[[#This Row],[UnitCost]]*(1+15%)</f>
        <v>1014.6795</v>
      </c>
      <c r="AM67" s="9">
        <f>Table1[[#This Row],[Quantity]]*Table1[[#This Row],[Cost of unit by inflation 15%]]</f>
        <v>5073.3975</v>
      </c>
      <c r="AN67" s="21" cm="1">
        <f t="array" ref="AN67">_xlfn.UNIQUE(AC67)</f>
        <v>45016</v>
      </c>
    </row>
    <row r="68" spans="1:40" x14ac:dyDescent="0.35">
      <c r="A68" t="s">
        <v>619</v>
      </c>
      <c r="B68" s="21">
        <v>45038</v>
      </c>
      <c r="C68" s="10">
        <v>45060</v>
      </c>
      <c r="D68" s="3">
        <f t="shared" si="12"/>
        <v>22</v>
      </c>
      <c r="E68" s="10" t="str">
        <f t="shared" si="13"/>
        <v>Q2-2023</v>
      </c>
      <c r="F68" t="s">
        <v>646</v>
      </c>
      <c r="G68" t="s">
        <v>651</v>
      </c>
      <c r="H68" t="s">
        <v>693</v>
      </c>
      <c r="I68" t="s">
        <v>705</v>
      </c>
      <c r="J68" t="s">
        <v>706</v>
      </c>
      <c r="K68" t="s">
        <v>719</v>
      </c>
      <c r="L68" t="s">
        <v>732</v>
      </c>
      <c r="M68" t="s">
        <v>1335</v>
      </c>
      <c r="N68" s="3">
        <v>1209.22</v>
      </c>
      <c r="O68" s="3">
        <v>1404.33</v>
      </c>
      <c r="P68" s="6">
        <v>0.10299999999999999</v>
      </c>
      <c r="Q68" s="6">
        <f>IF(Table1[[#This Row],[DiscountPct]]&gt;25%,25%,Table1[[#This Row],[DiscountPct]])</f>
        <v>0.10299999999999999</v>
      </c>
      <c r="R68" s="5">
        <v>11</v>
      </c>
      <c r="S68" s="6">
        <f t="shared" si="14"/>
        <v>0.16135194588246959</v>
      </c>
      <c r="T68" s="8">
        <f t="shared" si="15"/>
        <v>13856.52411</v>
      </c>
      <c r="U68" s="8">
        <f t="shared" si="16"/>
        <v>13301.42</v>
      </c>
      <c r="V68" s="9">
        <f t="shared" si="17"/>
        <v>555.10411000000022</v>
      </c>
      <c r="W68" s="6">
        <f t="shared" si="18"/>
        <v>4.0060848275751328E-2</v>
      </c>
      <c r="X68" t="str" cm="1">
        <f t="array" ref="X68">_xlfn.IFS(S68&lt;=25%, "Low", S68&lt;=75%, "Medium", S68&gt;75%, "High")</f>
        <v>Low</v>
      </c>
      <c r="Y68" s="8">
        <f>Table1[[#This Row],[Quantity]]*(Table1[[#This Row],[UnitPrice]]*(1-Table1[[#This Row],[DiscountPct]]))</f>
        <v>13856.524109999998</v>
      </c>
      <c r="Z68" s="9">
        <f t="shared" si="19"/>
        <v>555.1041099999984</v>
      </c>
      <c r="AA68">
        <f>COUNTIF($G$2:G69,G68)</f>
        <v>4</v>
      </c>
      <c r="AB68" s="21">
        <f t="shared" si="20"/>
        <v>44988</v>
      </c>
      <c r="AC68" s="21">
        <f t="shared" si="21"/>
        <v>45016</v>
      </c>
      <c r="AD68" s="5">
        <f>(Table1[[#This Row],[OrderDate]]-Table1[[#This Row],[Date of first order]])/30</f>
        <v>1.6666666666666667</v>
      </c>
      <c r="AE68" t="str">
        <f t="shared" si="22"/>
        <v>Poor</v>
      </c>
      <c r="AF68">
        <f>COUNTIF(AE$2:AE69,AE68)</f>
        <v>45</v>
      </c>
      <c r="AG68" t="str">
        <f t="shared" si="23"/>
        <v>False</v>
      </c>
      <c r="AH68" s="7">
        <f>Table1[[#This Row],[UnitPrice]]*(1-Table1[[#This Row],[Disc Scenario]])*Table1[[#This Row],[Quantity]]</f>
        <v>13856.524109999998</v>
      </c>
      <c r="AI68">
        <f>ROUNDDOWN((Table1[[#This Row],[Quantity]]*(1+20%)),0)</f>
        <v>13</v>
      </c>
      <c r="AJ68" s="7">
        <f>Table1[[#This Row],[Quantity increase by 20%]]*Table1[[#This Row],[UnitPrice]]</f>
        <v>18256.29</v>
      </c>
      <c r="AK68">
        <f>ROUNDDOWN(Table1[[#This Row],[Quantity]]*(1+20%),0)</f>
        <v>13</v>
      </c>
      <c r="AL68" s="7">
        <f>Table1[[#This Row],[UnitCost]]*(1+15%)</f>
        <v>1390.6029999999998</v>
      </c>
      <c r="AM68" s="9">
        <f>Table1[[#This Row],[Quantity]]*Table1[[#This Row],[Cost of unit by inflation 15%]]</f>
        <v>15296.632999999998</v>
      </c>
      <c r="AN68" s="21" cm="1">
        <f t="array" ref="AN68">_xlfn.UNIQUE(AC68)</f>
        <v>45016</v>
      </c>
    </row>
    <row r="69" spans="1:40" x14ac:dyDescent="0.35">
      <c r="A69" t="s">
        <v>30</v>
      </c>
      <c r="B69" s="21">
        <v>45038</v>
      </c>
      <c r="C69" s="10">
        <v>45039</v>
      </c>
      <c r="D69" s="3">
        <f t="shared" si="12"/>
        <v>1</v>
      </c>
      <c r="E69" s="10" t="str">
        <f t="shared" si="13"/>
        <v>Q2-2023</v>
      </c>
      <c r="F69" t="s">
        <v>645</v>
      </c>
      <c r="G69" t="s">
        <v>649</v>
      </c>
      <c r="H69" t="s">
        <v>663</v>
      </c>
      <c r="I69" t="s">
        <v>704</v>
      </c>
      <c r="J69" t="s">
        <v>710</v>
      </c>
      <c r="K69" t="s">
        <v>717</v>
      </c>
      <c r="L69" t="s">
        <v>730</v>
      </c>
      <c r="M69" t="s">
        <v>748</v>
      </c>
      <c r="N69" s="3">
        <v>756.51</v>
      </c>
      <c r="O69" s="3">
        <v>850.8</v>
      </c>
      <c r="P69" s="6">
        <v>7.3999999999999996E-2</v>
      </c>
      <c r="Q69" s="6">
        <f>IF(Table1[[#This Row],[DiscountPct]]&gt;25%,25%,Table1[[#This Row],[DiscountPct]])</f>
        <v>7.3999999999999996E-2</v>
      </c>
      <c r="R69" s="5">
        <v>9</v>
      </c>
      <c r="S69" s="6">
        <f t="shared" si="14"/>
        <v>0.12463814093666967</v>
      </c>
      <c r="T69" s="8">
        <f t="shared" si="15"/>
        <v>7090.5672000000004</v>
      </c>
      <c r="U69" s="8">
        <f t="shared" si="16"/>
        <v>6808.59</v>
      </c>
      <c r="V69" s="9">
        <f t="shared" si="17"/>
        <v>281.97720000000027</v>
      </c>
      <c r="W69" s="6">
        <f t="shared" si="18"/>
        <v>3.9767932810791252E-2</v>
      </c>
      <c r="X69" t="str" cm="1">
        <f t="array" ref="X69">_xlfn.IFS(S69&lt;=25%, "Low", S69&lt;=75%, "Medium", S69&gt;75%, "High")</f>
        <v>Low</v>
      </c>
      <c r="Y69" s="8">
        <f>Table1[[#This Row],[Quantity]]*(Table1[[#This Row],[UnitPrice]]*(1-Table1[[#This Row],[DiscountPct]]))</f>
        <v>7090.5671999999995</v>
      </c>
      <c r="Z69" s="9">
        <f t="shared" si="19"/>
        <v>281.97719999999936</v>
      </c>
      <c r="AA69">
        <f>COUNTIF($G$2:G70,G69)</f>
        <v>9</v>
      </c>
      <c r="AB69" s="21">
        <f t="shared" si="20"/>
        <v>44988</v>
      </c>
      <c r="AC69" s="21">
        <f t="shared" si="21"/>
        <v>45016</v>
      </c>
      <c r="AD69" s="5">
        <f>(Table1[[#This Row],[OrderDate]]-Table1[[#This Row],[Date of first order]])/30</f>
        <v>1.6666666666666667</v>
      </c>
      <c r="AE69" t="str">
        <f t="shared" si="22"/>
        <v>Good</v>
      </c>
      <c r="AF69">
        <f>COUNTIF(AE$2:AE70,AE69)</f>
        <v>24</v>
      </c>
      <c r="AG69" t="str">
        <f t="shared" si="23"/>
        <v>False</v>
      </c>
      <c r="AH69" s="7">
        <f>Table1[[#This Row],[UnitPrice]]*(1-Table1[[#This Row],[Disc Scenario]])*Table1[[#This Row],[Quantity]]</f>
        <v>7090.5671999999995</v>
      </c>
      <c r="AI69">
        <f>ROUNDDOWN((Table1[[#This Row],[Quantity]]*(1+20%)),0)</f>
        <v>10</v>
      </c>
      <c r="AJ69" s="7">
        <f>Table1[[#This Row],[Quantity increase by 20%]]*Table1[[#This Row],[UnitPrice]]</f>
        <v>8508</v>
      </c>
      <c r="AK69">
        <f>ROUNDDOWN(Table1[[#This Row],[Quantity]]*(1+20%),0)</f>
        <v>10</v>
      </c>
      <c r="AL69" s="7">
        <f>Table1[[#This Row],[UnitCost]]*(1+15%)</f>
        <v>869.98649999999998</v>
      </c>
      <c r="AM69" s="9">
        <f>Table1[[#This Row],[Quantity]]*Table1[[#This Row],[Cost of unit by inflation 15%]]</f>
        <v>7829.8784999999998</v>
      </c>
      <c r="AN69" s="21" cm="1">
        <f t="array" ref="AN69">_xlfn.UNIQUE(AC69)</f>
        <v>45016</v>
      </c>
    </row>
    <row r="70" spans="1:40" x14ac:dyDescent="0.35">
      <c r="A70" t="s">
        <v>588</v>
      </c>
      <c r="B70" s="21">
        <v>45042</v>
      </c>
      <c r="C70" s="10">
        <v>45042</v>
      </c>
      <c r="D70" s="3">
        <f t="shared" si="12"/>
        <v>0</v>
      </c>
      <c r="E70" s="10" t="str">
        <f t="shared" si="13"/>
        <v>Q2-2023</v>
      </c>
      <c r="F70" t="s">
        <v>648</v>
      </c>
      <c r="G70" t="s">
        <v>656</v>
      </c>
      <c r="H70" t="s">
        <v>672</v>
      </c>
      <c r="I70" t="s">
        <v>703</v>
      </c>
      <c r="J70" t="s">
        <v>710</v>
      </c>
      <c r="K70" t="s">
        <v>723</v>
      </c>
      <c r="L70" t="s">
        <v>726</v>
      </c>
      <c r="M70" t="s">
        <v>1304</v>
      </c>
      <c r="N70" s="3">
        <v>81.489999999999995</v>
      </c>
      <c r="O70" s="3">
        <v>113.08</v>
      </c>
      <c r="P70" s="6">
        <v>0.121</v>
      </c>
      <c r="Q70" s="6">
        <f>IF(Table1[[#This Row],[DiscountPct]]&gt;25%,25%,Table1[[#This Row],[DiscountPct]])</f>
        <v>0.121</v>
      </c>
      <c r="R70" s="5">
        <v>5</v>
      </c>
      <c r="S70" s="6">
        <f t="shared" si="14"/>
        <v>0.38765492698490617</v>
      </c>
      <c r="T70" s="8">
        <f t="shared" si="15"/>
        <v>496.98660000000001</v>
      </c>
      <c r="U70" s="8">
        <f t="shared" si="16"/>
        <v>407.45</v>
      </c>
      <c r="V70" s="9">
        <f t="shared" si="17"/>
        <v>89.536600000000021</v>
      </c>
      <c r="W70" s="6">
        <f t="shared" si="18"/>
        <v>0.18015898215364362</v>
      </c>
      <c r="X70" t="str" cm="1">
        <f t="array" ref="X70">_xlfn.IFS(S70&lt;=25%, "Low", S70&lt;=75%, "Medium", S70&gt;75%, "High")</f>
        <v>Medium</v>
      </c>
      <c r="Y70" s="8">
        <f>Table1[[#This Row],[Quantity]]*(Table1[[#This Row],[UnitPrice]]*(1-Table1[[#This Row],[DiscountPct]]))</f>
        <v>496.98659999999995</v>
      </c>
      <c r="Z70" s="9">
        <f t="shared" si="19"/>
        <v>89.536599999999964</v>
      </c>
      <c r="AA70">
        <f>COUNTIF($G$2:G71,G70)</f>
        <v>6</v>
      </c>
      <c r="AB70" s="21">
        <f t="shared" si="20"/>
        <v>44988</v>
      </c>
      <c r="AC70" s="21">
        <f t="shared" si="21"/>
        <v>45016</v>
      </c>
      <c r="AD70" s="5">
        <f>(Table1[[#This Row],[OrderDate]]-Table1[[#This Row],[Date of first order]])/30</f>
        <v>1.8</v>
      </c>
      <c r="AE70" t="str">
        <f t="shared" si="22"/>
        <v>Good</v>
      </c>
      <c r="AF70">
        <f>COUNTIF(AE$2:AE71,AE70)</f>
        <v>24</v>
      </c>
      <c r="AG70" t="str">
        <f t="shared" si="23"/>
        <v>False</v>
      </c>
      <c r="AH70" s="7">
        <f>Table1[[#This Row],[UnitPrice]]*(1-Table1[[#This Row],[Disc Scenario]])*Table1[[#This Row],[Quantity]]</f>
        <v>496.98659999999995</v>
      </c>
      <c r="AI70">
        <f>ROUNDDOWN((Table1[[#This Row],[Quantity]]*(1+20%)),0)</f>
        <v>6</v>
      </c>
      <c r="AJ70" s="7">
        <f>Table1[[#This Row],[Quantity increase by 20%]]*Table1[[#This Row],[UnitPrice]]</f>
        <v>678.48</v>
      </c>
      <c r="AK70">
        <f>ROUNDDOWN(Table1[[#This Row],[Quantity]]*(1+20%),0)</f>
        <v>6</v>
      </c>
      <c r="AL70" s="7">
        <f>Table1[[#This Row],[UnitCost]]*(1+15%)</f>
        <v>93.713499999999982</v>
      </c>
      <c r="AM70" s="9">
        <f>Table1[[#This Row],[Quantity]]*Table1[[#This Row],[Cost of unit by inflation 15%]]</f>
        <v>468.56749999999988</v>
      </c>
      <c r="AN70" s="21" cm="1">
        <f t="array" ref="AN70">_xlfn.UNIQUE(AC70)</f>
        <v>45016</v>
      </c>
    </row>
    <row r="71" spans="1:40" x14ac:dyDescent="0.35">
      <c r="A71" t="s">
        <v>532</v>
      </c>
      <c r="B71" s="21">
        <v>45047</v>
      </c>
      <c r="C71" s="10">
        <v>45064</v>
      </c>
      <c r="D71" s="3">
        <f t="shared" si="12"/>
        <v>17</v>
      </c>
      <c r="E71" s="10" t="str">
        <f t="shared" si="13"/>
        <v>Q2-2023</v>
      </c>
      <c r="F71" t="s">
        <v>645</v>
      </c>
      <c r="G71" t="s">
        <v>650</v>
      </c>
      <c r="H71" t="s">
        <v>662</v>
      </c>
      <c r="I71" t="s">
        <v>700</v>
      </c>
      <c r="J71" t="s">
        <v>710</v>
      </c>
      <c r="K71" t="s">
        <v>720</v>
      </c>
      <c r="L71" t="s">
        <v>726</v>
      </c>
      <c r="M71" t="s">
        <v>1249</v>
      </c>
      <c r="N71" s="3">
        <v>327.97</v>
      </c>
      <c r="O71" s="3">
        <v>639.54150000000004</v>
      </c>
      <c r="P71" s="6">
        <v>4.9000000000000002E-2</v>
      </c>
      <c r="Q71" s="6">
        <f>IF(Table1[[#This Row],[DiscountPct]]&gt;25%,25%,Table1[[#This Row],[DiscountPct]])</f>
        <v>4.9000000000000002E-2</v>
      </c>
      <c r="R71" s="5">
        <v>3</v>
      </c>
      <c r="S71" s="6">
        <f t="shared" si="14"/>
        <v>0.95</v>
      </c>
      <c r="T71" s="8">
        <f t="shared" si="15"/>
        <v>1824.6118994999999</v>
      </c>
      <c r="U71" s="8">
        <f t="shared" si="16"/>
        <v>983.91000000000008</v>
      </c>
      <c r="V71" s="9">
        <f t="shared" si="17"/>
        <v>840.70189949999985</v>
      </c>
      <c r="W71" s="6">
        <f t="shared" si="18"/>
        <v>0.46075655854835657</v>
      </c>
      <c r="X71" t="str" cm="1">
        <f t="array" ref="X71">_xlfn.IFS(S71&lt;=25%, "Low", S71&lt;=75%, "Medium", S71&gt;75%, "High")</f>
        <v>High</v>
      </c>
      <c r="Y71" s="8">
        <f>Table1[[#This Row],[Quantity]]*(Table1[[#This Row],[UnitPrice]]*(1-Table1[[#This Row],[DiscountPct]]))</f>
        <v>1824.6118994999999</v>
      </c>
      <c r="Z71" s="9">
        <f t="shared" si="19"/>
        <v>840.70189949999985</v>
      </c>
      <c r="AA71">
        <f>COUNTIF($G$2:G72,G71)</f>
        <v>4</v>
      </c>
      <c r="AB71" s="21">
        <f t="shared" si="20"/>
        <v>44988</v>
      </c>
      <c r="AC71" s="21">
        <f t="shared" si="21"/>
        <v>45016</v>
      </c>
      <c r="AD71" s="5">
        <f>(Table1[[#This Row],[OrderDate]]-Table1[[#This Row],[Date of first order]])/30</f>
        <v>1.9666666666666666</v>
      </c>
      <c r="AE71" t="str">
        <f t="shared" si="22"/>
        <v>Poor</v>
      </c>
      <c r="AF71">
        <f>COUNTIF(AE$2:AE72,AE71)</f>
        <v>47</v>
      </c>
      <c r="AG71" t="str">
        <f t="shared" si="23"/>
        <v>False</v>
      </c>
      <c r="AH71" s="7">
        <f>Table1[[#This Row],[UnitPrice]]*(1-Table1[[#This Row],[Disc Scenario]])*Table1[[#This Row],[Quantity]]</f>
        <v>1824.6118994999999</v>
      </c>
      <c r="AI71">
        <f>ROUNDDOWN((Table1[[#This Row],[Quantity]]*(1+20%)),0)</f>
        <v>3</v>
      </c>
      <c r="AJ71" s="7">
        <f>Table1[[#This Row],[Quantity increase by 20%]]*Table1[[#This Row],[UnitPrice]]</f>
        <v>1918.6245000000001</v>
      </c>
      <c r="AK71">
        <f>ROUNDDOWN(Table1[[#This Row],[Quantity]]*(1+20%),0)</f>
        <v>3</v>
      </c>
      <c r="AL71" s="7">
        <f>Table1[[#This Row],[UnitCost]]*(1+15%)</f>
        <v>377.16550000000001</v>
      </c>
      <c r="AM71" s="9">
        <f>Table1[[#This Row],[Quantity]]*Table1[[#This Row],[Cost of unit by inflation 15%]]</f>
        <v>1131.4965</v>
      </c>
      <c r="AN71" s="21" cm="1">
        <f t="array" ref="AN71">_xlfn.UNIQUE(AC71)</f>
        <v>45016</v>
      </c>
    </row>
    <row r="72" spans="1:40" x14ac:dyDescent="0.35">
      <c r="A72" t="s">
        <v>154</v>
      </c>
      <c r="B72" s="21">
        <v>45048</v>
      </c>
      <c r="C72" s="10">
        <v>45064</v>
      </c>
      <c r="D72" s="3">
        <f t="shared" si="12"/>
        <v>16</v>
      </c>
      <c r="E72" s="10" t="str">
        <f t="shared" si="13"/>
        <v>Q2-2023</v>
      </c>
      <c r="F72" t="s">
        <v>646</v>
      </c>
      <c r="G72" t="s">
        <v>653</v>
      </c>
      <c r="H72" t="s">
        <v>679</v>
      </c>
      <c r="I72" t="s">
        <v>704</v>
      </c>
      <c r="J72" t="s">
        <v>708</v>
      </c>
      <c r="K72" t="s">
        <v>722</v>
      </c>
      <c r="L72" t="s">
        <v>731</v>
      </c>
      <c r="M72" t="s">
        <v>872</v>
      </c>
      <c r="N72" s="3">
        <v>1463.92</v>
      </c>
      <c r="O72" s="3">
        <v>2252.2399999999998</v>
      </c>
      <c r="P72" s="6">
        <v>0.11799999999999999</v>
      </c>
      <c r="Q72" s="6">
        <f>IF(Table1[[#This Row],[DiscountPct]]&gt;25%,25%,Table1[[#This Row],[DiscountPct]])</f>
        <v>0.11799999999999999</v>
      </c>
      <c r="R72" s="5">
        <v>44</v>
      </c>
      <c r="S72" s="6">
        <f t="shared" si="14"/>
        <v>0.53849937155035776</v>
      </c>
      <c r="T72" s="8">
        <f t="shared" si="15"/>
        <v>87404.929919999995</v>
      </c>
      <c r="U72" s="8">
        <f t="shared" si="16"/>
        <v>64412.480000000003</v>
      </c>
      <c r="V72" s="9">
        <f t="shared" si="17"/>
        <v>22992.449919999992</v>
      </c>
      <c r="W72" s="6">
        <f t="shared" si="18"/>
        <v>0.26305667130040061</v>
      </c>
      <c r="X72" t="str" cm="1">
        <f t="array" ref="X72">_xlfn.IFS(S72&lt;=25%, "Low", S72&lt;=75%, "Medium", S72&gt;75%, "High")</f>
        <v>Medium</v>
      </c>
      <c r="Y72" s="8">
        <f>Table1[[#This Row],[Quantity]]*(Table1[[#This Row],[UnitPrice]]*(1-Table1[[#This Row],[DiscountPct]]))</f>
        <v>87404.929919999995</v>
      </c>
      <c r="Z72" s="9">
        <f t="shared" si="19"/>
        <v>22992.449919999992</v>
      </c>
      <c r="AA72">
        <f>COUNTIF($G$2:G73,G72)</f>
        <v>5</v>
      </c>
      <c r="AB72" s="21">
        <f t="shared" si="20"/>
        <v>44988</v>
      </c>
      <c r="AC72" s="21">
        <f t="shared" si="21"/>
        <v>45016</v>
      </c>
      <c r="AD72" s="5">
        <f>(Table1[[#This Row],[OrderDate]]-Table1[[#This Row],[Date of first order]])/30</f>
        <v>2</v>
      </c>
      <c r="AE72" t="str">
        <f t="shared" si="22"/>
        <v>Poor</v>
      </c>
      <c r="AF72">
        <f>COUNTIF(AE$2:AE73,AE72)</f>
        <v>48</v>
      </c>
      <c r="AG72" t="str">
        <f t="shared" si="23"/>
        <v>False</v>
      </c>
      <c r="AH72" s="7">
        <f>Table1[[#This Row],[UnitPrice]]*(1-Table1[[#This Row],[Disc Scenario]])*Table1[[#This Row],[Quantity]]</f>
        <v>87404.929919999995</v>
      </c>
      <c r="AI72">
        <f>ROUNDDOWN((Table1[[#This Row],[Quantity]]*(1+20%)),0)</f>
        <v>52</v>
      </c>
      <c r="AJ72" s="7">
        <f>Table1[[#This Row],[Quantity increase by 20%]]*Table1[[#This Row],[UnitPrice]]</f>
        <v>117116.47999999998</v>
      </c>
      <c r="AK72">
        <f>ROUNDDOWN(Table1[[#This Row],[Quantity]]*(1+20%),0)</f>
        <v>52</v>
      </c>
      <c r="AL72" s="7">
        <f>Table1[[#This Row],[UnitCost]]*(1+15%)</f>
        <v>1683.508</v>
      </c>
      <c r="AM72" s="9">
        <f>Table1[[#This Row],[Quantity]]*Table1[[#This Row],[Cost of unit by inflation 15%]]</f>
        <v>74074.351999999999</v>
      </c>
      <c r="AN72" s="21" cm="1">
        <f t="array" ref="AN72">_xlfn.UNIQUE(AC72)</f>
        <v>45016</v>
      </c>
    </row>
    <row r="73" spans="1:40" x14ac:dyDescent="0.35">
      <c r="A73" t="s">
        <v>513</v>
      </c>
      <c r="B73" s="21">
        <v>45048</v>
      </c>
      <c r="C73" s="10">
        <v>45062</v>
      </c>
      <c r="D73" s="3">
        <f t="shared" si="12"/>
        <v>14</v>
      </c>
      <c r="E73" s="10" t="str">
        <f t="shared" si="13"/>
        <v>Q2-2023</v>
      </c>
      <c r="F73" t="s">
        <v>646</v>
      </c>
      <c r="G73" t="s">
        <v>653</v>
      </c>
      <c r="H73" t="s">
        <v>667</v>
      </c>
      <c r="I73" t="s">
        <v>702</v>
      </c>
      <c r="J73" t="s">
        <v>706</v>
      </c>
      <c r="K73" t="s">
        <v>715</v>
      </c>
      <c r="L73" t="s">
        <v>731</v>
      </c>
      <c r="M73" t="s">
        <v>1230</v>
      </c>
      <c r="N73" s="3">
        <v>475.37</v>
      </c>
      <c r="O73" s="3">
        <v>963.73</v>
      </c>
      <c r="P73" s="6">
        <v>4.1000000000000002E-2</v>
      </c>
      <c r="Q73" s="6">
        <f>IF(Table1[[#This Row],[DiscountPct]]&gt;25%,25%,Table1[[#This Row],[DiscountPct]])</f>
        <v>4.1000000000000002E-2</v>
      </c>
      <c r="R73" s="5">
        <v>22</v>
      </c>
      <c r="S73" s="6">
        <f t="shared" si="14"/>
        <v>1.0273260828407347</v>
      </c>
      <c r="T73" s="8">
        <f t="shared" si="15"/>
        <v>20332.775539999999</v>
      </c>
      <c r="U73" s="8">
        <f t="shared" si="16"/>
        <v>10458.14</v>
      </c>
      <c r="V73" s="9">
        <f t="shared" si="17"/>
        <v>9874.6355399999993</v>
      </c>
      <c r="W73" s="6">
        <f t="shared" si="18"/>
        <v>0.48565113604750881</v>
      </c>
      <c r="X73" t="str" cm="1">
        <f t="array" ref="X73">_xlfn.IFS(S73&lt;=25%, "Low", S73&lt;=75%, "Medium", S73&gt;75%, "High")</f>
        <v>High</v>
      </c>
      <c r="Y73" s="8">
        <f>Table1[[#This Row],[Quantity]]*(Table1[[#This Row],[UnitPrice]]*(1-Table1[[#This Row],[DiscountPct]]))</f>
        <v>20332.775540000002</v>
      </c>
      <c r="Z73" s="9">
        <f t="shared" si="19"/>
        <v>9874.6355400000029</v>
      </c>
      <c r="AA73">
        <f>COUNTIF($G$2:G74,G73)</f>
        <v>5</v>
      </c>
      <c r="AB73" s="21">
        <f t="shared" si="20"/>
        <v>44988</v>
      </c>
      <c r="AC73" s="21">
        <f t="shared" si="21"/>
        <v>45016</v>
      </c>
      <c r="AD73" s="5">
        <f>(Table1[[#This Row],[OrderDate]]-Table1[[#This Row],[Date of first order]])/30</f>
        <v>2</v>
      </c>
      <c r="AE73" t="str">
        <f t="shared" si="22"/>
        <v>Poor</v>
      </c>
      <c r="AF73">
        <f>COUNTIF(AE$2:AE74,AE73)</f>
        <v>49</v>
      </c>
      <c r="AG73" t="str">
        <f t="shared" si="23"/>
        <v>False</v>
      </c>
      <c r="AH73" s="7">
        <f>Table1[[#This Row],[UnitPrice]]*(1-Table1[[#This Row],[Disc Scenario]])*Table1[[#This Row],[Quantity]]</f>
        <v>20332.775540000002</v>
      </c>
      <c r="AI73">
        <f>ROUNDDOWN((Table1[[#This Row],[Quantity]]*(1+20%)),0)</f>
        <v>26</v>
      </c>
      <c r="AJ73" s="7">
        <f>Table1[[#This Row],[Quantity increase by 20%]]*Table1[[#This Row],[UnitPrice]]</f>
        <v>25056.98</v>
      </c>
      <c r="AK73">
        <f>ROUNDDOWN(Table1[[#This Row],[Quantity]]*(1+20%),0)</f>
        <v>26</v>
      </c>
      <c r="AL73" s="7">
        <f>Table1[[#This Row],[UnitCost]]*(1+15%)</f>
        <v>546.67549999999994</v>
      </c>
      <c r="AM73" s="9">
        <f>Table1[[#This Row],[Quantity]]*Table1[[#This Row],[Cost of unit by inflation 15%]]</f>
        <v>12026.860999999999</v>
      </c>
      <c r="AN73" s="21" cm="1">
        <f t="array" ref="AN73">_xlfn.UNIQUE(AC73)</f>
        <v>45016</v>
      </c>
    </row>
    <row r="74" spans="1:40" x14ac:dyDescent="0.35">
      <c r="A74" t="s">
        <v>470</v>
      </c>
      <c r="B74" s="21">
        <v>45048</v>
      </c>
      <c r="C74" s="10">
        <v>45065</v>
      </c>
      <c r="D74" s="3">
        <f t="shared" si="12"/>
        <v>17</v>
      </c>
      <c r="E74" s="10" t="str">
        <f t="shared" si="13"/>
        <v>Q2-2023</v>
      </c>
      <c r="F74" t="s">
        <v>646</v>
      </c>
      <c r="G74" t="s">
        <v>658</v>
      </c>
      <c r="H74" t="s">
        <v>684</v>
      </c>
      <c r="I74" t="s">
        <v>702</v>
      </c>
      <c r="J74" t="s">
        <v>710</v>
      </c>
      <c r="K74" t="s">
        <v>712</v>
      </c>
      <c r="L74" t="s">
        <v>731</v>
      </c>
      <c r="M74" t="s">
        <v>1187</v>
      </c>
      <c r="N74" s="3">
        <v>714.28</v>
      </c>
      <c r="O74" s="3">
        <v>757.59</v>
      </c>
      <c r="P74" s="6">
        <v>0.13600000000000001</v>
      </c>
      <c r="Q74" s="6">
        <f>IF(Table1[[#This Row],[DiscountPct]]&gt;25%,25%,Table1[[#This Row],[DiscountPct]])</f>
        <v>0.13600000000000001</v>
      </c>
      <c r="R74" s="5">
        <v>12</v>
      </c>
      <c r="S74" s="6">
        <f t="shared" si="14"/>
        <v>6.0634485075880692E-2</v>
      </c>
      <c r="T74" s="8">
        <f t="shared" si="15"/>
        <v>7854.6931199999999</v>
      </c>
      <c r="U74" s="8">
        <f t="shared" si="16"/>
        <v>8571.36</v>
      </c>
      <c r="V74" s="9">
        <f t="shared" si="17"/>
        <v>-716.66688000000067</v>
      </c>
      <c r="W74" s="6">
        <f t="shared" si="18"/>
        <v>-9.1240595787910383E-2</v>
      </c>
      <c r="X74" t="str" cm="1">
        <f t="array" ref="X74">_xlfn.IFS(S74&lt;=25%, "Low", S74&lt;=75%, "Medium", S74&gt;75%, "High")</f>
        <v>Low</v>
      </c>
      <c r="Y74" s="8">
        <f>Table1[[#This Row],[Quantity]]*(Table1[[#This Row],[UnitPrice]]*(1-Table1[[#This Row],[DiscountPct]]))</f>
        <v>7854.6931199999999</v>
      </c>
      <c r="Z74" s="9">
        <f t="shared" si="19"/>
        <v>-716.66688000000067</v>
      </c>
      <c r="AA74">
        <f>COUNTIF($G$2:G75,G74)</f>
        <v>6</v>
      </c>
      <c r="AB74" s="21">
        <f t="shared" si="20"/>
        <v>44988</v>
      </c>
      <c r="AC74" s="21">
        <f t="shared" si="21"/>
        <v>45016</v>
      </c>
      <c r="AD74" s="5">
        <f>(Table1[[#This Row],[OrderDate]]-Table1[[#This Row],[Date of first order]])/30</f>
        <v>2</v>
      </c>
      <c r="AE74" t="str">
        <f t="shared" si="22"/>
        <v>Poor</v>
      </c>
      <c r="AF74">
        <f>COUNTIF(AE$2:AE75,AE74)</f>
        <v>50</v>
      </c>
      <c r="AG74" t="str">
        <f t="shared" si="23"/>
        <v>False</v>
      </c>
      <c r="AH74" s="7">
        <f>Table1[[#This Row],[UnitPrice]]*(1-Table1[[#This Row],[Disc Scenario]])*Table1[[#This Row],[Quantity]]</f>
        <v>7854.6931199999999</v>
      </c>
      <c r="AI74">
        <f>ROUNDDOWN((Table1[[#This Row],[Quantity]]*(1+20%)),0)</f>
        <v>14</v>
      </c>
      <c r="AJ74" s="7">
        <f>Table1[[#This Row],[Quantity increase by 20%]]*Table1[[#This Row],[UnitPrice]]</f>
        <v>10606.26</v>
      </c>
      <c r="AK74">
        <f>ROUNDDOWN(Table1[[#This Row],[Quantity]]*(1+20%),0)</f>
        <v>14</v>
      </c>
      <c r="AL74" s="7">
        <f>Table1[[#This Row],[UnitCost]]*(1+15%)</f>
        <v>821.42199999999991</v>
      </c>
      <c r="AM74" s="9">
        <f>Table1[[#This Row],[Quantity]]*Table1[[#This Row],[Cost of unit by inflation 15%]]</f>
        <v>9857.0639999999985</v>
      </c>
      <c r="AN74" s="21" cm="1">
        <f t="array" ref="AN74">_xlfn.UNIQUE(AC74)</f>
        <v>45016</v>
      </c>
    </row>
    <row r="75" spans="1:40" x14ac:dyDescent="0.35">
      <c r="A75" t="s">
        <v>599</v>
      </c>
      <c r="B75" s="21">
        <v>45049</v>
      </c>
      <c r="C75" s="10">
        <v>45062</v>
      </c>
      <c r="D75" s="3">
        <f t="shared" si="12"/>
        <v>13</v>
      </c>
      <c r="E75" s="10" t="str">
        <f t="shared" si="13"/>
        <v>Q2-2023</v>
      </c>
      <c r="F75" t="s">
        <v>647</v>
      </c>
      <c r="G75" t="s">
        <v>659</v>
      </c>
      <c r="H75" t="s">
        <v>699</v>
      </c>
      <c r="I75" t="s">
        <v>700</v>
      </c>
      <c r="J75" t="s">
        <v>708</v>
      </c>
      <c r="K75" t="s">
        <v>715</v>
      </c>
      <c r="L75" t="s">
        <v>729</v>
      </c>
      <c r="M75" t="s">
        <v>1315</v>
      </c>
      <c r="N75" s="3">
        <v>64.5</v>
      </c>
      <c r="O75" s="3">
        <v>123.62</v>
      </c>
      <c r="P75" s="6">
        <v>0</v>
      </c>
      <c r="Q75" s="6">
        <f>IF(Table1[[#This Row],[DiscountPct]]&gt;25%,25%,Table1[[#This Row],[DiscountPct]])</f>
        <v>0</v>
      </c>
      <c r="R75" s="5">
        <v>3</v>
      </c>
      <c r="S75" s="6">
        <f t="shared" si="14"/>
        <v>0.91658914728682173</v>
      </c>
      <c r="T75" s="8">
        <f t="shared" si="15"/>
        <v>370.86</v>
      </c>
      <c r="U75" s="8">
        <f t="shared" si="16"/>
        <v>193.5</v>
      </c>
      <c r="V75" s="9">
        <f t="shared" si="17"/>
        <v>177.36</v>
      </c>
      <c r="W75" s="6">
        <f t="shared" si="18"/>
        <v>0.47823976702798904</v>
      </c>
      <c r="X75" t="str" cm="1">
        <f t="array" ref="X75">_xlfn.IFS(S75&lt;=25%, "Low", S75&lt;=75%, "Medium", S75&gt;75%, "High")</f>
        <v>High</v>
      </c>
      <c r="Y75" s="8">
        <f>Table1[[#This Row],[Quantity]]*(Table1[[#This Row],[UnitPrice]]*(1-Table1[[#This Row],[DiscountPct]]))</f>
        <v>370.86</v>
      </c>
      <c r="Z75" s="9">
        <f t="shared" si="19"/>
        <v>177.36</v>
      </c>
      <c r="AA75">
        <f>COUNTIF($G$2:G76,G75)</f>
        <v>8</v>
      </c>
      <c r="AB75" s="21">
        <f t="shared" si="20"/>
        <v>44988</v>
      </c>
      <c r="AC75" s="21">
        <f t="shared" si="21"/>
        <v>45016</v>
      </c>
      <c r="AD75" s="5">
        <f>(Table1[[#This Row],[OrderDate]]-Table1[[#This Row],[Date of first order]])/30</f>
        <v>2.0333333333333332</v>
      </c>
      <c r="AE75" t="str">
        <f t="shared" si="22"/>
        <v>Poor</v>
      </c>
      <c r="AF75">
        <f>COUNTIF(AE$2:AE76,AE75)</f>
        <v>51</v>
      </c>
      <c r="AG75" t="str">
        <f t="shared" si="23"/>
        <v>False</v>
      </c>
      <c r="AH75" s="7">
        <f>Table1[[#This Row],[UnitPrice]]*(1-Table1[[#This Row],[Disc Scenario]])*Table1[[#This Row],[Quantity]]</f>
        <v>370.86</v>
      </c>
      <c r="AI75">
        <f>ROUNDDOWN((Table1[[#This Row],[Quantity]]*(1+20%)),0)</f>
        <v>3</v>
      </c>
      <c r="AJ75" s="7">
        <f>Table1[[#This Row],[Quantity increase by 20%]]*Table1[[#This Row],[UnitPrice]]</f>
        <v>370.86</v>
      </c>
      <c r="AK75">
        <f>ROUNDDOWN(Table1[[#This Row],[Quantity]]*(1+20%),0)</f>
        <v>3</v>
      </c>
      <c r="AL75" s="7">
        <f>Table1[[#This Row],[UnitCost]]*(1+15%)</f>
        <v>74.174999999999997</v>
      </c>
      <c r="AM75" s="9">
        <f>Table1[[#This Row],[Quantity]]*Table1[[#This Row],[Cost of unit by inflation 15%]]</f>
        <v>222.52499999999998</v>
      </c>
      <c r="AN75" s="21" cm="1">
        <f t="array" ref="AN75">_xlfn.UNIQUE(AC75)</f>
        <v>45016</v>
      </c>
    </row>
    <row r="76" spans="1:40" x14ac:dyDescent="0.35">
      <c r="A76" t="s">
        <v>207</v>
      </c>
      <c r="B76" s="21">
        <v>45050</v>
      </c>
      <c r="C76" s="10">
        <v>45072</v>
      </c>
      <c r="D76" s="3">
        <f t="shared" si="12"/>
        <v>22</v>
      </c>
      <c r="E76" s="10" t="str">
        <f t="shared" si="13"/>
        <v>Q2-2023</v>
      </c>
      <c r="F76" t="s">
        <v>647</v>
      </c>
      <c r="G76" t="s">
        <v>659</v>
      </c>
      <c r="H76" t="s">
        <v>685</v>
      </c>
      <c r="I76" t="s">
        <v>705</v>
      </c>
      <c r="J76" t="s">
        <v>707</v>
      </c>
      <c r="K76" t="s">
        <v>712</v>
      </c>
      <c r="L76" t="s">
        <v>728</v>
      </c>
      <c r="M76" t="s">
        <v>925</v>
      </c>
      <c r="N76" s="3">
        <v>249.71</v>
      </c>
      <c r="O76" s="3">
        <v>361.33</v>
      </c>
      <c r="P76" s="6">
        <v>9.4E-2</v>
      </c>
      <c r="Q76" s="6">
        <f>IF(Table1[[#This Row],[DiscountPct]]&gt;25%,25%,Table1[[#This Row],[DiscountPct]])</f>
        <v>9.4E-2</v>
      </c>
      <c r="R76" s="5">
        <v>12</v>
      </c>
      <c r="S76" s="6">
        <f t="shared" si="14"/>
        <v>0.44699851828120607</v>
      </c>
      <c r="T76" s="8">
        <f t="shared" si="15"/>
        <v>3928.3797600000003</v>
      </c>
      <c r="U76" s="8">
        <f t="shared" si="16"/>
        <v>2996.52</v>
      </c>
      <c r="V76" s="9">
        <f t="shared" si="17"/>
        <v>931.85976000000028</v>
      </c>
      <c r="W76" s="6">
        <f t="shared" si="18"/>
        <v>0.23721223937881206</v>
      </c>
      <c r="X76" t="str" cm="1">
        <f t="array" ref="X76">_xlfn.IFS(S76&lt;=25%, "Low", S76&lt;=75%, "Medium", S76&gt;75%, "High")</f>
        <v>Medium</v>
      </c>
      <c r="Y76" s="8">
        <f>Table1[[#This Row],[Quantity]]*(Table1[[#This Row],[UnitPrice]]*(1-Table1[[#This Row],[DiscountPct]]))</f>
        <v>3928.3797599999998</v>
      </c>
      <c r="Z76" s="9">
        <f t="shared" si="19"/>
        <v>931.85975999999982</v>
      </c>
      <c r="AA76">
        <f>COUNTIF($G$2:G77,G76)</f>
        <v>8</v>
      </c>
      <c r="AB76" s="21">
        <f t="shared" si="20"/>
        <v>44988</v>
      </c>
      <c r="AC76" s="21">
        <f t="shared" si="21"/>
        <v>45016</v>
      </c>
      <c r="AD76" s="5">
        <f>(Table1[[#This Row],[OrderDate]]-Table1[[#This Row],[Date of first order]])/30</f>
        <v>2.0666666666666669</v>
      </c>
      <c r="AE76" t="str">
        <f t="shared" si="22"/>
        <v>Poor</v>
      </c>
      <c r="AF76">
        <f>COUNTIF(AE$2:AE77,AE76)</f>
        <v>52</v>
      </c>
      <c r="AG76" t="str">
        <f t="shared" si="23"/>
        <v>False</v>
      </c>
      <c r="AH76" s="7">
        <f>Table1[[#This Row],[UnitPrice]]*(1-Table1[[#This Row],[Disc Scenario]])*Table1[[#This Row],[Quantity]]</f>
        <v>3928.3797599999998</v>
      </c>
      <c r="AI76">
        <f>ROUNDDOWN((Table1[[#This Row],[Quantity]]*(1+20%)),0)</f>
        <v>14</v>
      </c>
      <c r="AJ76" s="7">
        <f>Table1[[#This Row],[Quantity increase by 20%]]*Table1[[#This Row],[UnitPrice]]</f>
        <v>5058.62</v>
      </c>
      <c r="AK76">
        <f>ROUNDDOWN(Table1[[#This Row],[Quantity]]*(1+20%),0)</f>
        <v>14</v>
      </c>
      <c r="AL76" s="7">
        <f>Table1[[#This Row],[UnitCost]]*(1+15%)</f>
        <v>287.16649999999998</v>
      </c>
      <c r="AM76" s="9">
        <f>Table1[[#This Row],[Quantity]]*Table1[[#This Row],[Cost of unit by inflation 15%]]</f>
        <v>3445.9979999999996</v>
      </c>
      <c r="AN76" s="21" cm="1">
        <f t="array" ref="AN76">_xlfn.UNIQUE(AC76)</f>
        <v>45016</v>
      </c>
    </row>
    <row r="77" spans="1:40" x14ac:dyDescent="0.35">
      <c r="A77" t="s">
        <v>360</v>
      </c>
      <c r="B77" s="21">
        <v>45050</v>
      </c>
      <c r="C77" s="10">
        <v>45062</v>
      </c>
      <c r="D77" s="3">
        <f t="shared" si="12"/>
        <v>12</v>
      </c>
      <c r="E77" s="10" t="str">
        <f t="shared" si="13"/>
        <v>Q2-2023</v>
      </c>
      <c r="F77" t="s">
        <v>645</v>
      </c>
      <c r="G77" t="s">
        <v>650</v>
      </c>
      <c r="H77" t="s">
        <v>668</v>
      </c>
      <c r="I77" t="s">
        <v>704</v>
      </c>
      <c r="J77" t="s">
        <v>708</v>
      </c>
      <c r="K77" t="s">
        <v>712</v>
      </c>
      <c r="L77" t="s">
        <v>729</v>
      </c>
      <c r="M77" t="s">
        <v>1078</v>
      </c>
      <c r="N77" s="3">
        <v>77.739999999999995</v>
      </c>
      <c r="O77" s="3">
        <v>147.12</v>
      </c>
      <c r="P77" s="6">
        <v>0</v>
      </c>
      <c r="Q77" s="6">
        <f>IF(Table1[[#This Row],[DiscountPct]]&gt;25%,25%,Table1[[#This Row],[DiscountPct]])</f>
        <v>0</v>
      </c>
      <c r="R77" s="5">
        <v>15</v>
      </c>
      <c r="S77" s="6">
        <f t="shared" si="14"/>
        <v>0.89246205299717019</v>
      </c>
      <c r="T77" s="8">
        <f t="shared" si="15"/>
        <v>2206.8000000000002</v>
      </c>
      <c r="U77" s="8">
        <f t="shared" si="16"/>
        <v>1166.0999999999999</v>
      </c>
      <c r="V77" s="9">
        <f t="shared" si="17"/>
        <v>1040.7000000000003</v>
      </c>
      <c r="W77" s="6">
        <f t="shared" si="18"/>
        <v>0.47158781946710177</v>
      </c>
      <c r="X77" t="str" cm="1">
        <f t="array" ref="X77">_xlfn.IFS(S77&lt;=25%, "Low", S77&lt;=75%, "Medium", S77&gt;75%, "High")</f>
        <v>High</v>
      </c>
      <c r="Y77" s="8">
        <f>Table1[[#This Row],[Quantity]]*(Table1[[#This Row],[UnitPrice]]*(1-Table1[[#This Row],[DiscountPct]]))</f>
        <v>2206.8000000000002</v>
      </c>
      <c r="Z77" s="9">
        <f t="shared" si="19"/>
        <v>1040.7000000000003</v>
      </c>
      <c r="AA77">
        <f>COUNTIF($G$2:G78,G77)</f>
        <v>6</v>
      </c>
      <c r="AB77" s="21">
        <f t="shared" si="20"/>
        <v>44988</v>
      </c>
      <c r="AC77" s="21">
        <f t="shared" si="21"/>
        <v>45016</v>
      </c>
      <c r="AD77" s="5">
        <f>(Table1[[#This Row],[OrderDate]]-Table1[[#This Row],[Date of first order]])/30</f>
        <v>2.0666666666666669</v>
      </c>
      <c r="AE77" t="str">
        <f t="shared" si="22"/>
        <v>Poor</v>
      </c>
      <c r="AF77">
        <f>COUNTIF(AE$2:AE78,AE77)</f>
        <v>52</v>
      </c>
      <c r="AG77" t="str">
        <f t="shared" si="23"/>
        <v>False</v>
      </c>
      <c r="AH77" s="7">
        <f>Table1[[#This Row],[UnitPrice]]*(1-Table1[[#This Row],[Disc Scenario]])*Table1[[#This Row],[Quantity]]</f>
        <v>2206.8000000000002</v>
      </c>
      <c r="AI77">
        <f>ROUNDDOWN((Table1[[#This Row],[Quantity]]*(1+20%)),0)</f>
        <v>18</v>
      </c>
      <c r="AJ77" s="7">
        <f>Table1[[#This Row],[Quantity increase by 20%]]*Table1[[#This Row],[UnitPrice]]</f>
        <v>2648.16</v>
      </c>
      <c r="AK77">
        <f>ROUNDDOWN(Table1[[#This Row],[Quantity]]*(1+20%),0)</f>
        <v>18</v>
      </c>
      <c r="AL77" s="7">
        <f>Table1[[#This Row],[UnitCost]]*(1+15%)</f>
        <v>89.400999999999982</v>
      </c>
      <c r="AM77" s="9">
        <f>Table1[[#This Row],[Quantity]]*Table1[[#This Row],[Cost of unit by inflation 15%]]</f>
        <v>1341.0149999999996</v>
      </c>
      <c r="AN77" s="21" cm="1">
        <f t="array" ref="AN77">_xlfn.UNIQUE(AC77)</f>
        <v>45016</v>
      </c>
    </row>
    <row r="78" spans="1:40" x14ac:dyDescent="0.35">
      <c r="A78" t="s">
        <v>280</v>
      </c>
      <c r="B78" s="21">
        <v>45051</v>
      </c>
      <c r="C78" s="10">
        <v>45053</v>
      </c>
      <c r="D78" s="3">
        <f t="shared" si="12"/>
        <v>2</v>
      </c>
      <c r="E78" s="10" t="str">
        <f t="shared" si="13"/>
        <v>Q2-2023</v>
      </c>
      <c r="F78" t="s">
        <v>645</v>
      </c>
      <c r="G78" t="s">
        <v>650</v>
      </c>
      <c r="H78" t="s">
        <v>662</v>
      </c>
      <c r="I78" t="s">
        <v>702</v>
      </c>
      <c r="J78" t="s">
        <v>708</v>
      </c>
      <c r="K78" t="s">
        <v>719</v>
      </c>
      <c r="L78" t="s">
        <v>726</v>
      </c>
      <c r="M78" t="s">
        <v>998</v>
      </c>
      <c r="N78" s="3">
        <v>1269.6500000000001</v>
      </c>
      <c r="O78" s="3">
        <v>2462.77</v>
      </c>
      <c r="P78" s="6">
        <v>0.107</v>
      </c>
      <c r="Q78" s="6">
        <f>IF(Table1[[#This Row],[DiscountPct]]&gt;25%,25%,Table1[[#This Row],[DiscountPct]])</f>
        <v>0.107</v>
      </c>
      <c r="R78" s="5">
        <v>8</v>
      </c>
      <c r="S78" s="6">
        <f t="shared" si="14"/>
        <v>0.9397235458590949</v>
      </c>
      <c r="T78" s="8">
        <f t="shared" si="15"/>
        <v>17594.028880000002</v>
      </c>
      <c r="U78" s="8">
        <f t="shared" si="16"/>
        <v>10157.200000000001</v>
      </c>
      <c r="V78" s="9">
        <f t="shared" si="17"/>
        <v>7436.8288800000009</v>
      </c>
      <c r="W78" s="6">
        <f t="shared" si="18"/>
        <v>0.42269050089225502</v>
      </c>
      <c r="X78" t="str" cm="1">
        <f t="array" ref="X78">_xlfn.IFS(S78&lt;=25%, "Low", S78&lt;=75%, "Medium", S78&gt;75%, "High")</f>
        <v>High</v>
      </c>
      <c r="Y78" s="8">
        <f>Table1[[#This Row],[Quantity]]*(Table1[[#This Row],[UnitPrice]]*(1-Table1[[#This Row],[DiscountPct]]))</f>
        <v>17594.028880000002</v>
      </c>
      <c r="Z78" s="9">
        <f t="shared" si="19"/>
        <v>7436.8288800000009</v>
      </c>
      <c r="AA78">
        <f>COUNTIF($G$2:G79,G78)</f>
        <v>6</v>
      </c>
      <c r="AB78" s="21">
        <f t="shared" si="20"/>
        <v>44988</v>
      </c>
      <c r="AC78" s="21">
        <f t="shared" si="21"/>
        <v>45016</v>
      </c>
      <c r="AD78" s="5">
        <f>(Table1[[#This Row],[OrderDate]]-Table1[[#This Row],[Date of first order]])/30</f>
        <v>2.1</v>
      </c>
      <c r="AE78" t="str">
        <f t="shared" si="22"/>
        <v>Good</v>
      </c>
      <c r="AF78">
        <f>COUNTIF(AE$2:AE79,AE78)</f>
        <v>25</v>
      </c>
      <c r="AG78" t="str">
        <f t="shared" si="23"/>
        <v>False</v>
      </c>
      <c r="AH78" s="7">
        <f>Table1[[#This Row],[UnitPrice]]*(1-Table1[[#This Row],[Disc Scenario]])*Table1[[#This Row],[Quantity]]</f>
        <v>17594.028880000002</v>
      </c>
      <c r="AI78">
        <f>ROUNDDOWN((Table1[[#This Row],[Quantity]]*(1+20%)),0)</f>
        <v>9</v>
      </c>
      <c r="AJ78" s="7">
        <f>Table1[[#This Row],[Quantity increase by 20%]]*Table1[[#This Row],[UnitPrice]]</f>
        <v>22164.93</v>
      </c>
      <c r="AK78">
        <f>ROUNDDOWN(Table1[[#This Row],[Quantity]]*(1+20%),0)</f>
        <v>9</v>
      </c>
      <c r="AL78" s="7">
        <f>Table1[[#This Row],[UnitCost]]*(1+15%)</f>
        <v>1460.0975000000001</v>
      </c>
      <c r="AM78" s="9">
        <f>Table1[[#This Row],[Quantity]]*Table1[[#This Row],[Cost of unit by inflation 15%]]</f>
        <v>11680.78</v>
      </c>
      <c r="AN78" s="21" cm="1">
        <f t="array" ref="AN78">_xlfn.UNIQUE(AC78)</f>
        <v>45016</v>
      </c>
    </row>
    <row r="79" spans="1:40" x14ac:dyDescent="0.35">
      <c r="A79" t="s">
        <v>329</v>
      </c>
      <c r="B79" s="21">
        <v>45052</v>
      </c>
      <c r="C79" s="10">
        <v>45060</v>
      </c>
      <c r="D79" s="3">
        <f t="shared" si="12"/>
        <v>8</v>
      </c>
      <c r="E79" s="10" t="str">
        <f t="shared" si="13"/>
        <v>Q2-2023</v>
      </c>
      <c r="F79" t="s">
        <v>646</v>
      </c>
      <c r="G79" t="s">
        <v>651</v>
      </c>
      <c r="H79" t="s">
        <v>665</v>
      </c>
      <c r="I79" t="s">
        <v>705</v>
      </c>
      <c r="J79" t="s">
        <v>708</v>
      </c>
      <c r="K79" t="s">
        <v>716</v>
      </c>
      <c r="L79" t="s">
        <v>729</v>
      </c>
      <c r="M79" t="s">
        <v>1047</v>
      </c>
      <c r="N79" s="3">
        <v>291.18</v>
      </c>
      <c r="O79" s="3">
        <v>479.54</v>
      </c>
      <c r="P79" s="6">
        <v>0.14099999999999999</v>
      </c>
      <c r="Q79" s="6">
        <f>IF(Table1[[#This Row],[DiscountPct]]&gt;25%,25%,Table1[[#This Row],[DiscountPct]])</f>
        <v>0.14099999999999999</v>
      </c>
      <c r="R79" s="5">
        <v>22</v>
      </c>
      <c r="S79" s="6">
        <f t="shared" si="14"/>
        <v>0.64688508826155644</v>
      </c>
      <c r="T79" s="8">
        <f t="shared" si="15"/>
        <v>9062.34692</v>
      </c>
      <c r="U79" s="8">
        <f t="shared" si="16"/>
        <v>6405.96</v>
      </c>
      <c r="V79" s="9">
        <f t="shared" si="17"/>
        <v>2656.3869199999999</v>
      </c>
      <c r="W79" s="6">
        <f t="shared" si="18"/>
        <v>0.29312350801066001</v>
      </c>
      <c r="X79" t="str" cm="1">
        <f t="array" ref="X79">_xlfn.IFS(S79&lt;=25%, "Low", S79&lt;=75%, "Medium", S79&gt;75%, "High")</f>
        <v>Medium</v>
      </c>
      <c r="Y79" s="8">
        <f>Table1[[#This Row],[Quantity]]*(Table1[[#This Row],[UnitPrice]]*(1-Table1[[#This Row],[DiscountPct]]))</f>
        <v>9062.34692</v>
      </c>
      <c r="Z79" s="9">
        <f t="shared" si="19"/>
        <v>2656.3869199999999</v>
      </c>
      <c r="AA79">
        <f>COUNTIF($G$2:G80,G79)</f>
        <v>5</v>
      </c>
      <c r="AB79" s="21">
        <f t="shared" si="20"/>
        <v>44988</v>
      </c>
      <c r="AC79" s="21">
        <f t="shared" si="21"/>
        <v>45016</v>
      </c>
      <c r="AD79" s="5">
        <f>(Table1[[#This Row],[OrderDate]]-Table1[[#This Row],[Date of first order]])/30</f>
        <v>2.1333333333333333</v>
      </c>
      <c r="AE79" t="str">
        <f t="shared" si="22"/>
        <v>Poor</v>
      </c>
      <c r="AF79">
        <f>COUNTIF(AE$2:AE80,AE79)</f>
        <v>54</v>
      </c>
      <c r="AG79" t="str">
        <f t="shared" si="23"/>
        <v>False</v>
      </c>
      <c r="AH79" s="7">
        <f>Table1[[#This Row],[UnitPrice]]*(1-Table1[[#This Row],[Disc Scenario]])*Table1[[#This Row],[Quantity]]</f>
        <v>9062.34692</v>
      </c>
      <c r="AI79">
        <f>ROUNDDOWN((Table1[[#This Row],[Quantity]]*(1+20%)),0)</f>
        <v>26</v>
      </c>
      <c r="AJ79" s="7">
        <f>Table1[[#This Row],[Quantity increase by 20%]]*Table1[[#This Row],[UnitPrice]]</f>
        <v>12468.04</v>
      </c>
      <c r="AK79">
        <f>ROUNDDOWN(Table1[[#This Row],[Quantity]]*(1+20%),0)</f>
        <v>26</v>
      </c>
      <c r="AL79" s="7">
        <f>Table1[[#This Row],[UnitCost]]*(1+15%)</f>
        <v>334.85699999999997</v>
      </c>
      <c r="AM79" s="9">
        <f>Table1[[#This Row],[Quantity]]*Table1[[#This Row],[Cost of unit by inflation 15%]]</f>
        <v>7366.8539999999994</v>
      </c>
      <c r="AN79" s="21" cm="1">
        <f t="array" ref="AN79">_xlfn.UNIQUE(AC79)</f>
        <v>45016</v>
      </c>
    </row>
    <row r="80" spans="1:40" x14ac:dyDescent="0.35">
      <c r="A80" t="s">
        <v>569</v>
      </c>
      <c r="B80" s="21">
        <v>45053</v>
      </c>
      <c r="C80" s="10">
        <v>45066</v>
      </c>
      <c r="D80" s="3">
        <f t="shared" si="12"/>
        <v>13</v>
      </c>
      <c r="E80" s="10" t="str">
        <f t="shared" si="13"/>
        <v>Q2-2023</v>
      </c>
      <c r="F80" t="s">
        <v>646</v>
      </c>
      <c r="G80" t="s">
        <v>653</v>
      </c>
      <c r="H80" t="s">
        <v>690</v>
      </c>
      <c r="I80" t="s">
        <v>705</v>
      </c>
      <c r="J80" t="s">
        <v>706</v>
      </c>
      <c r="K80" t="s">
        <v>725</v>
      </c>
      <c r="L80" t="s">
        <v>732</v>
      </c>
      <c r="M80" t="s">
        <v>1285</v>
      </c>
      <c r="N80" s="3">
        <v>1443.28</v>
      </c>
      <c r="O80" s="3">
        <v>2580.5700000000002</v>
      </c>
      <c r="P80" s="6">
        <v>0</v>
      </c>
      <c r="Q80" s="6">
        <f>IF(Table1[[#This Row],[DiscountPct]]&gt;25%,25%,Table1[[#This Row],[DiscountPct]])</f>
        <v>0</v>
      </c>
      <c r="R80" s="5">
        <v>18</v>
      </c>
      <c r="S80" s="6">
        <f t="shared" si="14"/>
        <v>0.78798985643811337</v>
      </c>
      <c r="T80" s="8">
        <f t="shared" si="15"/>
        <v>46450.26</v>
      </c>
      <c r="U80" s="8">
        <f t="shared" si="16"/>
        <v>25979.040000000001</v>
      </c>
      <c r="V80" s="9">
        <f t="shared" si="17"/>
        <v>20471.22</v>
      </c>
      <c r="W80" s="6">
        <f t="shared" si="18"/>
        <v>0.4407127107577008</v>
      </c>
      <c r="X80" t="str" cm="1">
        <f t="array" ref="X80">_xlfn.IFS(S80&lt;=25%, "Low", S80&lt;=75%, "Medium", S80&gt;75%, "High")</f>
        <v>High</v>
      </c>
      <c r="Y80" s="8">
        <f>Table1[[#This Row],[Quantity]]*(Table1[[#This Row],[UnitPrice]]*(1-Table1[[#This Row],[DiscountPct]]))</f>
        <v>46450.26</v>
      </c>
      <c r="Z80" s="9">
        <f t="shared" si="19"/>
        <v>20471.22</v>
      </c>
      <c r="AA80">
        <f>COUNTIF($G$2:G81,G80)</f>
        <v>6</v>
      </c>
      <c r="AB80" s="21">
        <f t="shared" si="20"/>
        <v>44988</v>
      </c>
      <c r="AC80" s="21">
        <f t="shared" si="21"/>
        <v>45016</v>
      </c>
      <c r="AD80" s="5">
        <f>(Table1[[#This Row],[OrderDate]]-Table1[[#This Row],[Date of first order]])/30</f>
        <v>2.1666666666666665</v>
      </c>
      <c r="AE80" t="str">
        <f t="shared" si="22"/>
        <v>Poor</v>
      </c>
      <c r="AF80">
        <f>COUNTIF(AE$2:AE81,AE80)</f>
        <v>55</v>
      </c>
      <c r="AG80" t="str">
        <f t="shared" si="23"/>
        <v>False</v>
      </c>
      <c r="AH80" s="7">
        <f>Table1[[#This Row],[UnitPrice]]*(1-Table1[[#This Row],[Disc Scenario]])*Table1[[#This Row],[Quantity]]</f>
        <v>46450.26</v>
      </c>
      <c r="AI80">
        <f>ROUNDDOWN((Table1[[#This Row],[Quantity]]*(1+20%)),0)</f>
        <v>21</v>
      </c>
      <c r="AJ80" s="7">
        <f>Table1[[#This Row],[Quantity increase by 20%]]*Table1[[#This Row],[UnitPrice]]</f>
        <v>54191.97</v>
      </c>
      <c r="AK80">
        <f>ROUNDDOWN(Table1[[#This Row],[Quantity]]*(1+20%),0)</f>
        <v>21</v>
      </c>
      <c r="AL80" s="7">
        <f>Table1[[#This Row],[UnitCost]]*(1+15%)</f>
        <v>1659.7719999999999</v>
      </c>
      <c r="AM80" s="9">
        <f>Table1[[#This Row],[Quantity]]*Table1[[#This Row],[Cost of unit by inflation 15%]]</f>
        <v>29875.896000000001</v>
      </c>
      <c r="AN80" s="21" cm="1">
        <f t="array" ref="AN80">_xlfn.UNIQUE(AC80)</f>
        <v>45016</v>
      </c>
    </row>
    <row r="81" spans="1:40" x14ac:dyDescent="0.35">
      <c r="A81" t="s">
        <v>338</v>
      </c>
      <c r="B81" s="21">
        <v>45053</v>
      </c>
      <c r="C81" s="10">
        <v>45075</v>
      </c>
      <c r="D81" s="3">
        <f t="shared" si="12"/>
        <v>22</v>
      </c>
      <c r="E81" s="10" t="str">
        <f t="shared" si="13"/>
        <v>Q2-2023</v>
      </c>
      <c r="F81" t="s">
        <v>645</v>
      </c>
      <c r="G81" t="s">
        <v>660</v>
      </c>
      <c r="H81" t="s">
        <v>686</v>
      </c>
      <c r="I81" t="s">
        <v>701</v>
      </c>
      <c r="J81" t="s">
        <v>709</v>
      </c>
      <c r="K81" t="s">
        <v>722</v>
      </c>
      <c r="L81" t="s">
        <v>732</v>
      </c>
      <c r="M81" t="s">
        <v>1056</v>
      </c>
      <c r="N81" s="3">
        <v>653.86</v>
      </c>
      <c r="O81" s="3">
        <v>931.84</v>
      </c>
      <c r="P81" s="6">
        <v>0.121</v>
      </c>
      <c r="Q81" s="6">
        <f>IF(Table1[[#This Row],[DiscountPct]]&gt;25%,25%,Table1[[#This Row],[DiscountPct]])</f>
        <v>0.121</v>
      </c>
      <c r="R81" s="5">
        <v>12</v>
      </c>
      <c r="S81" s="6">
        <f t="shared" si="14"/>
        <v>0.42513687945431744</v>
      </c>
      <c r="T81" s="8">
        <f t="shared" si="15"/>
        <v>9829.0483199999999</v>
      </c>
      <c r="U81" s="8">
        <f t="shared" si="16"/>
        <v>7846.32</v>
      </c>
      <c r="V81" s="9">
        <f t="shared" si="17"/>
        <v>1982.7283200000002</v>
      </c>
      <c r="W81" s="6">
        <f t="shared" si="18"/>
        <v>0.20172129136506273</v>
      </c>
      <c r="X81" t="str" cm="1">
        <f t="array" ref="X81">_xlfn.IFS(S81&lt;=25%, "Low", S81&lt;=75%, "Medium", S81&gt;75%, "High")</f>
        <v>Medium</v>
      </c>
      <c r="Y81" s="8">
        <f>Table1[[#This Row],[Quantity]]*(Table1[[#This Row],[UnitPrice]]*(1-Table1[[#This Row],[DiscountPct]]))</f>
        <v>9829.0483199999999</v>
      </c>
      <c r="Z81" s="9">
        <f t="shared" si="19"/>
        <v>1982.7283200000002</v>
      </c>
      <c r="AA81">
        <f>COUNTIF($G$2:G82,G81)</f>
        <v>6</v>
      </c>
      <c r="AB81" s="21">
        <f t="shared" si="20"/>
        <v>44988</v>
      </c>
      <c r="AC81" s="21">
        <f t="shared" si="21"/>
        <v>45016</v>
      </c>
      <c r="AD81" s="5">
        <f>(Table1[[#This Row],[OrderDate]]-Table1[[#This Row],[Date of first order]])/30</f>
        <v>2.1666666666666665</v>
      </c>
      <c r="AE81" t="str">
        <f t="shared" si="22"/>
        <v>Poor</v>
      </c>
      <c r="AF81">
        <f>COUNTIF(AE$2:AE82,AE81)</f>
        <v>56</v>
      </c>
      <c r="AG81" t="str">
        <f t="shared" si="23"/>
        <v>False</v>
      </c>
      <c r="AH81" s="7">
        <f>Table1[[#This Row],[UnitPrice]]*(1-Table1[[#This Row],[Disc Scenario]])*Table1[[#This Row],[Quantity]]</f>
        <v>9829.0483199999999</v>
      </c>
      <c r="AI81">
        <f>ROUNDDOWN((Table1[[#This Row],[Quantity]]*(1+20%)),0)</f>
        <v>14</v>
      </c>
      <c r="AJ81" s="7">
        <f>Table1[[#This Row],[Quantity increase by 20%]]*Table1[[#This Row],[UnitPrice]]</f>
        <v>13045.76</v>
      </c>
      <c r="AK81">
        <f>ROUNDDOWN(Table1[[#This Row],[Quantity]]*(1+20%),0)</f>
        <v>14</v>
      </c>
      <c r="AL81" s="7">
        <f>Table1[[#This Row],[UnitCost]]*(1+15%)</f>
        <v>751.93899999999996</v>
      </c>
      <c r="AM81" s="9">
        <f>Table1[[#This Row],[Quantity]]*Table1[[#This Row],[Cost of unit by inflation 15%]]</f>
        <v>9023.268</v>
      </c>
      <c r="AN81" s="21" cm="1">
        <f t="array" ref="AN81">_xlfn.UNIQUE(AC81)</f>
        <v>45016</v>
      </c>
    </row>
    <row r="82" spans="1:40" x14ac:dyDescent="0.35">
      <c r="A82" t="s">
        <v>534</v>
      </c>
      <c r="B82" s="21">
        <v>45056</v>
      </c>
      <c r="C82" s="10">
        <v>45073</v>
      </c>
      <c r="D82" s="3">
        <f t="shared" si="12"/>
        <v>17</v>
      </c>
      <c r="E82" s="10" t="str">
        <f t="shared" si="13"/>
        <v>Q2-2023</v>
      </c>
      <c r="F82" t="s">
        <v>646</v>
      </c>
      <c r="G82" t="s">
        <v>653</v>
      </c>
      <c r="H82" t="s">
        <v>690</v>
      </c>
      <c r="I82" t="s">
        <v>703</v>
      </c>
      <c r="J82" t="s">
        <v>706</v>
      </c>
      <c r="K82" t="s">
        <v>723</v>
      </c>
      <c r="L82" t="s">
        <v>730</v>
      </c>
      <c r="M82" t="s">
        <v>1251</v>
      </c>
      <c r="N82" s="3">
        <v>1286.1600000000001</v>
      </c>
      <c r="O82" s="3">
        <v>3101.11</v>
      </c>
      <c r="P82" s="6">
        <v>0.1</v>
      </c>
      <c r="Q82" s="6">
        <f>IF(Table1[[#This Row],[DiscountPct]]&gt;25%,25%,Table1[[#This Row],[DiscountPct]])</f>
        <v>0.1</v>
      </c>
      <c r="R82" s="5">
        <v>23</v>
      </c>
      <c r="S82" s="6">
        <f t="shared" si="14"/>
        <v>1.4111385830689804</v>
      </c>
      <c r="T82" s="8">
        <f t="shared" si="15"/>
        <v>64192.976999999999</v>
      </c>
      <c r="U82" s="8">
        <f t="shared" si="16"/>
        <v>29581.68</v>
      </c>
      <c r="V82" s="9">
        <f t="shared" si="17"/>
        <v>34611.296999999999</v>
      </c>
      <c r="W82" s="6">
        <f t="shared" si="18"/>
        <v>0.53917575749758417</v>
      </c>
      <c r="X82" t="str" cm="1">
        <f t="array" ref="X82">_xlfn.IFS(S82&lt;=25%, "Low", S82&lt;=75%, "Medium", S82&gt;75%, "High")</f>
        <v>High</v>
      </c>
      <c r="Y82" s="8">
        <f>Table1[[#This Row],[Quantity]]*(Table1[[#This Row],[UnitPrice]]*(1-Table1[[#This Row],[DiscountPct]]))</f>
        <v>64192.977000000006</v>
      </c>
      <c r="Z82" s="9">
        <f t="shared" si="19"/>
        <v>34611.297000000006</v>
      </c>
      <c r="AA82">
        <f>COUNTIF($G$2:G83,G82)</f>
        <v>8</v>
      </c>
      <c r="AB82" s="21">
        <f t="shared" si="20"/>
        <v>44988</v>
      </c>
      <c r="AC82" s="21">
        <f t="shared" si="21"/>
        <v>45016</v>
      </c>
      <c r="AD82" s="5">
        <f>(Table1[[#This Row],[OrderDate]]-Table1[[#This Row],[Date of first order]])/30</f>
        <v>2.2666666666666666</v>
      </c>
      <c r="AE82" t="str">
        <f t="shared" si="22"/>
        <v>Poor</v>
      </c>
      <c r="AF82">
        <f>COUNTIF(AE$2:AE83,AE82)</f>
        <v>56</v>
      </c>
      <c r="AG82" t="str">
        <f t="shared" si="23"/>
        <v>False</v>
      </c>
      <c r="AH82" s="7">
        <f>Table1[[#This Row],[UnitPrice]]*(1-Table1[[#This Row],[Disc Scenario]])*Table1[[#This Row],[Quantity]]</f>
        <v>64192.977000000006</v>
      </c>
      <c r="AI82">
        <f>ROUNDDOWN((Table1[[#This Row],[Quantity]]*(1+20%)),0)</f>
        <v>27</v>
      </c>
      <c r="AJ82" s="7">
        <f>Table1[[#This Row],[Quantity increase by 20%]]*Table1[[#This Row],[UnitPrice]]</f>
        <v>83729.97</v>
      </c>
      <c r="AK82">
        <f>ROUNDDOWN(Table1[[#This Row],[Quantity]]*(1+20%),0)</f>
        <v>27</v>
      </c>
      <c r="AL82" s="7">
        <f>Table1[[#This Row],[UnitCost]]*(1+15%)</f>
        <v>1479.0840000000001</v>
      </c>
      <c r="AM82" s="9">
        <f>Table1[[#This Row],[Quantity]]*Table1[[#This Row],[Cost of unit by inflation 15%]]</f>
        <v>34018.932000000001</v>
      </c>
      <c r="AN82" s="21" cm="1">
        <f t="array" ref="AN82">_xlfn.UNIQUE(AC82)</f>
        <v>45016</v>
      </c>
    </row>
    <row r="83" spans="1:40" x14ac:dyDescent="0.35">
      <c r="A83" t="s">
        <v>523</v>
      </c>
      <c r="B83" s="21">
        <v>45056</v>
      </c>
      <c r="C83" s="10">
        <v>45060</v>
      </c>
      <c r="D83" s="3">
        <f t="shared" si="12"/>
        <v>4</v>
      </c>
      <c r="E83" s="10" t="str">
        <f t="shared" si="13"/>
        <v>Q2-2023</v>
      </c>
      <c r="F83" t="s">
        <v>646</v>
      </c>
      <c r="G83" t="s">
        <v>653</v>
      </c>
      <c r="H83" t="s">
        <v>679</v>
      </c>
      <c r="I83" t="s">
        <v>702</v>
      </c>
      <c r="J83" t="s">
        <v>709</v>
      </c>
      <c r="K83" t="s">
        <v>711</v>
      </c>
      <c r="L83" t="s">
        <v>731</v>
      </c>
      <c r="M83" t="s">
        <v>1240</v>
      </c>
      <c r="N83" s="3">
        <v>622.6</v>
      </c>
      <c r="O83" s="3">
        <v>833.69</v>
      </c>
      <c r="P83" s="6">
        <v>0.20899999999999999</v>
      </c>
      <c r="Q83" s="6">
        <f>IF(Table1[[#This Row],[DiscountPct]]&gt;25%,25%,Table1[[#This Row],[DiscountPct]])</f>
        <v>0.20899999999999999</v>
      </c>
      <c r="R83" s="5">
        <v>14</v>
      </c>
      <c r="S83" s="6">
        <f t="shared" si="14"/>
        <v>0.33904593639575975</v>
      </c>
      <c r="T83" s="8">
        <f t="shared" si="15"/>
        <v>9232.2830599999998</v>
      </c>
      <c r="U83" s="8">
        <f t="shared" si="16"/>
        <v>8716.4</v>
      </c>
      <c r="V83" s="9">
        <f t="shared" si="17"/>
        <v>515.88306000000011</v>
      </c>
      <c r="W83" s="6">
        <f t="shared" si="18"/>
        <v>5.5878167582959715E-2</v>
      </c>
      <c r="X83" t="str" cm="1">
        <f t="array" ref="X83">_xlfn.IFS(S83&lt;=25%, "Low", S83&lt;=75%, "Medium", S83&gt;75%, "High")</f>
        <v>Medium</v>
      </c>
      <c r="Y83" s="8">
        <f>Table1[[#This Row],[Quantity]]*(Table1[[#This Row],[UnitPrice]]*(1-Table1[[#This Row],[DiscountPct]]))</f>
        <v>9232.2830599999998</v>
      </c>
      <c r="Z83" s="9">
        <f t="shared" si="19"/>
        <v>515.88306000000011</v>
      </c>
      <c r="AA83">
        <f>COUNTIF($G$2:G84,G83)</f>
        <v>8</v>
      </c>
      <c r="AB83" s="21">
        <f t="shared" si="20"/>
        <v>44988</v>
      </c>
      <c r="AC83" s="21">
        <f t="shared" si="21"/>
        <v>45016</v>
      </c>
      <c r="AD83" s="5">
        <f>(Table1[[#This Row],[OrderDate]]-Table1[[#This Row],[Date of first order]])/30</f>
        <v>2.2666666666666666</v>
      </c>
      <c r="AE83" t="str">
        <f t="shared" si="22"/>
        <v>Good</v>
      </c>
      <c r="AF83">
        <f>COUNTIF(AE$2:AE84,AE83)</f>
        <v>26</v>
      </c>
      <c r="AG83" t="str">
        <f t="shared" si="23"/>
        <v>True</v>
      </c>
      <c r="AH83" s="7">
        <f>Table1[[#This Row],[UnitPrice]]*(1-Table1[[#This Row],[Disc Scenario]])*Table1[[#This Row],[Quantity]]</f>
        <v>9232.2830599999998</v>
      </c>
      <c r="AI83">
        <f>ROUNDDOWN((Table1[[#This Row],[Quantity]]*(1+20%)),0)</f>
        <v>16</v>
      </c>
      <c r="AJ83" s="7">
        <f>Table1[[#This Row],[Quantity increase by 20%]]*Table1[[#This Row],[UnitPrice]]</f>
        <v>13339.04</v>
      </c>
      <c r="AK83">
        <f>ROUNDDOWN(Table1[[#This Row],[Quantity]]*(1+20%),0)</f>
        <v>16</v>
      </c>
      <c r="AL83" s="7">
        <f>Table1[[#This Row],[UnitCost]]*(1+15%)</f>
        <v>715.99</v>
      </c>
      <c r="AM83" s="9">
        <f>Table1[[#This Row],[Quantity]]*Table1[[#This Row],[Cost of unit by inflation 15%]]</f>
        <v>10023.86</v>
      </c>
      <c r="AN83" s="21" cm="1">
        <f t="array" ref="AN83">_xlfn.UNIQUE(AC83)</f>
        <v>45016</v>
      </c>
    </row>
    <row r="84" spans="1:40" x14ac:dyDescent="0.35">
      <c r="A84" t="s">
        <v>36</v>
      </c>
      <c r="B84" s="21">
        <v>45057</v>
      </c>
      <c r="C84" s="10">
        <v>45074</v>
      </c>
      <c r="D84" s="3">
        <f t="shared" si="12"/>
        <v>17</v>
      </c>
      <c r="E84" s="10" t="str">
        <f t="shared" si="13"/>
        <v>Q2-2023</v>
      </c>
      <c r="F84" t="s">
        <v>646</v>
      </c>
      <c r="G84" t="s">
        <v>658</v>
      </c>
      <c r="H84" t="s">
        <v>675</v>
      </c>
      <c r="I84" t="s">
        <v>705</v>
      </c>
      <c r="J84" t="s">
        <v>708</v>
      </c>
      <c r="K84" t="s">
        <v>717</v>
      </c>
      <c r="L84" t="s">
        <v>728</v>
      </c>
      <c r="M84" t="s">
        <v>754</v>
      </c>
      <c r="N84" s="3">
        <v>1331.19</v>
      </c>
      <c r="O84" s="3">
        <v>2903.09</v>
      </c>
      <c r="P84" s="6">
        <v>0.14299999999999999</v>
      </c>
      <c r="Q84" s="6">
        <f>IF(Table1[[#This Row],[DiscountPct]]&gt;25%,25%,Table1[[#This Row],[DiscountPct]])</f>
        <v>0.14299999999999999</v>
      </c>
      <c r="R84" s="5">
        <v>8</v>
      </c>
      <c r="S84" s="6">
        <f t="shared" si="14"/>
        <v>1.1808231732510011</v>
      </c>
      <c r="T84" s="8">
        <f t="shared" si="15"/>
        <v>19903.585040000002</v>
      </c>
      <c r="U84" s="8">
        <f t="shared" si="16"/>
        <v>10649.52</v>
      </c>
      <c r="V84" s="9">
        <f t="shared" si="17"/>
        <v>9254.0650400000013</v>
      </c>
      <c r="W84" s="6">
        <f t="shared" si="18"/>
        <v>0.46494463290920784</v>
      </c>
      <c r="X84" t="str" cm="1">
        <f t="array" ref="X84">_xlfn.IFS(S84&lt;=25%, "Low", S84&lt;=75%, "Medium", S84&gt;75%, "High")</f>
        <v>High</v>
      </c>
      <c r="Y84" s="8">
        <f>Table1[[#This Row],[Quantity]]*(Table1[[#This Row],[UnitPrice]]*(1-Table1[[#This Row],[DiscountPct]]))</f>
        <v>19903.585040000002</v>
      </c>
      <c r="Z84" s="9">
        <f t="shared" si="19"/>
        <v>9254.0650400000013</v>
      </c>
      <c r="AA84">
        <f>COUNTIF($G$2:G85,G84)</f>
        <v>7</v>
      </c>
      <c r="AB84" s="21">
        <f t="shared" si="20"/>
        <v>44988</v>
      </c>
      <c r="AC84" s="21">
        <f t="shared" si="21"/>
        <v>45016</v>
      </c>
      <c r="AD84" s="5">
        <f>(Table1[[#This Row],[OrderDate]]-Table1[[#This Row],[Date of first order]])/30</f>
        <v>2.2999999999999998</v>
      </c>
      <c r="AE84" t="str">
        <f t="shared" si="22"/>
        <v>Poor</v>
      </c>
      <c r="AF84">
        <f>COUNTIF(AE$2:AE85,AE84)</f>
        <v>58</v>
      </c>
      <c r="AG84" t="str">
        <f t="shared" si="23"/>
        <v>False</v>
      </c>
      <c r="AH84" s="7">
        <f>Table1[[#This Row],[UnitPrice]]*(1-Table1[[#This Row],[Disc Scenario]])*Table1[[#This Row],[Quantity]]</f>
        <v>19903.585040000002</v>
      </c>
      <c r="AI84">
        <f>ROUNDDOWN((Table1[[#This Row],[Quantity]]*(1+20%)),0)</f>
        <v>9</v>
      </c>
      <c r="AJ84" s="7">
        <f>Table1[[#This Row],[Quantity increase by 20%]]*Table1[[#This Row],[UnitPrice]]</f>
        <v>26127.81</v>
      </c>
      <c r="AK84">
        <f>ROUNDDOWN(Table1[[#This Row],[Quantity]]*(1+20%),0)</f>
        <v>9</v>
      </c>
      <c r="AL84" s="7">
        <f>Table1[[#This Row],[UnitCost]]*(1+15%)</f>
        <v>1530.8685</v>
      </c>
      <c r="AM84" s="9">
        <f>Table1[[#This Row],[Quantity]]*Table1[[#This Row],[Cost of unit by inflation 15%]]</f>
        <v>12246.948</v>
      </c>
      <c r="AN84" s="21" cm="1">
        <f t="array" ref="AN84">_xlfn.UNIQUE(AC84)</f>
        <v>45016</v>
      </c>
    </row>
    <row r="85" spans="1:40" x14ac:dyDescent="0.35">
      <c r="A85" t="s">
        <v>121</v>
      </c>
      <c r="B85" s="21">
        <v>45057</v>
      </c>
      <c r="C85" s="10">
        <v>45084</v>
      </c>
      <c r="D85" s="3">
        <f t="shared" si="12"/>
        <v>27</v>
      </c>
      <c r="E85" s="10" t="str">
        <f t="shared" si="13"/>
        <v>Q2-2023</v>
      </c>
      <c r="F85" t="s">
        <v>645</v>
      </c>
      <c r="G85" t="s">
        <v>649</v>
      </c>
      <c r="H85" t="s">
        <v>674</v>
      </c>
      <c r="I85" t="s">
        <v>700</v>
      </c>
      <c r="J85" t="s">
        <v>707</v>
      </c>
      <c r="K85" t="s">
        <v>712</v>
      </c>
      <c r="L85" t="s">
        <v>729</v>
      </c>
      <c r="M85" t="s">
        <v>839</v>
      </c>
      <c r="N85" s="3">
        <v>12.85</v>
      </c>
      <c r="O85" s="3">
        <v>15.41</v>
      </c>
      <c r="P85" s="6">
        <v>0.13700000000000001</v>
      </c>
      <c r="Q85" s="6">
        <f>IF(Table1[[#This Row],[DiscountPct]]&gt;25%,25%,Table1[[#This Row],[DiscountPct]])</f>
        <v>0.13700000000000001</v>
      </c>
      <c r="R85" s="5">
        <v>39</v>
      </c>
      <c r="S85" s="6">
        <f t="shared" si="14"/>
        <v>0.19922178988326852</v>
      </c>
      <c r="T85" s="8">
        <f t="shared" si="15"/>
        <v>518.65436999999997</v>
      </c>
      <c r="U85" s="8">
        <f t="shared" si="16"/>
        <v>501.15</v>
      </c>
      <c r="V85" s="9">
        <f t="shared" si="17"/>
        <v>17.504369999999994</v>
      </c>
      <c r="W85" s="6">
        <f t="shared" si="18"/>
        <v>3.3749585489851353E-2</v>
      </c>
      <c r="X85" t="str" cm="1">
        <f t="array" ref="X85">_xlfn.IFS(S85&lt;=25%, "Low", S85&lt;=75%, "Medium", S85&gt;75%, "High")</f>
        <v>Low</v>
      </c>
      <c r="Y85" s="8">
        <f>Table1[[#This Row],[Quantity]]*(Table1[[#This Row],[UnitPrice]]*(1-Table1[[#This Row],[DiscountPct]]))</f>
        <v>518.65436999999997</v>
      </c>
      <c r="Z85" s="9">
        <f t="shared" si="19"/>
        <v>17.504369999999994</v>
      </c>
      <c r="AA85">
        <f>COUNTIF($G$2:G86,G85)</f>
        <v>11</v>
      </c>
      <c r="AB85" s="21">
        <f t="shared" si="20"/>
        <v>44988</v>
      </c>
      <c r="AC85" s="21">
        <f t="shared" si="21"/>
        <v>45016</v>
      </c>
      <c r="AD85" s="5">
        <f>(Table1[[#This Row],[OrderDate]]-Table1[[#This Row],[Date of first order]])/30</f>
        <v>2.2999999999999998</v>
      </c>
      <c r="AE85" t="str">
        <f t="shared" si="22"/>
        <v>Poor</v>
      </c>
      <c r="AF85">
        <f>COUNTIF(AE$2:AE86,AE85)</f>
        <v>59</v>
      </c>
      <c r="AG85" t="str">
        <f t="shared" si="23"/>
        <v>False</v>
      </c>
      <c r="AH85" s="7">
        <f>Table1[[#This Row],[UnitPrice]]*(1-Table1[[#This Row],[Disc Scenario]])*Table1[[#This Row],[Quantity]]</f>
        <v>518.65436999999997</v>
      </c>
      <c r="AI85">
        <f>ROUNDDOWN((Table1[[#This Row],[Quantity]]*(1+20%)),0)</f>
        <v>46</v>
      </c>
      <c r="AJ85" s="7">
        <f>Table1[[#This Row],[Quantity increase by 20%]]*Table1[[#This Row],[UnitPrice]]</f>
        <v>708.86</v>
      </c>
      <c r="AK85">
        <f>ROUNDDOWN(Table1[[#This Row],[Quantity]]*(1+20%),0)</f>
        <v>46</v>
      </c>
      <c r="AL85" s="7">
        <f>Table1[[#This Row],[UnitCost]]*(1+15%)</f>
        <v>14.777499999999998</v>
      </c>
      <c r="AM85" s="9">
        <f>Table1[[#This Row],[Quantity]]*Table1[[#This Row],[Cost of unit by inflation 15%]]</f>
        <v>576.32249999999988</v>
      </c>
      <c r="AN85" s="21" cm="1">
        <f t="array" ref="AN85">_xlfn.UNIQUE(AC85)</f>
        <v>45016</v>
      </c>
    </row>
    <row r="86" spans="1:40" x14ac:dyDescent="0.35">
      <c r="A86" t="s">
        <v>483</v>
      </c>
      <c r="B86" s="21">
        <v>45060</v>
      </c>
      <c r="C86" s="10">
        <v>45068</v>
      </c>
      <c r="D86" s="3">
        <f t="shared" si="12"/>
        <v>8</v>
      </c>
      <c r="E86" s="10" t="str">
        <f t="shared" si="13"/>
        <v>Q2-2023</v>
      </c>
      <c r="F86" t="s">
        <v>645</v>
      </c>
      <c r="G86" t="s">
        <v>649</v>
      </c>
      <c r="H86" t="s">
        <v>674</v>
      </c>
      <c r="I86" t="s">
        <v>704</v>
      </c>
      <c r="J86" t="s">
        <v>709</v>
      </c>
      <c r="K86" t="s">
        <v>720</v>
      </c>
      <c r="L86" t="s">
        <v>727</v>
      </c>
      <c r="M86" t="s">
        <v>1200</v>
      </c>
      <c r="N86" s="3">
        <v>432.01</v>
      </c>
      <c r="O86" s="3">
        <v>913.78</v>
      </c>
      <c r="P86" s="6">
        <v>4.9000000000000002E-2</v>
      </c>
      <c r="Q86" s="6">
        <f>IF(Table1[[#This Row],[DiscountPct]]&gt;25%,25%,Table1[[#This Row],[DiscountPct]])</f>
        <v>4.9000000000000002E-2</v>
      </c>
      <c r="R86" s="5">
        <v>12</v>
      </c>
      <c r="S86" s="6">
        <f t="shared" si="14"/>
        <v>1.115182518923173</v>
      </c>
      <c r="T86" s="8">
        <f t="shared" si="15"/>
        <v>10428.057360000001</v>
      </c>
      <c r="U86" s="8">
        <f t="shared" si="16"/>
        <v>5184.12</v>
      </c>
      <c r="V86" s="9">
        <f t="shared" si="17"/>
        <v>5243.9373600000008</v>
      </c>
      <c r="W86" s="6">
        <f t="shared" si="18"/>
        <v>0.50286809699711899</v>
      </c>
      <c r="X86" t="str" cm="1">
        <f t="array" ref="X86">_xlfn.IFS(S86&lt;=25%, "Low", S86&lt;=75%, "Medium", S86&gt;75%, "High")</f>
        <v>High</v>
      </c>
      <c r="Y86" s="8">
        <f>Table1[[#This Row],[Quantity]]*(Table1[[#This Row],[UnitPrice]]*(1-Table1[[#This Row],[DiscountPct]]))</f>
        <v>10428.057359999999</v>
      </c>
      <c r="Z86" s="9">
        <f t="shared" si="19"/>
        <v>5243.937359999999</v>
      </c>
      <c r="AA86">
        <f>COUNTIF($G$2:G87,G86)</f>
        <v>11</v>
      </c>
      <c r="AB86" s="21">
        <f t="shared" si="20"/>
        <v>44988</v>
      </c>
      <c r="AC86" s="21">
        <f t="shared" si="21"/>
        <v>45016</v>
      </c>
      <c r="AD86" s="5">
        <f>(Table1[[#This Row],[OrderDate]]-Table1[[#This Row],[Date of first order]])/30</f>
        <v>2.4</v>
      </c>
      <c r="AE86" t="str">
        <f t="shared" si="22"/>
        <v>Poor</v>
      </c>
      <c r="AF86">
        <f>COUNTIF(AE$2:AE87,AE86)</f>
        <v>60</v>
      </c>
      <c r="AG86" t="str">
        <f t="shared" si="23"/>
        <v>False</v>
      </c>
      <c r="AH86" s="7">
        <f>Table1[[#This Row],[UnitPrice]]*(1-Table1[[#This Row],[Disc Scenario]])*Table1[[#This Row],[Quantity]]</f>
        <v>10428.057359999999</v>
      </c>
      <c r="AI86">
        <f>ROUNDDOWN((Table1[[#This Row],[Quantity]]*(1+20%)),0)</f>
        <v>14</v>
      </c>
      <c r="AJ86" s="7">
        <f>Table1[[#This Row],[Quantity increase by 20%]]*Table1[[#This Row],[UnitPrice]]</f>
        <v>12792.92</v>
      </c>
      <c r="AK86">
        <f>ROUNDDOWN(Table1[[#This Row],[Quantity]]*(1+20%),0)</f>
        <v>14</v>
      </c>
      <c r="AL86" s="7">
        <f>Table1[[#This Row],[UnitCost]]*(1+15%)</f>
        <v>496.81149999999997</v>
      </c>
      <c r="AM86" s="9">
        <f>Table1[[#This Row],[Quantity]]*Table1[[#This Row],[Cost of unit by inflation 15%]]</f>
        <v>5961.7379999999994</v>
      </c>
      <c r="AN86" s="21" cm="1">
        <f t="array" ref="AN86">_xlfn.UNIQUE(AC86)</f>
        <v>45016</v>
      </c>
    </row>
    <row r="87" spans="1:40" x14ac:dyDescent="0.35">
      <c r="A87" t="s">
        <v>453</v>
      </c>
      <c r="B87" s="21">
        <v>45063</v>
      </c>
      <c r="C87" s="10">
        <v>45080</v>
      </c>
      <c r="D87" s="3">
        <f t="shared" si="12"/>
        <v>17</v>
      </c>
      <c r="E87" s="10" t="str">
        <f t="shared" si="13"/>
        <v>Q2-2023</v>
      </c>
      <c r="F87" t="s">
        <v>646</v>
      </c>
      <c r="G87" t="s">
        <v>658</v>
      </c>
      <c r="H87" t="s">
        <v>698</v>
      </c>
      <c r="I87" t="s">
        <v>702</v>
      </c>
      <c r="J87" t="s">
        <v>709</v>
      </c>
      <c r="K87" t="s">
        <v>723</v>
      </c>
      <c r="L87" t="s">
        <v>727</v>
      </c>
      <c r="M87" t="s">
        <v>1170</v>
      </c>
      <c r="N87" s="3">
        <v>979.59</v>
      </c>
      <c r="O87" s="3">
        <v>2210.94</v>
      </c>
      <c r="P87" s="6">
        <v>0.15</v>
      </c>
      <c r="Q87" s="6">
        <f>IF(Table1[[#This Row],[DiscountPct]]&gt;25%,25%,Table1[[#This Row],[DiscountPct]])</f>
        <v>0.15</v>
      </c>
      <c r="R87" s="5">
        <v>11</v>
      </c>
      <c r="S87" s="6">
        <f t="shared" si="14"/>
        <v>1.2570054818852785</v>
      </c>
      <c r="T87" s="8">
        <f t="shared" si="15"/>
        <v>20672.289000000001</v>
      </c>
      <c r="U87" s="8">
        <f t="shared" si="16"/>
        <v>10775.49</v>
      </c>
      <c r="V87" s="9">
        <f t="shared" si="17"/>
        <v>9896.7990000000009</v>
      </c>
      <c r="W87" s="6">
        <f t="shared" si="18"/>
        <v>0.47874712858358359</v>
      </c>
      <c r="X87" t="str" cm="1">
        <f t="array" ref="X87">_xlfn.IFS(S87&lt;=25%, "Low", S87&lt;=75%, "Medium", S87&gt;75%, "High")</f>
        <v>High</v>
      </c>
      <c r="Y87" s="8">
        <f>Table1[[#This Row],[Quantity]]*(Table1[[#This Row],[UnitPrice]]*(1-Table1[[#This Row],[DiscountPct]]))</f>
        <v>20672.289000000001</v>
      </c>
      <c r="Z87" s="9">
        <f t="shared" si="19"/>
        <v>9896.7990000000009</v>
      </c>
      <c r="AA87">
        <f>COUNTIF($G$2:G88,G87)</f>
        <v>8</v>
      </c>
      <c r="AB87" s="21">
        <f t="shared" si="20"/>
        <v>44988</v>
      </c>
      <c r="AC87" s="21">
        <f t="shared" si="21"/>
        <v>45016</v>
      </c>
      <c r="AD87" s="5">
        <f>(Table1[[#This Row],[OrderDate]]-Table1[[#This Row],[Date of first order]])/30</f>
        <v>2.5</v>
      </c>
      <c r="AE87" t="str">
        <f t="shared" si="22"/>
        <v>Poor</v>
      </c>
      <c r="AF87">
        <f>COUNTIF(AE$2:AE88,AE87)</f>
        <v>61</v>
      </c>
      <c r="AG87" t="str">
        <f t="shared" si="23"/>
        <v>False</v>
      </c>
      <c r="AH87" s="7">
        <f>Table1[[#This Row],[UnitPrice]]*(1-Table1[[#This Row],[Disc Scenario]])*Table1[[#This Row],[Quantity]]</f>
        <v>20672.289000000001</v>
      </c>
      <c r="AI87">
        <f>ROUNDDOWN((Table1[[#This Row],[Quantity]]*(1+20%)),0)</f>
        <v>13</v>
      </c>
      <c r="AJ87" s="7">
        <f>Table1[[#This Row],[Quantity increase by 20%]]*Table1[[#This Row],[UnitPrice]]</f>
        <v>28742.22</v>
      </c>
      <c r="AK87">
        <f>ROUNDDOWN(Table1[[#This Row],[Quantity]]*(1+20%),0)</f>
        <v>13</v>
      </c>
      <c r="AL87" s="7">
        <f>Table1[[#This Row],[UnitCost]]*(1+15%)</f>
        <v>1126.5284999999999</v>
      </c>
      <c r="AM87" s="9">
        <f>Table1[[#This Row],[Quantity]]*Table1[[#This Row],[Cost of unit by inflation 15%]]</f>
        <v>12391.813499999998</v>
      </c>
      <c r="AN87" s="21" cm="1">
        <f t="array" ref="AN87">_xlfn.UNIQUE(AC87)</f>
        <v>45016</v>
      </c>
    </row>
    <row r="88" spans="1:40" x14ac:dyDescent="0.35">
      <c r="A88" t="s">
        <v>474</v>
      </c>
      <c r="B88" s="21">
        <v>45063</v>
      </c>
      <c r="C88" s="10">
        <v>45092</v>
      </c>
      <c r="D88" s="3">
        <f t="shared" si="12"/>
        <v>29</v>
      </c>
      <c r="E88" s="10" t="str">
        <f t="shared" si="13"/>
        <v>Q2-2023</v>
      </c>
      <c r="F88" t="s">
        <v>645</v>
      </c>
      <c r="G88" t="s">
        <v>660</v>
      </c>
      <c r="H88" t="s">
        <v>686</v>
      </c>
      <c r="I88" t="s">
        <v>705</v>
      </c>
      <c r="J88" t="s">
        <v>706</v>
      </c>
      <c r="K88" t="s">
        <v>722</v>
      </c>
      <c r="L88" t="s">
        <v>732</v>
      </c>
      <c r="M88" t="s">
        <v>1191</v>
      </c>
      <c r="N88" s="3">
        <v>40.89</v>
      </c>
      <c r="O88" s="3">
        <v>62.82</v>
      </c>
      <c r="P88" s="6">
        <v>0.129</v>
      </c>
      <c r="Q88" s="6">
        <f>IF(Table1[[#This Row],[DiscountPct]]&gt;25%,25%,Table1[[#This Row],[DiscountPct]])</f>
        <v>0.129</v>
      </c>
      <c r="R88" s="5">
        <v>17</v>
      </c>
      <c r="S88" s="6">
        <f t="shared" si="14"/>
        <v>0.53631694790902418</v>
      </c>
      <c r="T88" s="8">
        <f t="shared" si="15"/>
        <v>930.17574000000002</v>
      </c>
      <c r="U88" s="8">
        <f t="shared" si="16"/>
        <v>695.13</v>
      </c>
      <c r="V88" s="9">
        <f t="shared" si="17"/>
        <v>235.04574000000002</v>
      </c>
      <c r="W88" s="6">
        <f t="shared" si="18"/>
        <v>0.25268960465470752</v>
      </c>
      <c r="X88" t="str" cm="1">
        <f t="array" ref="X88">_xlfn.IFS(S88&lt;=25%, "Low", S88&lt;=75%, "Medium", S88&gt;75%, "High")</f>
        <v>Medium</v>
      </c>
      <c r="Y88" s="8">
        <f>Table1[[#This Row],[Quantity]]*(Table1[[#This Row],[UnitPrice]]*(1-Table1[[#This Row],[DiscountPct]]))</f>
        <v>930.17574000000002</v>
      </c>
      <c r="Z88" s="9">
        <f t="shared" si="19"/>
        <v>235.04574000000002</v>
      </c>
      <c r="AA88">
        <f>COUNTIF($G$2:G89,G88)</f>
        <v>8</v>
      </c>
      <c r="AB88" s="21">
        <f t="shared" si="20"/>
        <v>44988</v>
      </c>
      <c r="AC88" s="21">
        <f t="shared" si="21"/>
        <v>45016</v>
      </c>
      <c r="AD88" s="5">
        <f>(Table1[[#This Row],[OrderDate]]-Table1[[#This Row],[Date of first order]])/30</f>
        <v>2.5</v>
      </c>
      <c r="AE88" t="str">
        <f t="shared" si="22"/>
        <v>Poor</v>
      </c>
      <c r="AF88">
        <f>COUNTIF(AE$2:AE89,AE88)</f>
        <v>61</v>
      </c>
      <c r="AG88" t="str">
        <f t="shared" si="23"/>
        <v>False</v>
      </c>
      <c r="AH88" s="7">
        <f>Table1[[#This Row],[UnitPrice]]*(1-Table1[[#This Row],[Disc Scenario]])*Table1[[#This Row],[Quantity]]</f>
        <v>930.17574000000002</v>
      </c>
      <c r="AI88">
        <f>ROUNDDOWN((Table1[[#This Row],[Quantity]]*(1+20%)),0)</f>
        <v>20</v>
      </c>
      <c r="AJ88" s="7">
        <f>Table1[[#This Row],[Quantity increase by 20%]]*Table1[[#This Row],[UnitPrice]]</f>
        <v>1256.4000000000001</v>
      </c>
      <c r="AK88">
        <f>ROUNDDOWN(Table1[[#This Row],[Quantity]]*(1+20%),0)</f>
        <v>20</v>
      </c>
      <c r="AL88" s="7">
        <f>Table1[[#This Row],[UnitCost]]*(1+15%)</f>
        <v>47.023499999999999</v>
      </c>
      <c r="AM88" s="9">
        <f>Table1[[#This Row],[Quantity]]*Table1[[#This Row],[Cost of unit by inflation 15%]]</f>
        <v>799.39949999999999</v>
      </c>
      <c r="AN88" s="21" cm="1">
        <f t="array" ref="AN88">_xlfn.UNIQUE(AC88)</f>
        <v>45016</v>
      </c>
    </row>
    <row r="89" spans="1:40" x14ac:dyDescent="0.35">
      <c r="A89" t="s">
        <v>89</v>
      </c>
      <c r="B89" s="21">
        <v>45064</v>
      </c>
      <c r="C89" s="10">
        <v>45066</v>
      </c>
      <c r="D89" s="3">
        <f t="shared" si="12"/>
        <v>2</v>
      </c>
      <c r="E89" s="10" t="str">
        <f t="shared" si="13"/>
        <v>Q2-2023</v>
      </c>
      <c r="F89" t="s">
        <v>645</v>
      </c>
      <c r="G89" t="s">
        <v>660</v>
      </c>
      <c r="H89" t="s">
        <v>686</v>
      </c>
      <c r="I89" t="s">
        <v>700</v>
      </c>
      <c r="J89" t="s">
        <v>709</v>
      </c>
      <c r="K89" t="s">
        <v>719</v>
      </c>
      <c r="L89" t="s">
        <v>726</v>
      </c>
      <c r="M89" t="s">
        <v>807</v>
      </c>
      <c r="N89" s="3">
        <v>917.88</v>
      </c>
      <c r="O89" s="3">
        <v>1347.92</v>
      </c>
      <c r="P89" s="6">
        <v>0.12</v>
      </c>
      <c r="Q89" s="6">
        <f>IF(Table1[[#This Row],[DiscountPct]]&gt;25%,25%,Table1[[#This Row],[DiscountPct]])</f>
        <v>0.12</v>
      </c>
      <c r="R89" s="5">
        <v>5</v>
      </c>
      <c r="S89" s="6">
        <f t="shared" si="14"/>
        <v>0.46851440275417272</v>
      </c>
      <c r="T89" s="8">
        <f t="shared" si="15"/>
        <v>5930.848</v>
      </c>
      <c r="U89" s="8">
        <f t="shared" si="16"/>
        <v>4589.3999999999996</v>
      </c>
      <c r="V89" s="9">
        <f t="shared" si="17"/>
        <v>1341.4480000000003</v>
      </c>
      <c r="W89" s="6">
        <f t="shared" si="18"/>
        <v>0.22618148365967233</v>
      </c>
      <c r="X89" t="str" cm="1">
        <f t="array" ref="X89">_xlfn.IFS(S89&lt;=25%, "Low", S89&lt;=75%, "Medium", S89&gt;75%, "High")</f>
        <v>Medium</v>
      </c>
      <c r="Y89" s="8">
        <f>Table1[[#This Row],[Quantity]]*(Table1[[#This Row],[UnitPrice]]*(1-Table1[[#This Row],[DiscountPct]]))</f>
        <v>5930.8480000000009</v>
      </c>
      <c r="Z89" s="9">
        <f t="shared" si="19"/>
        <v>1341.4480000000012</v>
      </c>
      <c r="AA89">
        <f>COUNTIF($G$2:G90,G89)</f>
        <v>8</v>
      </c>
      <c r="AB89" s="21">
        <f t="shared" si="20"/>
        <v>44988</v>
      </c>
      <c r="AC89" s="21">
        <f t="shared" si="21"/>
        <v>45016</v>
      </c>
      <c r="AD89" s="5">
        <f>(Table1[[#This Row],[OrderDate]]-Table1[[#This Row],[Date of first order]])/30</f>
        <v>2.5333333333333332</v>
      </c>
      <c r="AE89" t="str">
        <f t="shared" si="22"/>
        <v>Good</v>
      </c>
      <c r="AF89">
        <f>COUNTIF(AE$2:AE90,AE89)</f>
        <v>27</v>
      </c>
      <c r="AG89" t="str">
        <f t="shared" si="23"/>
        <v>False</v>
      </c>
      <c r="AH89" s="7">
        <f>Table1[[#This Row],[UnitPrice]]*(1-Table1[[#This Row],[Disc Scenario]])*Table1[[#This Row],[Quantity]]</f>
        <v>5930.8480000000009</v>
      </c>
      <c r="AI89">
        <f>ROUNDDOWN((Table1[[#This Row],[Quantity]]*(1+20%)),0)</f>
        <v>6</v>
      </c>
      <c r="AJ89" s="7">
        <f>Table1[[#This Row],[Quantity increase by 20%]]*Table1[[#This Row],[UnitPrice]]</f>
        <v>8087.52</v>
      </c>
      <c r="AK89">
        <f>ROUNDDOWN(Table1[[#This Row],[Quantity]]*(1+20%),0)</f>
        <v>6</v>
      </c>
      <c r="AL89" s="7">
        <f>Table1[[#This Row],[UnitCost]]*(1+15%)</f>
        <v>1055.5619999999999</v>
      </c>
      <c r="AM89" s="9">
        <f>Table1[[#This Row],[Quantity]]*Table1[[#This Row],[Cost of unit by inflation 15%]]</f>
        <v>5277.8099999999995</v>
      </c>
      <c r="AN89" s="21" cm="1">
        <f t="array" ref="AN89">_xlfn.UNIQUE(AC89)</f>
        <v>45016</v>
      </c>
    </row>
    <row r="90" spans="1:40" x14ac:dyDescent="0.35">
      <c r="A90" t="s">
        <v>398</v>
      </c>
      <c r="B90" s="21">
        <v>45066</v>
      </c>
      <c r="C90" s="10">
        <v>45096</v>
      </c>
      <c r="D90" s="3">
        <f t="shared" si="12"/>
        <v>30</v>
      </c>
      <c r="E90" s="10" t="str">
        <f t="shared" si="13"/>
        <v>Q2-2023</v>
      </c>
      <c r="F90" t="s">
        <v>646</v>
      </c>
      <c r="G90" t="s">
        <v>653</v>
      </c>
      <c r="H90" t="s">
        <v>679</v>
      </c>
      <c r="I90" t="s">
        <v>702</v>
      </c>
      <c r="J90" t="s">
        <v>708</v>
      </c>
      <c r="K90" t="s">
        <v>721</v>
      </c>
      <c r="L90" t="s">
        <v>730</v>
      </c>
      <c r="M90" t="s">
        <v>1115</v>
      </c>
      <c r="N90" s="3">
        <v>1161.2</v>
      </c>
      <c r="O90" s="3">
        <v>2275.9520000000002</v>
      </c>
      <c r="P90" s="6">
        <v>0.19</v>
      </c>
      <c r="Q90" s="6">
        <f>IF(Table1[[#This Row],[DiscountPct]]&gt;25%,25%,Table1[[#This Row],[DiscountPct]])</f>
        <v>0.19</v>
      </c>
      <c r="R90" s="5">
        <v>31</v>
      </c>
      <c r="S90" s="6">
        <f t="shared" si="14"/>
        <v>0.96000000000000008</v>
      </c>
      <c r="T90" s="8">
        <f t="shared" si="15"/>
        <v>57149.154720000006</v>
      </c>
      <c r="U90" s="8">
        <f t="shared" si="16"/>
        <v>35997.200000000004</v>
      </c>
      <c r="V90" s="9">
        <f t="shared" si="17"/>
        <v>21151.954720000002</v>
      </c>
      <c r="W90" s="6">
        <f t="shared" si="18"/>
        <v>0.37011841773746534</v>
      </c>
      <c r="X90" t="str" cm="1">
        <f t="array" ref="X90">_xlfn.IFS(S90&lt;=25%, "Low", S90&lt;=75%, "Medium", S90&gt;75%, "High")</f>
        <v>High</v>
      </c>
      <c r="Y90" s="8">
        <f>Table1[[#This Row],[Quantity]]*(Table1[[#This Row],[UnitPrice]]*(1-Table1[[#This Row],[DiscountPct]]))</f>
        <v>57149.154720000013</v>
      </c>
      <c r="Z90" s="9">
        <f t="shared" si="19"/>
        <v>21151.954720000009</v>
      </c>
      <c r="AA90">
        <f>COUNTIF($G$2:G91,G90)</f>
        <v>9</v>
      </c>
      <c r="AB90" s="21">
        <f t="shared" si="20"/>
        <v>44988</v>
      </c>
      <c r="AC90" s="21">
        <f t="shared" si="21"/>
        <v>45016</v>
      </c>
      <c r="AD90" s="5">
        <f>(Table1[[#This Row],[OrderDate]]-Table1[[#This Row],[Date of first order]])/30</f>
        <v>2.6</v>
      </c>
      <c r="AE90" t="str">
        <f t="shared" si="22"/>
        <v>Poor</v>
      </c>
      <c r="AF90">
        <f>COUNTIF(AE$2:AE91,AE90)</f>
        <v>63</v>
      </c>
      <c r="AG90" t="str">
        <f t="shared" si="23"/>
        <v>False</v>
      </c>
      <c r="AH90" s="7">
        <f>Table1[[#This Row],[UnitPrice]]*(1-Table1[[#This Row],[Disc Scenario]])*Table1[[#This Row],[Quantity]]</f>
        <v>57149.154720000013</v>
      </c>
      <c r="AI90">
        <f>ROUNDDOWN((Table1[[#This Row],[Quantity]]*(1+20%)),0)</f>
        <v>37</v>
      </c>
      <c r="AJ90" s="7">
        <f>Table1[[#This Row],[Quantity increase by 20%]]*Table1[[#This Row],[UnitPrice]]</f>
        <v>84210.224000000002</v>
      </c>
      <c r="AK90">
        <f>ROUNDDOWN(Table1[[#This Row],[Quantity]]*(1+20%),0)</f>
        <v>37</v>
      </c>
      <c r="AL90" s="7">
        <f>Table1[[#This Row],[UnitCost]]*(1+15%)</f>
        <v>1335.3799999999999</v>
      </c>
      <c r="AM90" s="9">
        <f>Table1[[#This Row],[Quantity]]*Table1[[#This Row],[Cost of unit by inflation 15%]]</f>
        <v>41396.78</v>
      </c>
      <c r="AN90" s="21" cm="1">
        <f t="array" ref="AN90">_xlfn.UNIQUE(AC90)</f>
        <v>45016</v>
      </c>
    </row>
    <row r="91" spans="1:40" x14ac:dyDescent="0.35">
      <c r="A91" t="s">
        <v>273</v>
      </c>
      <c r="B91" s="21">
        <v>45066</v>
      </c>
      <c r="C91" s="10">
        <v>45084</v>
      </c>
      <c r="D91" s="3">
        <f t="shared" si="12"/>
        <v>18</v>
      </c>
      <c r="E91" s="10" t="str">
        <f t="shared" si="13"/>
        <v>Q2-2023</v>
      </c>
      <c r="F91" t="s">
        <v>645</v>
      </c>
      <c r="G91" t="s">
        <v>650</v>
      </c>
      <c r="H91" t="s">
        <v>662</v>
      </c>
      <c r="I91" t="s">
        <v>705</v>
      </c>
      <c r="J91" t="s">
        <v>709</v>
      </c>
      <c r="K91" t="s">
        <v>717</v>
      </c>
      <c r="L91" t="s">
        <v>726</v>
      </c>
      <c r="M91" t="s">
        <v>991</v>
      </c>
      <c r="N91" s="3">
        <v>1120.06</v>
      </c>
      <c r="O91" s="3">
        <v>2068.21</v>
      </c>
      <c r="P91" s="6">
        <v>7.8E-2</v>
      </c>
      <c r="Q91" s="6">
        <f>IF(Table1[[#This Row],[DiscountPct]]&gt;25%,25%,Table1[[#This Row],[DiscountPct]])</f>
        <v>7.8E-2</v>
      </c>
      <c r="R91" s="5">
        <v>12</v>
      </c>
      <c r="S91" s="6">
        <f t="shared" si="14"/>
        <v>0.84651715086691792</v>
      </c>
      <c r="T91" s="8">
        <f t="shared" si="15"/>
        <v>22882.675440000003</v>
      </c>
      <c r="U91" s="8">
        <f t="shared" si="16"/>
        <v>13440.72</v>
      </c>
      <c r="V91" s="9">
        <f t="shared" si="17"/>
        <v>9441.9554400000034</v>
      </c>
      <c r="W91" s="6">
        <f t="shared" si="18"/>
        <v>0.41262462795303284</v>
      </c>
      <c r="X91" t="str" cm="1">
        <f t="array" ref="X91">_xlfn.IFS(S91&lt;=25%, "Low", S91&lt;=75%, "Medium", S91&gt;75%, "High")</f>
        <v>High</v>
      </c>
      <c r="Y91" s="8">
        <f>Table1[[#This Row],[Quantity]]*(Table1[[#This Row],[UnitPrice]]*(1-Table1[[#This Row],[DiscountPct]]))</f>
        <v>22882.675440000003</v>
      </c>
      <c r="Z91" s="9">
        <f t="shared" si="19"/>
        <v>9441.9554400000034</v>
      </c>
      <c r="AA91">
        <f>COUNTIF($G$2:G92,G91)</f>
        <v>7</v>
      </c>
      <c r="AB91" s="21">
        <f t="shared" si="20"/>
        <v>44988</v>
      </c>
      <c r="AC91" s="21">
        <f t="shared" si="21"/>
        <v>45016</v>
      </c>
      <c r="AD91" s="5">
        <f>(Table1[[#This Row],[OrderDate]]-Table1[[#This Row],[Date of first order]])/30</f>
        <v>2.6</v>
      </c>
      <c r="AE91" t="str">
        <f t="shared" si="22"/>
        <v>Poor</v>
      </c>
      <c r="AF91">
        <f>COUNTIF(AE$2:AE92,AE91)</f>
        <v>63</v>
      </c>
      <c r="AG91" t="str">
        <f t="shared" si="23"/>
        <v>False</v>
      </c>
      <c r="AH91" s="7">
        <f>Table1[[#This Row],[UnitPrice]]*(1-Table1[[#This Row],[Disc Scenario]])*Table1[[#This Row],[Quantity]]</f>
        <v>22882.675440000003</v>
      </c>
      <c r="AI91">
        <f>ROUNDDOWN((Table1[[#This Row],[Quantity]]*(1+20%)),0)</f>
        <v>14</v>
      </c>
      <c r="AJ91" s="7">
        <f>Table1[[#This Row],[Quantity increase by 20%]]*Table1[[#This Row],[UnitPrice]]</f>
        <v>28954.940000000002</v>
      </c>
      <c r="AK91">
        <f>ROUNDDOWN(Table1[[#This Row],[Quantity]]*(1+20%),0)</f>
        <v>14</v>
      </c>
      <c r="AL91" s="7">
        <f>Table1[[#This Row],[UnitCost]]*(1+15%)</f>
        <v>1288.0689999999997</v>
      </c>
      <c r="AM91" s="9">
        <f>Table1[[#This Row],[Quantity]]*Table1[[#This Row],[Cost of unit by inflation 15%]]</f>
        <v>15456.827999999998</v>
      </c>
      <c r="AN91" s="21" cm="1">
        <f t="array" ref="AN91">_xlfn.UNIQUE(AC91)</f>
        <v>45016</v>
      </c>
    </row>
    <row r="92" spans="1:40" x14ac:dyDescent="0.35">
      <c r="A92" t="s">
        <v>488</v>
      </c>
      <c r="B92" s="21">
        <v>45069</v>
      </c>
      <c r="C92" s="10">
        <v>45071</v>
      </c>
      <c r="D92" s="3">
        <f t="shared" si="12"/>
        <v>2</v>
      </c>
      <c r="E92" s="10" t="str">
        <f t="shared" si="13"/>
        <v>Q2-2023</v>
      </c>
      <c r="F92" t="s">
        <v>647</v>
      </c>
      <c r="G92" t="s">
        <v>654</v>
      </c>
      <c r="H92" t="s">
        <v>691</v>
      </c>
      <c r="I92" t="s">
        <v>705</v>
      </c>
      <c r="J92" t="s">
        <v>706</v>
      </c>
      <c r="K92" t="s">
        <v>723</v>
      </c>
      <c r="L92" t="s">
        <v>727</v>
      </c>
      <c r="M92" t="s">
        <v>1205</v>
      </c>
      <c r="N92" s="3">
        <v>690.49</v>
      </c>
      <c r="O92" s="3">
        <v>1290.29</v>
      </c>
      <c r="P92" s="6">
        <v>4.2000000000000003E-2</v>
      </c>
      <c r="Q92" s="6">
        <f>IF(Table1[[#This Row],[DiscountPct]]&gt;25%,25%,Table1[[#This Row],[DiscountPct]])</f>
        <v>4.2000000000000003E-2</v>
      </c>
      <c r="R92" s="5">
        <v>22</v>
      </c>
      <c r="S92" s="6">
        <f t="shared" si="14"/>
        <v>0.86865848889918751</v>
      </c>
      <c r="T92" s="8">
        <f t="shared" si="15"/>
        <v>27194.152039999997</v>
      </c>
      <c r="U92" s="8">
        <f t="shared" si="16"/>
        <v>15190.78</v>
      </c>
      <c r="V92" s="9">
        <f t="shared" si="17"/>
        <v>12003.372039999997</v>
      </c>
      <c r="W92" s="6">
        <f t="shared" si="18"/>
        <v>0.44139534199647718</v>
      </c>
      <c r="X92" t="str" cm="1">
        <f t="array" ref="X92">_xlfn.IFS(S92&lt;=25%, "Low", S92&lt;=75%, "Medium", S92&gt;75%, "High")</f>
        <v>High</v>
      </c>
      <c r="Y92" s="8">
        <f>Table1[[#This Row],[Quantity]]*(Table1[[#This Row],[UnitPrice]]*(1-Table1[[#This Row],[DiscountPct]]))</f>
        <v>27194.152040000001</v>
      </c>
      <c r="Z92" s="9">
        <f t="shared" si="19"/>
        <v>12003.37204</v>
      </c>
      <c r="AA92">
        <f>COUNTIF($G$2:G93,G92)</f>
        <v>5</v>
      </c>
      <c r="AB92" s="21">
        <f t="shared" si="20"/>
        <v>44988</v>
      </c>
      <c r="AC92" s="21">
        <f t="shared" si="21"/>
        <v>45016</v>
      </c>
      <c r="AD92" s="5">
        <f>(Table1[[#This Row],[OrderDate]]-Table1[[#This Row],[Date of first order]])/30</f>
        <v>2.7</v>
      </c>
      <c r="AE92" t="str">
        <f t="shared" si="22"/>
        <v>Good</v>
      </c>
      <c r="AF92">
        <f>COUNTIF(AE$2:AE93,AE92)</f>
        <v>28</v>
      </c>
      <c r="AG92" t="str">
        <f t="shared" si="23"/>
        <v>False</v>
      </c>
      <c r="AH92" s="7">
        <f>Table1[[#This Row],[UnitPrice]]*(1-Table1[[#This Row],[Disc Scenario]])*Table1[[#This Row],[Quantity]]</f>
        <v>27194.152040000001</v>
      </c>
      <c r="AI92">
        <f>ROUNDDOWN((Table1[[#This Row],[Quantity]]*(1+20%)),0)</f>
        <v>26</v>
      </c>
      <c r="AJ92" s="7">
        <f>Table1[[#This Row],[Quantity increase by 20%]]*Table1[[#This Row],[UnitPrice]]</f>
        <v>33547.54</v>
      </c>
      <c r="AK92">
        <f>ROUNDDOWN(Table1[[#This Row],[Quantity]]*(1+20%),0)</f>
        <v>26</v>
      </c>
      <c r="AL92" s="7">
        <f>Table1[[#This Row],[UnitCost]]*(1+15%)</f>
        <v>794.06349999999998</v>
      </c>
      <c r="AM92" s="9">
        <f>Table1[[#This Row],[Quantity]]*Table1[[#This Row],[Cost of unit by inflation 15%]]</f>
        <v>17469.397000000001</v>
      </c>
      <c r="AN92" s="21" cm="1">
        <f t="array" ref="AN92">_xlfn.UNIQUE(AC92)</f>
        <v>45016</v>
      </c>
    </row>
    <row r="93" spans="1:40" x14ac:dyDescent="0.35">
      <c r="A93" t="s">
        <v>243</v>
      </c>
      <c r="B93" s="21">
        <v>45069</v>
      </c>
      <c r="C93" s="10">
        <v>45087</v>
      </c>
      <c r="D93" s="3">
        <f t="shared" si="12"/>
        <v>18</v>
      </c>
      <c r="E93" s="10" t="str">
        <f t="shared" si="13"/>
        <v>Q2-2023</v>
      </c>
      <c r="F93" t="s">
        <v>646</v>
      </c>
      <c r="G93" t="s">
        <v>658</v>
      </c>
      <c r="H93" t="s">
        <v>684</v>
      </c>
      <c r="I93" t="s">
        <v>700</v>
      </c>
      <c r="J93" t="s">
        <v>709</v>
      </c>
      <c r="K93" t="s">
        <v>717</v>
      </c>
      <c r="L93" t="s">
        <v>726</v>
      </c>
      <c r="M93" t="s">
        <v>961</v>
      </c>
      <c r="N93" s="3">
        <v>54.62</v>
      </c>
      <c r="O93" s="3">
        <v>96.677399999999992</v>
      </c>
      <c r="P93" s="6">
        <v>0.14799999999999999</v>
      </c>
      <c r="Q93" s="6">
        <f>IF(Table1[[#This Row],[DiscountPct]]&gt;25%,25%,Table1[[#This Row],[DiscountPct]])</f>
        <v>0.14799999999999999</v>
      </c>
      <c r="R93" s="5">
        <v>16</v>
      </c>
      <c r="S93" s="6">
        <f t="shared" si="14"/>
        <v>0.76999999999999991</v>
      </c>
      <c r="T93" s="8">
        <f t="shared" si="15"/>
        <v>1317.9063167999998</v>
      </c>
      <c r="U93" s="8">
        <f t="shared" si="16"/>
        <v>873.92</v>
      </c>
      <c r="V93" s="9">
        <f t="shared" si="17"/>
        <v>443.98631679999983</v>
      </c>
      <c r="W93" s="6">
        <f t="shared" si="18"/>
        <v>0.33688761571311099</v>
      </c>
      <c r="X93" t="str" cm="1">
        <f t="array" ref="X93">_xlfn.IFS(S93&lt;=25%, "Low", S93&lt;=75%, "Medium", S93&gt;75%, "High")</f>
        <v>High</v>
      </c>
      <c r="Y93" s="8">
        <f>Table1[[#This Row],[Quantity]]*(Table1[[#This Row],[UnitPrice]]*(1-Table1[[#This Row],[DiscountPct]]))</f>
        <v>1317.9063167999998</v>
      </c>
      <c r="Z93" s="9">
        <f t="shared" si="19"/>
        <v>443.98631679999983</v>
      </c>
      <c r="AA93">
        <f>COUNTIF($G$2:G94,G93)</f>
        <v>9</v>
      </c>
      <c r="AB93" s="21">
        <f t="shared" si="20"/>
        <v>44988</v>
      </c>
      <c r="AC93" s="21">
        <f t="shared" si="21"/>
        <v>45016</v>
      </c>
      <c r="AD93" s="5">
        <f>(Table1[[#This Row],[OrderDate]]-Table1[[#This Row],[Date of first order]])/30</f>
        <v>2.7</v>
      </c>
      <c r="AE93" t="str">
        <f t="shared" si="22"/>
        <v>Poor</v>
      </c>
      <c r="AF93">
        <f>COUNTIF(AE$2:AE94,AE93)</f>
        <v>65</v>
      </c>
      <c r="AG93" t="str">
        <f t="shared" si="23"/>
        <v>False</v>
      </c>
      <c r="AH93" s="7">
        <f>Table1[[#This Row],[UnitPrice]]*(1-Table1[[#This Row],[Disc Scenario]])*Table1[[#This Row],[Quantity]]</f>
        <v>1317.9063167999998</v>
      </c>
      <c r="AI93">
        <f>ROUNDDOWN((Table1[[#This Row],[Quantity]]*(1+20%)),0)</f>
        <v>19</v>
      </c>
      <c r="AJ93" s="7">
        <f>Table1[[#This Row],[Quantity increase by 20%]]*Table1[[#This Row],[UnitPrice]]</f>
        <v>1836.8705999999997</v>
      </c>
      <c r="AK93">
        <f>ROUNDDOWN(Table1[[#This Row],[Quantity]]*(1+20%),0)</f>
        <v>19</v>
      </c>
      <c r="AL93" s="7">
        <f>Table1[[#This Row],[UnitCost]]*(1+15%)</f>
        <v>62.812999999999995</v>
      </c>
      <c r="AM93" s="9">
        <f>Table1[[#This Row],[Quantity]]*Table1[[#This Row],[Cost of unit by inflation 15%]]</f>
        <v>1005.0079999999999</v>
      </c>
      <c r="AN93" s="21" cm="1">
        <f t="array" ref="AN93">_xlfn.UNIQUE(AC93)</f>
        <v>45016</v>
      </c>
    </row>
    <row r="94" spans="1:40" x14ac:dyDescent="0.35">
      <c r="A94" t="s">
        <v>467</v>
      </c>
      <c r="B94" s="21">
        <v>45070</v>
      </c>
      <c r="C94" s="10">
        <v>45098</v>
      </c>
      <c r="D94" s="3">
        <f t="shared" si="12"/>
        <v>28</v>
      </c>
      <c r="E94" s="10" t="str">
        <f t="shared" si="13"/>
        <v>Q2-2023</v>
      </c>
      <c r="F94" t="s">
        <v>647</v>
      </c>
      <c r="G94" t="s">
        <v>659</v>
      </c>
      <c r="H94" t="s">
        <v>696</v>
      </c>
      <c r="I94" t="s">
        <v>704</v>
      </c>
      <c r="J94" t="s">
        <v>708</v>
      </c>
      <c r="K94" t="s">
        <v>714</v>
      </c>
      <c r="L94" t="s">
        <v>731</v>
      </c>
      <c r="M94" t="s">
        <v>1184</v>
      </c>
      <c r="N94" s="3">
        <v>813.97</v>
      </c>
      <c r="O94" s="3">
        <v>1568.83</v>
      </c>
      <c r="P94" s="6">
        <v>1.7000000000000001E-2</v>
      </c>
      <c r="Q94" s="6">
        <f>IF(Table1[[#This Row],[DiscountPct]]&gt;25%,25%,Table1[[#This Row],[DiscountPct]])</f>
        <v>1.7000000000000001E-2</v>
      </c>
      <c r="R94" s="5">
        <v>15</v>
      </c>
      <c r="S94" s="6">
        <f t="shared" si="14"/>
        <v>0.9273806159932183</v>
      </c>
      <c r="T94" s="8">
        <f t="shared" si="15"/>
        <v>23132.398349999996</v>
      </c>
      <c r="U94" s="8">
        <f t="shared" si="16"/>
        <v>12209.550000000001</v>
      </c>
      <c r="V94" s="9">
        <f t="shared" si="17"/>
        <v>10922.848349999995</v>
      </c>
      <c r="W94" s="6">
        <f t="shared" si="18"/>
        <v>0.4721883215364911</v>
      </c>
      <c r="X94" t="str" cm="1">
        <f t="array" ref="X94">_xlfn.IFS(S94&lt;=25%, "Low", S94&lt;=75%, "Medium", S94&gt;75%, "High")</f>
        <v>High</v>
      </c>
      <c r="Y94" s="8">
        <f>Table1[[#This Row],[Quantity]]*(Table1[[#This Row],[UnitPrice]]*(1-Table1[[#This Row],[DiscountPct]]))</f>
        <v>23132.398349999999</v>
      </c>
      <c r="Z94" s="9">
        <f t="shared" si="19"/>
        <v>10922.848349999998</v>
      </c>
      <c r="AA94">
        <f>COUNTIF($G$2:G95,G94)</f>
        <v>9</v>
      </c>
      <c r="AB94" s="21">
        <f t="shared" si="20"/>
        <v>44988</v>
      </c>
      <c r="AC94" s="21">
        <f t="shared" si="21"/>
        <v>45016</v>
      </c>
      <c r="AD94" s="5">
        <f>(Table1[[#This Row],[OrderDate]]-Table1[[#This Row],[Date of first order]])/30</f>
        <v>2.7333333333333334</v>
      </c>
      <c r="AE94" t="str">
        <f t="shared" si="22"/>
        <v>Poor</v>
      </c>
      <c r="AF94">
        <f>COUNTIF(AE$2:AE95,AE94)</f>
        <v>66</v>
      </c>
      <c r="AG94" t="str">
        <f t="shared" si="23"/>
        <v>False</v>
      </c>
      <c r="AH94" s="7">
        <f>Table1[[#This Row],[UnitPrice]]*(1-Table1[[#This Row],[Disc Scenario]])*Table1[[#This Row],[Quantity]]</f>
        <v>23132.398349999999</v>
      </c>
      <c r="AI94">
        <f>ROUNDDOWN((Table1[[#This Row],[Quantity]]*(1+20%)),0)</f>
        <v>18</v>
      </c>
      <c r="AJ94" s="7">
        <f>Table1[[#This Row],[Quantity increase by 20%]]*Table1[[#This Row],[UnitPrice]]</f>
        <v>28238.94</v>
      </c>
      <c r="AK94">
        <f>ROUNDDOWN(Table1[[#This Row],[Quantity]]*(1+20%),0)</f>
        <v>18</v>
      </c>
      <c r="AL94" s="7">
        <f>Table1[[#This Row],[UnitCost]]*(1+15%)</f>
        <v>936.06549999999993</v>
      </c>
      <c r="AM94" s="9">
        <f>Table1[[#This Row],[Quantity]]*Table1[[#This Row],[Cost of unit by inflation 15%]]</f>
        <v>14040.982499999998</v>
      </c>
      <c r="AN94" s="21" cm="1">
        <f t="array" ref="AN94">_xlfn.UNIQUE(AC94)</f>
        <v>45016</v>
      </c>
    </row>
    <row r="95" spans="1:40" x14ac:dyDescent="0.35">
      <c r="A95" t="s">
        <v>274</v>
      </c>
      <c r="B95" s="21">
        <v>45073</v>
      </c>
      <c r="C95" s="10">
        <v>45096</v>
      </c>
      <c r="D95" s="3">
        <f t="shared" si="12"/>
        <v>23</v>
      </c>
      <c r="E95" s="10" t="str">
        <f t="shared" si="13"/>
        <v>Q2-2023</v>
      </c>
      <c r="F95" t="s">
        <v>648</v>
      </c>
      <c r="G95" t="s">
        <v>655</v>
      </c>
      <c r="H95" t="s">
        <v>670</v>
      </c>
      <c r="I95" t="s">
        <v>701</v>
      </c>
      <c r="J95" t="s">
        <v>706</v>
      </c>
      <c r="K95" t="s">
        <v>718</v>
      </c>
      <c r="L95" t="s">
        <v>732</v>
      </c>
      <c r="M95" t="s">
        <v>992</v>
      </c>
      <c r="N95" s="3">
        <v>1471.58</v>
      </c>
      <c r="O95" s="3">
        <v>2576.65</v>
      </c>
      <c r="P95" s="6">
        <v>4.0000000000000001E-3</v>
      </c>
      <c r="Q95" s="6">
        <f>IF(Table1[[#This Row],[DiscountPct]]&gt;25%,25%,Table1[[#This Row],[DiscountPct]])</f>
        <v>4.0000000000000001E-3</v>
      </c>
      <c r="R95" s="5">
        <v>7</v>
      </c>
      <c r="S95" s="6">
        <f t="shared" si="14"/>
        <v>0.75094116527813659</v>
      </c>
      <c r="T95" s="8">
        <f t="shared" si="15"/>
        <v>17964.4038</v>
      </c>
      <c r="U95" s="8">
        <f t="shared" si="16"/>
        <v>10301.06</v>
      </c>
      <c r="V95" s="9">
        <f t="shared" si="17"/>
        <v>7663.3438000000006</v>
      </c>
      <c r="W95" s="6">
        <f t="shared" si="18"/>
        <v>0.4265849223451546</v>
      </c>
      <c r="X95" t="str" cm="1">
        <f t="array" ref="X95">_xlfn.IFS(S95&lt;=25%, "Low", S95&lt;=75%, "Medium", S95&gt;75%, "High")</f>
        <v>High</v>
      </c>
      <c r="Y95" s="8">
        <f>Table1[[#This Row],[Quantity]]*(Table1[[#This Row],[UnitPrice]]*(1-Table1[[#This Row],[DiscountPct]]))</f>
        <v>17964.4038</v>
      </c>
      <c r="Z95" s="9">
        <f t="shared" si="19"/>
        <v>7663.3438000000006</v>
      </c>
      <c r="AA95">
        <f>COUNTIF($G$2:G96,G95)</f>
        <v>12</v>
      </c>
      <c r="AB95" s="21">
        <f t="shared" si="20"/>
        <v>44988</v>
      </c>
      <c r="AC95" s="21">
        <f t="shared" si="21"/>
        <v>45016</v>
      </c>
      <c r="AD95" s="5">
        <f>(Table1[[#This Row],[OrderDate]]-Table1[[#This Row],[Date of first order]])/30</f>
        <v>2.8333333333333335</v>
      </c>
      <c r="AE95" t="str">
        <f t="shared" si="22"/>
        <v>Poor</v>
      </c>
      <c r="AF95">
        <f>COUNTIF(AE$2:AE96,AE95)</f>
        <v>67</v>
      </c>
      <c r="AG95" t="str">
        <f t="shared" si="23"/>
        <v>False</v>
      </c>
      <c r="AH95" s="7">
        <f>Table1[[#This Row],[UnitPrice]]*(1-Table1[[#This Row],[Disc Scenario]])*Table1[[#This Row],[Quantity]]</f>
        <v>17964.4038</v>
      </c>
      <c r="AI95">
        <f>ROUNDDOWN((Table1[[#This Row],[Quantity]]*(1+20%)),0)</f>
        <v>8</v>
      </c>
      <c r="AJ95" s="7">
        <f>Table1[[#This Row],[Quantity increase by 20%]]*Table1[[#This Row],[UnitPrice]]</f>
        <v>20613.2</v>
      </c>
      <c r="AK95">
        <f>ROUNDDOWN(Table1[[#This Row],[Quantity]]*(1+20%),0)</f>
        <v>8</v>
      </c>
      <c r="AL95" s="7">
        <f>Table1[[#This Row],[UnitCost]]*(1+15%)</f>
        <v>1692.3169999999998</v>
      </c>
      <c r="AM95" s="9">
        <f>Table1[[#This Row],[Quantity]]*Table1[[#This Row],[Cost of unit by inflation 15%]]</f>
        <v>11846.218999999999</v>
      </c>
      <c r="AN95" s="21" cm="1">
        <f t="array" ref="AN95">_xlfn.UNIQUE(AC95)</f>
        <v>45016</v>
      </c>
    </row>
    <row r="96" spans="1:40" x14ac:dyDescent="0.35">
      <c r="A96" t="s">
        <v>407</v>
      </c>
      <c r="B96" s="21">
        <v>45075</v>
      </c>
      <c r="C96" s="10">
        <v>45097</v>
      </c>
      <c r="D96" s="3">
        <f t="shared" si="12"/>
        <v>22</v>
      </c>
      <c r="E96" s="10" t="str">
        <f t="shared" si="13"/>
        <v>Q2-2023</v>
      </c>
      <c r="F96" t="s">
        <v>648</v>
      </c>
      <c r="G96" t="s">
        <v>657</v>
      </c>
      <c r="H96" t="s">
        <v>682</v>
      </c>
      <c r="I96" t="s">
        <v>704</v>
      </c>
      <c r="J96" t="s">
        <v>710</v>
      </c>
      <c r="K96" t="s">
        <v>722</v>
      </c>
      <c r="L96" t="s">
        <v>726</v>
      </c>
      <c r="M96" t="s">
        <v>1124</v>
      </c>
      <c r="N96" s="3">
        <v>1295.3900000000001</v>
      </c>
      <c r="O96" s="3">
        <v>2905.06</v>
      </c>
      <c r="P96" s="6">
        <v>0.14799999999999999</v>
      </c>
      <c r="Q96" s="6">
        <f>IF(Table1[[#This Row],[DiscountPct]]&gt;25%,25%,Table1[[#This Row],[DiscountPct]])</f>
        <v>0.14799999999999999</v>
      </c>
      <c r="R96" s="5">
        <v>8</v>
      </c>
      <c r="S96" s="6">
        <f t="shared" si="14"/>
        <v>1.2426141934089345</v>
      </c>
      <c r="T96" s="8">
        <f t="shared" si="15"/>
        <v>19800.88896</v>
      </c>
      <c r="U96" s="8">
        <f t="shared" si="16"/>
        <v>10363.120000000001</v>
      </c>
      <c r="V96" s="9">
        <f t="shared" si="17"/>
        <v>9437.7689599999994</v>
      </c>
      <c r="W96" s="6">
        <f t="shared" si="18"/>
        <v>0.47663359857556614</v>
      </c>
      <c r="X96" t="str" cm="1">
        <f t="array" ref="X96">_xlfn.IFS(S96&lt;=25%, "Low", S96&lt;=75%, "Medium", S96&gt;75%, "High")</f>
        <v>High</v>
      </c>
      <c r="Y96" s="8">
        <f>Table1[[#This Row],[Quantity]]*(Table1[[#This Row],[UnitPrice]]*(1-Table1[[#This Row],[DiscountPct]]))</f>
        <v>19800.88896</v>
      </c>
      <c r="Z96" s="9">
        <f t="shared" si="19"/>
        <v>9437.7689599999994</v>
      </c>
      <c r="AA96">
        <f>COUNTIF($G$2:G97,G96)</f>
        <v>9</v>
      </c>
      <c r="AB96" s="21">
        <f t="shared" si="20"/>
        <v>44988</v>
      </c>
      <c r="AC96" s="21">
        <f t="shared" si="21"/>
        <v>45016</v>
      </c>
      <c r="AD96" s="5">
        <f>(Table1[[#This Row],[OrderDate]]-Table1[[#This Row],[Date of first order]])/30</f>
        <v>2.9</v>
      </c>
      <c r="AE96" t="str">
        <f t="shared" si="22"/>
        <v>Poor</v>
      </c>
      <c r="AF96">
        <f>COUNTIF(AE$2:AE97,AE96)</f>
        <v>67</v>
      </c>
      <c r="AG96" t="str">
        <f t="shared" si="23"/>
        <v>False</v>
      </c>
      <c r="AH96" s="7">
        <f>Table1[[#This Row],[UnitPrice]]*(1-Table1[[#This Row],[Disc Scenario]])*Table1[[#This Row],[Quantity]]</f>
        <v>19800.88896</v>
      </c>
      <c r="AI96">
        <f>ROUNDDOWN((Table1[[#This Row],[Quantity]]*(1+20%)),0)</f>
        <v>9</v>
      </c>
      <c r="AJ96" s="7">
        <f>Table1[[#This Row],[Quantity increase by 20%]]*Table1[[#This Row],[UnitPrice]]</f>
        <v>26145.54</v>
      </c>
      <c r="AK96">
        <f>ROUNDDOWN(Table1[[#This Row],[Quantity]]*(1+20%),0)</f>
        <v>9</v>
      </c>
      <c r="AL96" s="7">
        <f>Table1[[#This Row],[UnitCost]]*(1+15%)</f>
        <v>1489.6985</v>
      </c>
      <c r="AM96" s="9">
        <f>Table1[[#This Row],[Quantity]]*Table1[[#This Row],[Cost of unit by inflation 15%]]</f>
        <v>11917.588</v>
      </c>
      <c r="AN96" s="21" cm="1">
        <f t="array" ref="AN96">_xlfn.UNIQUE(AC96)</f>
        <v>45016</v>
      </c>
    </row>
    <row r="97" spans="1:40" x14ac:dyDescent="0.35">
      <c r="A97" t="s">
        <v>526</v>
      </c>
      <c r="B97" s="21">
        <v>45078</v>
      </c>
      <c r="C97" s="10">
        <v>45085</v>
      </c>
      <c r="D97" s="3">
        <f t="shared" si="12"/>
        <v>7</v>
      </c>
      <c r="E97" s="10" t="str">
        <f t="shared" si="13"/>
        <v>Q2-2023</v>
      </c>
      <c r="F97" t="s">
        <v>648</v>
      </c>
      <c r="G97" t="s">
        <v>655</v>
      </c>
      <c r="H97" t="s">
        <v>697</v>
      </c>
      <c r="I97" t="s">
        <v>703</v>
      </c>
      <c r="J97" t="s">
        <v>707</v>
      </c>
      <c r="K97" t="s">
        <v>719</v>
      </c>
      <c r="L97" t="s">
        <v>729</v>
      </c>
      <c r="M97" t="s">
        <v>1243</v>
      </c>
      <c r="N97" s="3">
        <v>804.17</v>
      </c>
      <c r="O97" s="3">
        <v>1072.29</v>
      </c>
      <c r="P97" s="6">
        <v>3.2000000000000001E-2</v>
      </c>
      <c r="Q97" s="6">
        <f>IF(Table1[[#This Row],[DiscountPct]]&gt;25%,25%,Table1[[#This Row],[DiscountPct]])</f>
        <v>3.2000000000000001E-2</v>
      </c>
      <c r="R97" s="5">
        <v>5</v>
      </c>
      <c r="S97" s="6">
        <f t="shared" si="14"/>
        <v>0.33341208948356693</v>
      </c>
      <c r="T97" s="8">
        <f t="shared" si="15"/>
        <v>5189.8836000000001</v>
      </c>
      <c r="U97" s="8">
        <f t="shared" si="16"/>
        <v>4020.85</v>
      </c>
      <c r="V97" s="9">
        <f t="shared" si="17"/>
        <v>1169.0336000000002</v>
      </c>
      <c r="W97" s="6">
        <f t="shared" si="18"/>
        <v>0.2252523736755869</v>
      </c>
      <c r="X97" t="str" cm="1">
        <f t="array" ref="X97">_xlfn.IFS(S97&lt;=25%, "Low", S97&lt;=75%, "Medium", S97&gt;75%, "High")</f>
        <v>Medium</v>
      </c>
      <c r="Y97" s="8">
        <f>Table1[[#This Row],[Quantity]]*(Table1[[#This Row],[UnitPrice]]*(1-Table1[[#This Row],[DiscountPct]]))</f>
        <v>5189.8835999999992</v>
      </c>
      <c r="Z97" s="9">
        <f t="shared" si="19"/>
        <v>1169.0335999999993</v>
      </c>
      <c r="AA97">
        <f>COUNTIF($G$2:G98,G97)</f>
        <v>13</v>
      </c>
      <c r="AB97" s="21">
        <f t="shared" si="20"/>
        <v>44988</v>
      </c>
      <c r="AC97" s="21">
        <f t="shared" si="21"/>
        <v>45016</v>
      </c>
      <c r="AD97" s="5">
        <f>(Table1[[#This Row],[OrderDate]]-Table1[[#This Row],[Date of first order]])/30</f>
        <v>3</v>
      </c>
      <c r="AE97" t="str">
        <f t="shared" si="22"/>
        <v>Good</v>
      </c>
      <c r="AF97">
        <f>COUNTIF(AE$2:AE98,AE97)</f>
        <v>30</v>
      </c>
      <c r="AG97" t="str">
        <f t="shared" si="23"/>
        <v>False</v>
      </c>
      <c r="AH97" s="7">
        <f>Table1[[#This Row],[UnitPrice]]*(1-Table1[[#This Row],[Disc Scenario]])*Table1[[#This Row],[Quantity]]</f>
        <v>5189.8835999999992</v>
      </c>
      <c r="AI97">
        <f>ROUNDDOWN((Table1[[#This Row],[Quantity]]*(1+20%)),0)</f>
        <v>6</v>
      </c>
      <c r="AJ97" s="7">
        <f>Table1[[#This Row],[Quantity increase by 20%]]*Table1[[#This Row],[UnitPrice]]</f>
        <v>6433.74</v>
      </c>
      <c r="AK97">
        <f>ROUNDDOWN(Table1[[#This Row],[Quantity]]*(1+20%),0)</f>
        <v>6</v>
      </c>
      <c r="AL97" s="7">
        <f>Table1[[#This Row],[UnitCost]]*(1+15%)</f>
        <v>924.79549999999983</v>
      </c>
      <c r="AM97" s="9">
        <f>Table1[[#This Row],[Quantity]]*Table1[[#This Row],[Cost of unit by inflation 15%]]</f>
        <v>4623.9774999999991</v>
      </c>
      <c r="AN97" s="21" cm="1">
        <f t="array" ref="AN97">_xlfn.UNIQUE(AC97)</f>
        <v>45016</v>
      </c>
    </row>
    <row r="98" spans="1:40" x14ac:dyDescent="0.35">
      <c r="A98" t="s">
        <v>584</v>
      </c>
      <c r="B98" s="21">
        <v>45078</v>
      </c>
      <c r="C98" s="10">
        <v>45078</v>
      </c>
      <c r="D98" s="3">
        <f t="shared" si="12"/>
        <v>0</v>
      </c>
      <c r="E98" s="10" t="str">
        <f t="shared" si="13"/>
        <v>Q2-2023</v>
      </c>
      <c r="F98" t="s">
        <v>646</v>
      </c>
      <c r="G98" t="s">
        <v>653</v>
      </c>
      <c r="H98" t="s">
        <v>667</v>
      </c>
      <c r="I98" t="s">
        <v>700</v>
      </c>
      <c r="J98" t="s">
        <v>706</v>
      </c>
      <c r="K98" t="s">
        <v>717</v>
      </c>
      <c r="L98" t="s">
        <v>732</v>
      </c>
      <c r="M98" t="s">
        <v>1300</v>
      </c>
      <c r="N98" s="3">
        <v>669.37</v>
      </c>
      <c r="O98" s="3">
        <v>997.2</v>
      </c>
      <c r="P98" s="6">
        <v>8.2000000000000003E-2</v>
      </c>
      <c r="Q98" s="6">
        <f>IF(Table1[[#This Row],[DiscountPct]]&gt;25%,25%,Table1[[#This Row],[DiscountPct]])</f>
        <v>8.2000000000000003E-2</v>
      </c>
      <c r="R98" s="5">
        <v>5</v>
      </c>
      <c r="S98" s="6">
        <f t="shared" si="14"/>
        <v>0.48975902714492736</v>
      </c>
      <c r="T98" s="8">
        <f t="shared" si="15"/>
        <v>4577.1480000000001</v>
      </c>
      <c r="U98" s="8">
        <f t="shared" si="16"/>
        <v>3346.85</v>
      </c>
      <c r="V98" s="9">
        <f t="shared" si="17"/>
        <v>1230.2980000000002</v>
      </c>
      <c r="W98" s="6">
        <f t="shared" si="18"/>
        <v>0.26879139586484863</v>
      </c>
      <c r="X98" t="str" cm="1">
        <f t="array" ref="X98">_xlfn.IFS(S98&lt;=25%, "Low", S98&lt;=75%, "Medium", S98&gt;75%, "High")</f>
        <v>Medium</v>
      </c>
      <c r="Y98" s="8">
        <f>Table1[[#This Row],[Quantity]]*(Table1[[#This Row],[UnitPrice]]*(1-Table1[[#This Row],[DiscountPct]]))</f>
        <v>4577.1480000000001</v>
      </c>
      <c r="Z98" s="9">
        <f t="shared" si="19"/>
        <v>1230.2980000000002</v>
      </c>
      <c r="AA98">
        <f>COUNTIF($G$2:G99,G98)</f>
        <v>10</v>
      </c>
      <c r="AB98" s="21">
        <f t="shared" si="20"/>
        <v>44988</v>
      </c>
      <c r="AC98" s="21">
        <f t="shared" si="21"/>
        <v>45016</v>
      </c>
      <c r="AD98" s="5">
        <f>(Table1[[#This Row],[OrderDate]]-Table1[[#This Row],[Date of first order]])/30</f>
        <v>3</v>
      </c>
      <c r="AE98" t="str">
        <f t="shared" si="22"/>
        <v>Good</v>
      </c>
      <c r="AF98">
        <f>COUNTIF(AE$2:AE99,AE98)</f>
        <v>30</v>
      </c>
      <c r="AG98" t="str">
        <f t="shared" si="23"/>
        <v>False</v>
      </c>
      <c r="AH98" s="7">
        <f>Table1[[#This Row],[UnitPrice]]*(1-Table1[[#This Row],[Disc Scenario]])*Table1[[#This Row],[Quantity]]</f>
        <v>4577.1480000000001</v>
      </c>
      <c r="AI98">
        <f>ROUNDDOWN((Table1[[#This Row],[Quantity]]*(1+20%)),0)</f>
        <v>6</v>
      </c>
      <c r="AJ98" s="7">
        <f>Table1[[#This Row],[Quantity increase by 20%]]*Table1[[#This Row],[UnitPrice]]</f>
        <v>5983.2000000000007</v>
      </c>
      <c r="AK98">
        <f>ROUNDDOWN(Table1[[#This Row],[Quantity]]*(1+20%),0)</f>
        <v>6</v>
      </c>
      <c r="AL98" s="7">
        <f>Table1[[#This Row],[UnitCost]]*(1+15%)</f>
        <v>769.77549999999997</v>
      </c>
      <c r="AM98" s="9">
        <f>Table1[[#This Row],[Quantity]]*Table1[[#This Row],[Cost of unit by inflation 15%]]</f>
        <v>3848.8774999999996</v>
      </c>
      <c r="AN98" s="21" cm="1">
        <f t="array" ref="AN98">_xlfn.UNIQUE(AC98)</f>
        <v>45016</v>
      </c>
    </row>
    <row r="99" spans="1:40" x14ac:dyDescent="0.35">
      <c r="A99" t="s">
        <v>594</v>
      </c>
      <c r="B99" s="21">
        <v>45080</v>
      </c>
      <c r="C99" s="10">
        <v>45108</v>
      </c>
      <c r="D99" s="3">
        <f t="shared" si="12"/>
        <v>28</v>
      </c>
      <c r="E99" s="10" t="str">
        <f t="shared" si="13"/>
        <v>Q2-2023</v>
      </c>
      <c r="F99" t="s">
        <v>647</v>
      </c>
      <c r="G99" t="s">
        <v>654</v>
      </c>
      <c r="H99" t="s">
        <v>671</v>
      </c>
      <c r="I99" t="s">
        <v>704</v>
      </c>
      <c r="J99" t="s">
        <v>708</v>
      </c>
      <c r="K99" t="s">
        <v>719</v>
      </c>
      <c r="L99" t="s">
        <v>726</v>
      </c>
      <c r="M99" t="s">
        <v>1310</v>
      </c>
      <c r="N99" s="3">
        <v>860.4</v>
      </c>
      <c r="O99" s="3">
        <v>2066.6</v>
      </c>
      <c r="P99" s="6">
        <v>0.01</v>
      </c>
      <c r="Q99" s="6">
        <f>IF(Table1[[#This Row],[DiscountPct]]&gt;25%,25%,Table1[[#This Row],[DiscountPct]])</f>
        <v>0.01</v>
      </c>
      <c r="R99" s="5">
        <v>3</v>
      </c>
      <c r="S99" s="6">
        <f t="shared" si="14"/>
        <v>1.4019060901906089</v>
      </c>
      <c r="T99" s="8">
        <f t="shared" si="15"/>
        <v>6137.8019999999988</v>
      </c>
      <c r="U99" s="8">
        <f t="shared" si="16"/>
        <v>2581.1999999999998</v>
      </c>
      <c r="V99" s="9">
        <f t="shared" si="17"/>
        <v>3556.601999999999</v>
      </c>
      <c r="W99" s="6">
        <f t="shared" si="18"/>
        <v>0.57945857491004105</v>
      </c>
      <c r="X99" t="str" cm="1">
        <f t="array" ref="X99">_xlfn.IFS(S99&lt;=25%, "Low", S99&lt;=75%, "Medium", S99&gt;75%, "High")</f>
        <v>High</v>
      </c>
      <c r="Y99" s="8">
        <f>Table1[[#This Row],[Quantity]]*(Table1[[#This Row],[UnitPrice]]*(1-Table1[[#This Row],[DiscountPct]]))</f>
        <v>6137.8019999999997</v>
      </c>
      <c r="Z99" s="9">
        <f t="shared" si="19"/>
        <v>3556.6019999999999</v>
      </c>
      <c r="AA99">
        <f>COUNTIF($G$2:G100,G99)</f>
        <v>6</v>
      </c>
      <c r="AB99" s="21">
        <f t="shared" si="20"/>
        <v>44988</v>
      </c>
      <c r="AC99" s="21">
        <f t="shared" si="21"/>
        <v>45016</v>
      </c>
      <c r="AD99" s="5">
        <f>(Table1[[#This Row],[OrderDate]]-Table1[[#This Row],[Date of first order]])/30</f>
        <v>3.0666666666666669</v>
      </c>
      <c r="AE99" t="str">
        <f t="shared" si="22"/>
        <v>Poor</v>
      </c>
      <c r="AF99">
        <f>COUNTIF(AE$2:AE100,AE99)</f>
        <v>69</v>
      </c>
      <c r="AG99" t="str">
        <f t="shared" si="23"/>
        <v>False</v>
      </c>
      <c r="AH99" s="7">
        <f>Table1[[#This Row],[UnitPrice]]*(1-Table1[[#This Row],[Disc Scenario]])*Table1[[#This Row],[Quantity]]</f>
        <v>6137.8019999999997</v>
      </c>
      <c r="AI99">
        <f>ROUNDDOWN((Table1[[#This Row],[Quantity]]*(1+20%)),0)</f>
        <v>3</v>
      </c>
      <c r="AJ99" s="7">
        <f>Table1[[#This Row],[Quantity increase by 20%]]*Table1[[#This Row],[UnitPrice]]</f>
        <v>6199.7999999999993</v>
      </c>
      <c r="AK99">
        <f>ROUNDDOWN(Table1[[#This Row],[Quantity]]*(1+20%),0)</f>
        <v>3</v>
      </c>
      <c r="AL99" s="7">
        <f>Table1[[#This Row],[UnitCost]]*(1+15%)</f>
        <v>989.45999999999992</v>
      </c>
      <c r="AM99" s="9">
        <f>Table1[[#This Row],[Quantity]]*Table1[[#This Row],[Cost of unit by inflation 15%]]</f>
        <v>2968.3799999999997</v>
      </c>
      <c r="AN99" s="21" cm="1">
        <f t="array" ref="AN99">_xlfn.UNIQUE(AC99)</f>
        <v>45016</v>
      </c>
    </row>
    <row r="100" spans="1:40" x14ac:dyDescent="0.35">
      <c r="A100" t="s">
        <v>377</v>
      </c>
      <c r="B100" s="21">
        <v>45082</v>
      </c>
      <c r="C100" s="10">
        <v>45105</v>
      </c>
      <c r="D100" s="3">
        <f t="shared" si="12"/>
        <v>23</v>
      </c>
      <c r="E100" s="10" t="str">
        <f t="shared" si="13"/>
        <v>Q2-2023</v>
      </c>
      <c r="F100" t="s">
        <v>648</v>
      </c>
      <c r="G100" t="s">
        <v>657</v>
      </c>
      <c r="H100" t="s">
        <v>673</v>
      </c>
      <c r="I100" t="s">
        <v>700</v>
      </c>
      <c r="J100" t="s">
        <v>710</v>
      </c>
      <c r="K100" t="s">
        <v>722</v>
      </c>
      <c r="L100" t="s">
        <v>727</v>
      </c>
      <c r="M100" t="s">
        <v>1095</v>
      </c>
      <c r="N100" s="3">
        <v>605.82000000000005</v>
      </c>
      <c r="O100" s="3">
        <v>771.12</v>
      </c>
      <c r="P100" s="6">
        <v>0.13200000000000001</v>
      </c>
      <c r="Q100" s="6">
        <f>IF(Table1[[#This Row],[DiscountPct]]&gt;25%,25%,Table1[[#This Row],[DiscountPct]])</f>
        <v>0.13200000000000001</v>
      </c>
      <c r="R100" s="5">
        <v>19</v>
      </c>
      <c r="S100" s="6">
        <f t="shared" si="14"/>
        <v>0.27285332276913926</v>
      </c>
      <c r="T100" s="8">
        <f t="shared" si="15"/>
        <v>12717.311040000001</v>
      </c>
      <c r="U100" s="8">
        <f t="shared" si="16"/>
        <v>11510.580000000002</v>
      </c>
      <c r="V100" s="9">
        <f t="shared" si="17"/>
        <v>1206.7310399999988</v>
      </c>
      <c r="W100" s="6">
        <f t="shared" si="18"/>
        <v>9.4888851597986767E-2</v>
      </c>
      <c r="X100" t="str" cm="1">
        <f t="array" ref="X100">_xlfn.IFS(S100&lt;=25%, "Low", S100&lt;=75%, "Medium", S100&gt;75%, "High")</f>
        <v>Medium</v>
      </c>
      <c r="Y100" s="8">
        <f>Table1[[#This Row],[Quantity]]*(Table1[[#This Row],[UnitPrice]]*(1-Table1[[#This Row],[DiscountPct]]))</f>
        <v>12717.311040000001</v>
      </c>
      <c r="Z100" s="9">
        <f t="shared" si="19"/>
        <v>1206.7310399999988</v>
      </c>
      <c r="AA100">
        <f>COUNTIF($G$2:G101,G100)</f>
        <v>10</v>
      </c>
      <c r="AB100" s="21">
        <f t="shared" si="20"/>
        <v>44988</v>
      </c>
      <c r="AC100" s="21">
        <f t="shared" si="21"/>
        <v>45016</v>
      </c>
      <c r="AD100" s="5">
        <f>(Table1[[#This Row],[OrderDate]]-Table1[[#This Row],[Date of first order]])/30</f>
        <v>3.1333333333333333</v>
      </c>
      <c r="AE100" t="str">
        <f t="shared" si="22"/>
        <v>Poor</v>
      </c>
      <c r="AF100">
        <f>COUNTIF(AE$2:AE101,AE100)</f>
        <v>70</v>
      </c>
      <c r="AG100" t="str">
        <f t="shared" si="23"/>
        <v>False</v>
      </c>
      <c r="AH100" s="7">
        <f>Table1[[#This Row],[UnitPrice]]*(1-Table1[[#This Row],[Disc Scenario]])*Table1[[#This Row],[Quantity]]</f>
        <v>12717.311040000001</v>
      </c>
      <c r="AI100">
        <f>ROUNDDOWN((Table1[[#This Row],[Quantity]]*(1+20%)),0)</f>
        <v>22</v>
      </c>
      <c r="AJ100" s="7">
        <f>Table1[[#This Row],[Quantity increase by 20%]]*Table1[[#This Row],[UnitPrice]]</f>
        <v>16964.64</v>
      </c>
      <c r="AK100">
        <f>ROUNDDOWN(Table1[[#This Row],[Quantity]]*(1+20%),0)</f>
        <v>22</v>
      </c>
      <c r="AL100" s="7">
        <f>Table1[[#This Row],[UnitCost]]*(1+15%)</f>
        <v>696.69299999999998</v>
      </c>
      <c r="AM100" s="9">
        <f>Table1[[#This Row],[Quantity]]*Table1[[#This Row],[Cost of unit by inflation 15%]]</f>
        <v>13237.166999999999</v>
      </c>
      <c r="AN100" s="21" cm="1">
        <f t="array" ref="AN100">_xlfn.UNIQUE(AC100)</f>
        <v>45016</v>
      </c>
    </row>
    <row r="101" spans="1:40" x14ac:dyDescent="0.35">
      <c r="A101" t="s">
        <v>133</v>
      </c>
      <c r="B101" s="21">
        <v>45086</v>
      </c>
      <c r="C101" s="10">
        <v>45096</v>
      </c>
      <c r="D101" s="3">
        <f t="shared" si="12"/>
        <v>10</v>
      </c>
      <c r="E101" s="10" t="str">
        <f t="shared" si="13"/>
        <v>Q2-2023</v>
      </c>
      <c r="F101" t="s">
        <v>646</v>
      </c>
      <c r="G101" t="s">
        <v>658</v>
      </c>
      <c r="H101" t="s">
        <v>698</v>
      </c>
      <c r="I101" t="s">
        <v>705</v>
      </c>
      <c r="J101" t="s">
        <v>706</v>
      </c>
      <c r="K101" t="s">
        <v>720</v>
      </c>
      <c r="L101" t="s">
        <v>731</v>
      </c>
      <c r="M101" t="s">
        <v>851</v>
      </c>
      <c r="N101" s="3">
        <v>339.61</v>
      </c>
      <c r="O101" s="3">
        <v>621.02</v>
      </c>
      <c r="P101" s="6">
        <v>7.0999999999999994E-2</v>
      </c>
      <c r="Q101" s="6">
        <f>IF(Table1[[#This Row],[DiscountPct]]&gt;25%,25%,Table1[[#This Row],[DiscountPct]])</f>
        <v>7.0999999999999994E-2</v>
      </c>
      <c r="R101" s="5">
        <v>10</v>
      </c>
      <c r="S101" s="6">
        <f t="shared" si="14"/>
        <v>0.82862695444774881</v>
      </c>
      <c r="T101" s="8">
        <f t="shared" si="15"/>
        <v>5769.2758000000003</v>
      </c>
      <c r="U101" s="8">
        <f t="shared" si="16"/>
        <v>3396.1000000000004</v>
      </c>
      <c r="V101" s="9">
        <f t="shared" si="17"/>
        <v>2373.1758</v>
      </c>
      <c r="W101" s="6">
        <f t="shared" si="18"/>
        <v>0.41134726129750981</v>
      </c>
      <c r="X101" t="str" cm="1">
        <f t="array" ref="X101">_xlfn.IFS(S101&lt;=25%, "Low", S101&lt;=75%, "Medium", S101&gt;75%, "High")</f>
        <v>High</v>
      </c>
      <c r="Y101" s="8">
        <f>Table1[[#This Row],[Quantity]]*(Table1[[#This Row],[UnitPrice]]*(1-Table1[[#This Row],[DiscountPct]]))</f>
        <v>5769.2758000000003</v>
      </c>
      <c r="Z101" s="9">
        <f t="shared" si="19"/>
        <v>2373.1758</v>
      </c>
      <c r="AA101">
        <f>COUNTIF($G$2:G102,G101)</f>
        <v>10</v>
      </c>
      <c r="AB101" s="21">
        <f t="shared" si="20"/>
        <v>44988</v>
      </c>
      <c r="AC101" s="21">
        <f t="shared" si="21"/>
        <v>45016</v>
      </c>
      <c r="AD101" s="5">
        <f>(Table1[[#This Row],[OrderDate]]-Table1[[#This Row],[Date of first order]])/30</f>
        <v>3.2666666666666666</v>
      </c>
      <c r="AE101" t="str">
        <f t="shared" si="22"/>
        <v>Poor</v>
      </c>
      <c r="AF101">
        <f>COUNTIF(AE$2:AE102,AE101)</f>
        <v>71</v>
      </c>
      <c r="AG101" t="str">
        <f t="shared" si="23"/>
        <v>False</v>
      </c>
      <c r="AH101" s="7">
        <f>Table1[[#This Row],[UnitPrice]]*(1-Table1[[#This Row],[Disc Scenario]])*Table1[[#This Row],[Quantity]]</f>
        <v>5769.2758000000003</v>
      </c>
      <c r="AI101">
        <f>ROUNDDOWN((Table1[[#This Row],[Quantity]]*(1+20%)),0)</f>
        <v>12</v>
      </c>
      <c r="AJ101" s="7">
        <f>Table1[[#This Row],[Quantity increase by 20%]]*Table1[[#This Row],[UnitPrice]]</f>
        <v>7452.24</v>
      </c>
      <c r="AK101">
        <f>ROUNDDOWN(Table1[[#This Row],[Quantity]]*(1+20%),0)</f>
        <v>12</v>
      </c>
      <c r="AL101" s="7">
        <f>Table1[[#This Row],[UnitCost]]*(1+15%)</f>
        <v>390.55149999999998</v>
      </c>
      <c r="AM101" s="9">
        <f>Table1[[#This Row],[Quantity]]*Table1[[#This Row],[Cost of unit by inflation 15%]]</f>
        <v>3905.5149999999999</v>
      </c>
      <c r="AN101" s="21" cm="1">
        <f t="array" ref="AN101">_xlfn.UNIQUE(AC101)</f>
        <v>45016</v>
      </c>
    </row>
    <row r="102" spans="1:40" x14ac:dyDescent="0.35">
      <c r="A102" t="s">
        <v>340</v>
      </c>
      <c r="B102" s="21">
        <v>45087</v>
      </c>
      <c r="C102" s="10">
        <v>45095</v>
      </c>
      <c r="D102" s="3">
        <f t="shared" si="12"/>
        <v>8</v>
      </c>
      <c r="E102" s="10" t="str">
        <f t="shared" si="13"/>
        <v>Q2-2023</v>
      </c>
      <c r="F102" t="s">
        <v>645</v>
      </c>
      <c r="G102" t="s">
        <v>649</v>
      </c>
      <c r="H102" t="s">
        <v>677</v>
      </c>
      <c r="I102" t="s">
        <v>705</v>
      </c>
      <c r="J102" t="s">
        <v>710</v>
      </c>
      <c r="K102" t="s">
        <v>721</v>
      </c>
      <c r="L102" t="s">
        <v>729</v>
      </c>
      <c r="M102" t="s">
        <v>1058</v>
      </c>
      <c r="N102" s="3">
        <v>894.23</v>
      </c>
      <c r="O102" s="3">
        <v>1421.55</v>
      </c>
      <c r="P102" s="6">
        <v>0.109</v>
      </c>
      <c r="Q102" s="6">
        <f>IF(Table1[[#This Row],[DiscountPct]]&gt;25%,25%,Table1[[#This Row],[DiscountPct]])</f>
        <v>0.109</v>
      </c>
      <c r="R102" s="5">
        <v>3</v>
      </c>
      <c r="S102" s="6">
        <f t="shared" si="14"/>
        <v>0.58969169005736766</v>
      </c>
      <c r="T102" s="8">
        <f t="shared" si="15"/>
        <v>3799.8031499999997</v>
      </c>
      <c r="U102" s="8">
        <f t="shared" si="16"/>
        <v>2682.69</v>
      </c>
      <c r="V102" s="9">
        <f t="shared" si="17"/>
        <v>1117.1131499999997</v>
      </c>
      <c r="W102" s="6">
        <f t="shared" si="18"/>
        <v>0.29399237431549574</v>
      </c>
      <c r="X102" t="str" cm="1">
        <f t="array" ref="X102">_xlfn.IFS(S102&lt;=25%, "Low", S102&lt;=75%, "Medium", S102&gt;75%, "High")</f>
        <v>Medium</v>
      </c>
      <c r="Y102" s="8">
        <f>Table1[[#This Row],[Quantity]]*(Table1[[#This Row],[UnitPrice]]*(1-Table1[[#This Row],[DiscountPct]]))</f>
        <v>3799.8031499999997</v>
      </c>
      <c r="Z102" s="9">
        <f t="shared" si="19"/>
        <v>1117.1131499999997</v>
      </c>
      <c r="AA102">
        <f>COUNTIF($G$2:G103,G102)</f>
        <v>12</v>
      </c>
      <c r="AB102" s="21">
        <f t="shared" si="20"/>
        <v>44988</v>
      </c>
      <c r="AC102" s="21">
        <f t="shared" si="21"/>
        <v>45016</v>
      </c>
      <c r="AD102" s="5">
        <f>(Table1[[#This Row],[OrderDate]]-Table1[[#This Row],[Date of first order]])/30</f>
        <v>3.3</v>
      </c>
      <c r="AE102" t="str">
        <f t="shared" si="22"/>
        <v>Poor</v>
      </c>
      <c r="AF102">
        <f>COUNTIF(AE$2:AE103,AE102)</f>
        <v>72</v>
      </c>
      <c r="AG102" t="str">
        <f t="shared" si="23"/>
        <v>False</v>
      </c>
      <c r="AH102" s="7">
        <f>Table1[[#This Row],[UnitPrice]]*(1-Table1[[#This Row],[Disc Scenario]])*Table1[[#This Row],[Quantity]]</f>
        <v>3799.8031499999997</v>
      </c>
      <c r="AI102">
        <f>ROUNDDOWN((Table1[[#This Row],[Quantity]]*(1+20%)),0)</f>
        <v>3</v>
      </c>
      <c r="AJ102" s="7">
        <f>Table1[[#This Row],[Quantity increase by 20%]]*Table1[[#This Row],[UnitPrice]]</f>
        <v>4264.6499999999996</v>
      </c>
      <c r="AK102">
        <f>ROUNDDOWN(Table1[[#This Row],[Quantity]]*(1+20%),0)</f>
        <v>3</v>
      </c>
      <c r="AL102" s="7">
        <f>Table1[[#This Row],[UnitCost]]*(1+15%)</f>
        <v>1028.3644999999999</v>
      </c>
      <c r="AM102" s="9">
        <f>Table1[[#This Row],[Quantity]]*Table1[[#This Row],[Cost of unit by inflation 15%]]</f>
        <v>3085.0934999999999</v>
      </c>
      <c r="AN102" s="21" cm="1">
        <f t="array" ref="AN102">_xlfn.UNIQUE(AC102)</f>
        <v>45016</v>
      </c>
    </row>
    <row r="103" spans="1:40" x14ac:dyDescent="0.35">
      <c r="A103" t="s">
        <v>458</v>
      </c>
      <c r="B103" s="21">
        <v>45090</v>
      </c>
      <c r="C103" s="10">
        <v>45101</v>
      </c>
      <c r="D103" s="3">
        <f t="shared" si="12"/>
        <v>11</v>
      </c>
      <c r="E103" s="10" t="str">
        <f t="shared" si="13"/>
        <v>Q2-2023</v>
      </c>
      <c r="F103" t="s">
        <v>647</v>
      </c>
      <c r="G103" t="s">
        <v>652</v>
      </c>
      <c r="H103" t="s">
        <v>666</v>
      </c>
      <c r="I103" t="s">
        <v>700</v>
      </c>
      <c r="J103" t="s">
        <v>707</v>
      </c>
      <c r="K103" t="s">
        <v>711</v>
      </c>
      <c r="L103" t="s">
        <v>727</v>
      </c>
      <c r="M103" t="s">
        <v>1175</v>
      </c>
      <c r="N103" s="3">
        <v>247.07</v>
      </c>
      <c r="O103" s="3">
        <v>495.19</v>
      </c>
      <c r="P103" s="6">
        <v>2.8000000000000001E-2</v>
      </c>
      <c r="Q103" s="6">
        <f>IF(Table1[[#This Row],[DiscountPct]]&gt;25%,25%,Table1[[#This Row],[DiscountPct]])</f>
        <v>2.8000000000000001E-2</v>
      </c>
      <c r="R103" s="5">
        <v>4</v>
      </c>
      <c r="S103" s="6">
        <f t="shared" si="14"/>
        <v>1.0042498077467925</v>
      </c>
      <c r="T103" s="8">
        <f t="shared" si="15"/>
        <v>1925.29872</v>
      </c>
      <c r="U103" s="8">
        <f t="shared" si="16"/>
        <v>988.28</v>
      </c>
      <c r="V103" s="9">
        <f t="shared" si="17"/>
        <v>937.01872000000003</v>
      </c>
      <c r="W103" s="6">
        <f t="shared" si="18"/>
        <v>0.48668744764968214</v>
      </c>
      <c r="X103" t="str" cm="1">
        <f t="array" ref="X103">_xlfn.IFS(S103&lt;=25%, "Low", S103&lt;=75%, "Medium", S103&gt;75%, "High")</f>
        <v>High</v>
      </c>
      <c r="Y103" s="8">
        <f>Table1[[#This Row],[Quantity]]*(Table1[[#This Row],[UnitPrice]]*(1-Table1[[#This Row],[DiscountPct]]))</f>
        <v>1925.29872</v>
      </c>
      <c r="Z103" s="9">
        <f t="shared" si="19"/>
        <v>937.01872000000003</v>
      </c>
      <c r="AA103">
        <f>COUNTIF($G$2:G104,G103)</f>
        <v>6</v>
      </c>
      <c r="AB103" s="21">
        <f t="shared" si="20"/>
        <v>44988</v>
      </c>
      <c r="AC103" s="21">
        <f t="shared" si="21"/>
        <v>45016</v>
      </c>
      <c r="AD103" s="5">
        <f>(Table1[[#This Row],[OrderDate]]-Table1[[#This Row],[Date of first order]])/30</f>
        <v>3.4</v>
      </c>
      <c r="AE103" t="str">
        <f t="shared" si="22"/>
        <v>Poor</v>
      </c>
      <c r="AF103">
        <f>COUNTIF(AE$2:AE104,AE103)</f>
        <v>72</v>
      </c>
      <c r="AG103" t="str">
        <f t="shared" si="23"/>
        <v>False</v>
      </c>
      <c r="AH103" s="7">
        <f>Table1[[#This Row],[UnitPrice]]*(1-Table1[[#This Row],[Disc Scenario]])*Table1[[#This Row],[Quantity]]</f>
        <v>1925.29872</v>
      </c>
      <c r="AI103">
        <f>ROUNDDOWN((Table1[[#This Row],[Quantity]]*(1+20%)),0)</f>
        <v>4</v>
      </c>
      <c r="AJ103" s="7">
        <f>Table1[[#This Row],[Quantity increase by 20%]]*Table1[[#This Row],[UnitPrice]]</f>
        <v>1980.76</v>
      </c>
      <c r="AK103">
        <f>ROUNDDOWN(Table1[[#This Row],[Quantity]]*(1+20%),0)</f>
        <v>4</v>
      </c>
      <c r="AL103" s="7">
        <f>Table1[[#This Row],[UnitCost]]*(1+15%)</f>
        <v>284.13049999999998</v>
      </c>
      <c r="AM103" s="9">
        <f>Table1[[#This Row],[Quantity]]*Table1[[#This Row],[Cost of unit by inflation 15%]]</f>
        <v>1136.5219999999999</v>
      </c>
      <c r="AN103" s="21" cm="1">
        <f t="array" ref="AN103">_xlfn.UNIQUE(AC103)</f>
        <v>45016</v>
      </c>
    </row>
    <row r="104" spans="1:40" x14ac:dyDescent="0.35">
      <c r="A104" t="s">
        <v>93</v>
      </c>
      <c r="B104" s="21">
        <v>45091</v>
      </c>
      <c r="C104" s="10">
        <v>45093</v>
      </c>
      <c r="D104" s="3">
        <f t="shared" si="12"/>
        <v>2</v>
      </c>
      <c r="E104" s="10" t="str">
        <f t="shared" si="13"/>
        <v>Q2-2023</v>
      </c>
      <c r="F104" t="s">
        <v>648</v>
      </c>
      <c r="G104" t="s">
        <v>657</v>
      </c>
      <c r="H104" t="s">
        <v>692</v>
      </c>
      <c r="I104" t="s">
        <v>702</v>
      </c>
      <c r="J104" t="s">
        <v>710</v>
      </c>
      <c r="K104" t="s">
        <v>722</v>
      </c>
      <c r="L104" t="s">
        <v>726</v>
      </c>
      <c r="M104" t="s">
        <v>811</v>
      </c>
      <c r="N104" s="3">
        <v>357.36</v>
      </c>
      <c r="O104" s="3">
        <v>703.62</v>
      </c>
      <c r="P104" s="6">
        <v>0.25700000000000001</v>
      </c>
      <c r="Q104" s="6">
        <f>IF(Table1[[#This Row],[DiscountPct]]&gt;25%,25%,Table1[[#This Row],[DiscountPct]])</f>
        <v>0.25</v>
      </c>
      <c r="R104" s="5">
        <v>20</v>
      </c>
      <c r="S104" s="6">
        <f t="shared" si="14"/>
        <v>0.968938885157824</v>
      </c>
      <c r="T104" s="8">
        <f t="shared" si="15"/>
        <v>10455.7932</v>
      </c>
      <c r="U104" s="8">
        <f t="shared" si="16"/>
        <v>7147.2000000000007</v>
      </c>
      <c r="V104" s="9">
        <f t="shared" si="17"/>
        <v>3308.5931999999993</v>
      </c>
      <c r="W104" s="6">
        <f t="shared" si="18"/>
        <v>0.31643636563125593</v>
      </c>
      <c r="X104" t="str" cm="1">
        <f t="array" ref="X104">_xlfn.IFS(S104&lt;=25%, "Low", S104&lt;=75%, "Medium", S104&gt;75%, "High")</f>
        <v>High</v>
      </c>
      <c r="Y104" s="8">
        <f>Table1[[#This Row],[Quantity]]*(Table1[[#This Row],[UnitPrice]]*(1-Table1[[#This Row],[DiscountPct]]))</f>
        <v>10455.7932</v>
      </c>
      <c r="Z104" s="9">
        <f t="shared" si="19"/>
        <v>3308.5931999999993</v>
      </c>
      <c r="AA104">
        <f>COUNTIF($G$2:G105,G104)</f>
        <v>11</v>
      </c>
      <c r="AB104" s="21">
        <f t="shared" si="20"/>
        <v>44988</v>
      </c>
      <c r="AC104" s="21">
        <f t="shared" si="21"/>
        <v>45016</v>
      </c>
      <c r="AD104" s="5">
        <f>(Table1[[#This Row],[OrderDate]]-Table1[[#This Row],[Date of first order]])/30</f>
        <v>3.4333333333333331</v>
      </c>
      <c r="AE104" t="str">
        <f t="shared" si="22"/>
        <v>Good</v>
      </c>
      <c r="AF104">
        <f>COUNTIF(AE$2:AE105,AE104)</f>
        <v>31</v>
      </c>
      <c r="AG104" t="str">
        <f t="shared" si="23"/>
        <v>True</v>
      </c>
      <c r="AH104" s="7">
        <f>Table1[[#This Row],[UnitPrice]]*(1-Table1[[#This Row],[Disc Scenario]])*Table1[[#This Row],[Quantity]]</f>
        <v>10554.300000000001</v>
      </c>
      <c r="AI104">
        <f>ROUNDDOWN((Table1[[#This Row],[Quantity]]*(1+20%)),0)</f>
        <v>24</v>
      </c>
      <c r="AJ104" s="7">
        <f>Table1[[#This Row],[Quantity increase by 20%]]*Table1[[#This Row],[UnitPrice]]</f>
        <v>16886.88</v>
      </c>
      <c r="AK104">
        <f>ROUNDDOWN(Table1[[#This Row],[Quantity]]*(1+20%),0)</f>
        <v>24</v>
      </c>
      <c r="AL104" s="7">
        <f>Table1[[#This Row],[UnitCost]]*(1+15%)</f>
        <v>410.964</v>
      </c>
      <c r="AM104" s="9">
        <f>Table1[[#This Row],[Quantity]]*Table1[[#This Row],[Cost of unit by inflation 15%]]</f>
        <v>8219.2800000000007</v>
      </c>
      <c r="AN104" s="21" cm="1">
        <f t="array" ref="AN104">_xlfn.UNIQUE(AC104)</f>
        <v>45016</v>
      </c>
    </row>
    <row r="105" spans="1:40" x14ac:dyDescent="0.35">
      <c r="A105" t="s">
        <v>293</v>
      </c>
      <c r="B105" s="21">
        <v>45092</v>
      </c>
      <c r="C105" s="10">
        <v>45100</v>
      </c>
      <c r="D105" s="3">
        <f t="shared" si="12"/>
        <v>8</v>
      </c>
      <c r="E105" s="10" t="str">
        <f t="shared" si="13"/>
        <v>Q2-2023</v>
      </c>
      <c r="F105" t="s">
        <v>647</v>
      </c>
      <c r="G105" t="s">
        <v>659</v>
      </c>
      <c r="H105" t="s">
        <v>685</v>
      </c>
      <c r="I105" t="s">
        <v>703</v>
      </c>
      <c r="J105" t="s">
        <v>709</v>
      </c>
      <c r="K105" t="s">
        <v>718</v>
      </c>
      <c r="L105" t="s">
        <v>731</v>
      </c>
      <c r="M105" t="s">
        <v>1011</v>
      </c>
      <c r="N105" s="3">
        <v>1097.0899999999999</v>
      </c>
      <c r="O105" s="3">
        <v>2182.31</v>
      </c>
      <c r="P105" s="6">
        <v>0.112</v>
      </c>
      <c r="Q105" s="6">
        <f>IF(Table1[[#This Row],[DiscountPct]]&gt;25%,25%,Table1[[#This Row],[DiscountPct]])</f>
        <v>0.112</v>
      </c>
      <c r="R105" s="5">
        <v>9</v>
      </c>
      <c r="S105" s="6">
        <f t="shared" si="14"/>
        <v>0.98918046832985451</v>
      </c>
      <c r="T105" s="8">
        <f t="shared" si="15"/>
        <v>17441.021520000002</v>
      </c>
      <c r="U105" s="8">
        <f t="shared" si="16"/>
        <v>9873.81</v>
      </c>
      <c r="V105" s="9">
        <f t="shared" si="17"/>
        <v>7567.2115200000026</v>
      </c>
      <c r="W105" s="6">
        <f t="shared" si="18"/>
        <v>0.43387432962699546</v>
      </c>
      <c r="X105" t="str" cm="1">
        <f t="array" ref="X105">_xlfn.IFS(S105&lt;=25%, "Low", S105&lt;=75%, "Medium", S105&gt;75%, "High")</f>
        <v>High</v>
      </c>
      <c r="Y105" s="8">
        <f>Table1[[#This Row],[Quantity]]*(Table1[[#This Row],[UnitPrice]]*(1-Table1[[#This Row],[DiscountPct]]))</f>
        <v>17441.021520000002</v>
      </c>
      <c r="Z105" s="9">
        <f t="shared" si="19"/>
        <v>7567.2115200000026</v>
      </c>
      <c r="AA105">
        <f>COUNTIF($G$2:G106,G105)</f>
        <v>10</v>
      </c>
      <c r="AB105" s="21">
        <f t="shared" si="20"/>
        <v>44988</v>
      </c>
      <c r="AC105" s="21">
        <f t="shared" si="21"/>
        <v>45016</v>
      </c>
      <c r="AD105" s="5">
        <f>(Table1[[#This Row],[OrderDate]]-Table1[[#This Row],[Date of first order]])/30</f>
        <v>3.4666666666666668</v>
      </c>
      <c r="AE105" t="str">
        <f t="shared" si="22"/>
        <v>Poor</v>
      </c>
      <c r="AF105">
        <f>COUNTIF(AE$2:AE106,AE105)</f>
        <v>74</v>
      </c>
      <c r="AG105" t="str">
        <f t="shared" si="23"/>
        <v>False</v>
      </c>
      <c r="AH105" s="7">
        <f>Table1[[#This Row],[UnitPrice]]*(1-Table1[[#This Row],[Disc Scenario]])*Table1[[#This Row],[Quantity]]</f>
        <v>17441.021520000002</v>
      </c>
      <c r="AI105">
        <f>ROUNDDOWN((Table1[[#This Row],[Quantity]]*(1+20%)),0)</f>
        <v>10</v>
      </c>
      <c r="AJ105" s="7">
        <f>Table1[[#This Row],[Quantity increase by 20%]]*Table1[[#This Row],[UnitPrice]]</f>
        <v>21823.1</v>
      </c>
      <c r="AK105">
        <f>ROUNDDOWN(Table1[[#This Row],[Quantity]]*(1+20%),0)</f>
        <v>10</v>
      </c>
      <c r="AL105" s="7">
        <f>Table1[[#This Row],[UnitCost]]*(1+15%)</f>
        <v>1261.6534999999999</v>
      </c>
      <c r="AM105" s="9">
        <f>Table1[[#This Row],[Quantity]]*Table1[[#This Row],[Cost of unit by inflation 15%]]</f>
        <v>11354.8815</v>
      </c>
      <c r="AN105" s="21" cm="1">
        <f t="array" ref="AN105">_xlfn.UNIQUE(AC105)</f>
        <v>45016</v>
      </c>
    </row>
    <row r="106" spans="1:40" x14ac:dyDescent="0.35">
      <c r="A106" t="s">
        <v>591</v>
      </c>
      <c r="B106" s="21">
        <v>45092</v>
      </c>
      <c r="C106" s="10">
        <v>45119</v>
      </c>
      <c r="D106" s="3">
        <f t="shared" si="12"/>
        <v>27</v>
      </c>
      <c r="E106" s="10" t="str">
        <f t="shared" si="13"/>
        <v>Q2-2023</v>
      </c>
      <c r="F106" t="s">
        <v>648</v>
      </c>
      <c r="G106" t="s">
        <v>657</v>
      </c>
      <c r="H106" t="s">
        <v>692</v>
      </c>
      <c r="I106" t="s">
        <v>703</v>
      </c>
      <c r="J106" t="s">
        <v>710</v>
      </c>
      <c r="K106" t="s">
        <v>713</v>
      </c>
      <c r="L106" t="s">
        <v>732</v>
      </c>
      <c r="M106" t="s">
        <v>1307</v>
      </c>
      <c r="N106" s="3">
        <v>751.28</v>
      </c>
      <c r="O106" s="3">
        <v>1111.8800000000001</v>
      </c>
      <c r="P106" s="6">
        <v>0.13500000000000001</v>
      </c>
      <c r="Q106" s="6">
        <f>IF(Table1[[#This Row],[DiscountPct]]&gt;25%,25%,Table1[[#This Row],[DiscountPct]])</f>
        <v>0.13500000000000001</v>
      </c>
      <c r="R106" s="5">
        <v>7</v>
      </c>
      <c r="S106" s="6">
        <f t="shared" si="14"/>
        <v>0.4799808327121714</v>
      </c>
      <c r="T106" s="8">
        <f t="shared" si="15"/>
        <v>6732.4334000000008</v>
      </c>
      <c r="U106" s="8">
        <f t="shared" si="16"/>
        <v>5258.96</v>
      </c>
      <c r="V106" s="9">
        <f t="shared" si="17"/>
        <v>1473.4734000000008</v>
      </c>
      <c r="W106" s="6">
        <f t="shared" si="18"/>
        <v>0.21886193482433863</v>
      </c>
      <c r="X106" t="str" cm="1">
        <f t="array" ref="X106">_xlfn.IFS(S106&lt;=25%, "Low", S106&lt;=75%, "Medium", S106&gt;75%, "High")</f>
        <v>Medium</v>
      </c>
      <c r="Y106" s="8">
        <f>Table1[[#This Row],[Quantity]]*(Table1[[#This Row],[UnitPrice]]*(1-Table1[[#This Row],[DiscountPct]]))</f>
        <v>6732.4334000000008</v>
      </c>
      <c r="Z106" s="9">
        <f t="shared" si="19"/>
        <v>1473.4734000000008</v>
      </c>
      <c r="AA106">
        <f>COUNTIF($G$2:G107,G106)</f>
        <v>12</v>
      </c>
      <c r="AB106" s="21">
        <f t="shared" si="20"/>
        <v>44988</v>
      </c>
      <c r="AC106" s="21">
        <f t="shared" si="21"/>
        <v>45016</v>
      </c>
      <c r="AD106" s="5">
        <f>(Table1[[#This Row],[OrderDate]]-Table1[[#This Row],[Date of first order]])/30</f>
        <v>3.4666666666666668</v>
      </c>
      <c r="AE106" t="str">
        <f t="shared" si="22"/>
        <v>Poor</v>
      </c>
      <c r="AF106">
        <f>COUNTIF(AE$2:AE107,AE106)</f>
        <v>74</v>
      </c>
      <c r="AG106" t="str">
        <f t="shared" si="23"/>
        <v>False</v>
      </c>
      <c r="AH106" s="7">
        <f>Table1[[#This Row],[UnitPrice]]*(1-Table1[[#This Row],[Disc Scenario]])*Table1[[#This Row],[Quantity]]</f>
        <v>6732.4334000000008</v>
      </c>
      <c r="AI106">
        <f>ROUNDDOWN((Table1[[#This Row],[Quantity]]*(1+20%)),0)</f>
        <v>8</v>
      </c>
      <c r="AJ106" s="7">
        <f>Table1[[#This Row],[Quantity increase by 20%]]*Table1[[#This Row],[UnitPrice]]</f>
        <v>8895.0400000000009</v>
      </c>
      <c r="AK106">
        <f>ROUNDDOWN(Table1[[#This Row],[Quantity]]*(1+20%),0)</f>
        <v>8</v>
      </c>
      <c r="AL106" s="7">
        <f>Table1[[#This Row],[UnitCost]]*(1+15%)</f>
        <v>863.97199999999987</v>
      </c>
      <c r="AM106" s="9">
        <f>Table1[[#This Row],[Quantity]]*Table1[[#This Row],[Cost of unit by inflation 15%]]</f>
        <v>6047.8039999999992</v>
      </c>
      <c r="AN106" s="21" cm="1">
        <f t="array" ref="AN106">_xlfn.UNIQUE(AC106)</f>
        <v>45016</v>
      </c>
    </row>
    <row r="107" spans="1:40" x14ac:dyDescent="0.35">
      <c r="A107" t="s">
        <v>54</v>
      </c>
      <c r="B107" s="21">
        <v>45094</v>
      </c>
      <c r="C107" s="10">
        <v>45101</v>
      </c>
      <c r="D107" s="3">
        <f t="shared" si="12"/>
        <v>7</v>
      </c>
      <c r="E107" s="10" t="str">
        <f t="shared" si="13"/>
        <v>Q2-2023</v>
      </c>
      <c r="F107" t="s">
        <v>647</v>
      </c>
      <c r="G107" t="s">
        <v>659</v>
      </c>
      <c r="H107" t="s">
        <v>685</v>
      </c>
      <c r="I107" t="s">
        <v>700</v>
      </c>
      <c r="J107" t="s">
        <v>706</v>
      </c>
      <c r="K107" t="s">
        <v>713</v>
      </c>
      <c r="L107" t="s">
        <v>727</v>
      </c>
      <c r="M107" t="s">
        <v>772</v>
      </c>
      <c r="N107" s="3">
        <v>313.99</v>
      </c>
      <c r="O107" s="3">
        <v>454.42</v>
      </c>
      <c r="P107" s="6">
        <v>0.129</v>
      </c>
      <c r="Q107" s="6">
        <f>IF(Table1[[#This Row],[DiscountPct]]&gt;25%,25%,Table1[[#This Row],[DiscountPct]])</f>
        <v>0.129</v>
      </c>
      <c r="R107" s="5">
        <v>9</v>
      </c>
      <c r="S107" s="6">
        <f t="shared" si="14"/>
        <v>0.44724354278798689</v>
      </c>
      <c r="T107" s="8">
        <f t="shared" si="15"/>
        <v>3562.1983800000003</v>
      </c>
      <c r="U107" s="8">
        <f t="shared" si="16"/>
        <v>2825.91</v>
      </c>
      <c r="V107" s="9">
        <f t="shared" si="17"/>
        <v>736.28838000000042</v>
      </c>
      <c r="W107" s="6">
        <f t="shared" si="18"/>
        <v>0.20669493988147858</v>
      </c>
      <c r="X107" t="str" cm="1">
        <f t="array" ref="X107">_xlfn.IFS(S107&lt;=25%, "Low", S107&lt;=75%, "Medium", S107&gt;75%, "High")</f>
        <v>Medium</v>
      </c>
      <c r="Y107" s="8">
        <f>Table1[[#This Row],[Quantity]]*(Table1[[#This Row],[UnitPrice]]*(1-Table1[[#This Row],[DiscountPct]]))</f>
        <v>3562.1983800000003</v>
      </c>
      <c r="Z107" s="9">
        <f t="shared" si="19"/>
        <v>736.28838000000042</v>
      </c>
      <c r="AA107">
        <f>COUNTIF($G$2:G108,G107)</f>
        <v>12</v>
      </c>
      <c r="AB107" s="21">
        <f t="shared" si="20"/>
        <v>44988</v>
      </c>
      <c r="AC107" s="21">
        <f t="shared" si="21"/>
        <v>45016</v>
      </c>
      <c r="AD107" s="5">
        <f>(Table1[[#This Row],[OrderDate]]-Table1[[#This Row],[Date of first order]])/30</f>
        <v>3.5333333333333332</v>
      </c>
      <c r="AE107" t="str">
        <f t="shared" si="22"/>
        <v>Good</v>
      </c>
      <c r="AF107">
        <f>COUNTIF(AE$2:AE108,AE107)</f>
        <v>32</v>
      </c>
      <c r="AG107" t="str">
        <f t="shared" si="23"/>
        <v>False</v>
      </c>
      <c r="AH107" s="7">
        <f>Table1[[#This Row],[UnitPrice]]*(1-Table1[[#This Row],[Disc Scenario]])*Table1[[#This Row],[Quantity]]</f>
        <v>3562.1983800000003</v>
      </c>
      <c r="AI107">
        <f>ROUNDDOWN((Table1[[#This Row],[Quantity]]*(1+20%)),0)</f>
        <v>10</v>
      </c>
      <c r="AJ107" s="7">
        <f>Table1[[#This Row],[Quantity increase by 20%]]*Table1[[#This Row],[UnitPrice]]</f>
        <v>4544.2</v>
      </c>
      <c r="AK107">
        <f>ROUNDDOWN(Table1[[#This Row],[Quantity]]*(1+20%),0)</f>
        <v>10</v>
      </c>
      <c r="AL107" s="7">
        <f>Table1[[#This Row],[UnitCost]]*(1+15%)</f>
        <v>361.08850000000001</v>
      </c>
      <c r="AM107" s="9">
        <f>Table1[[#This Row],[Quantity]]*Table1[[#This Row],[Cost of unit by inflation 15%]]</f>
        <v>3249.7964999999999</v>
      </c>
      <c r="AN107" s="21" cm="1">
        <f t="array" ref="AN107">_xlfn.UNIQUE(AC107)</f>
        <v>45016</v>
      </c>
    </row>
    <row r="108" spans="1:40" x14ac:dyDescent="0.35">
      <c r="A108" t="s">
        <v>396</v>
      </c>
      <c r="B108" s="21">
        <v>45097</v>
      </c>
      <c r="C108" s="10">
        <v>45115</v>
      </c>
      <c r="D108" s="3">
        <f t="shared" si="12"/>
        <v>18</v>
      </c>
      <c r="E108" s="10" t="str">
        <f t="shared" si="13"/>
        <v>Q2-2023</v>
      </c>
      <c r="F108" t="s">
        <v>647</v>
      </c>
      <c r="G108" t="s">
        <v>659</v>
      </c>
      <c r="H108" t="s">
        <v>699</v>
      </c>
      <c r="I108" t="s">
        <v>703</v>
      </c>
      <c r="J108" t="s">
        <v>708</v>
      </c>
      <c r="K108" t="s">
        <v>718</v>
      </c>
      <c r="L108" t="s">
        <v>728</v>
      </c>
      <c r="M108" t="s">
        <v>1113</v>
      </c>
      <c r="N108" s="3">
        <v>1145.53</v>
      </c>
      <c r="O108" s="3">
        <v>1278.3</v>
      </c>
      <c r="P108" s="6">
        <v>0.09</v>
      </c>
      <c r="Q108" s="6">
        <f>IF(Table1[[#This Row],[DiscountPct]]&gt;25%,25%,Table1[[#This Row],[DiscountPct]])</f>
        <v>0.09</v>
      </c>
      <c r="R108" s="5">
        <v>41</v>
      </c>
      <c r="S108" s="6">
        <f t="shared" si="14"/>
        <v>0.11590268260106674</v>
      </c>
      <c r="T108" s="8">
        <f t="shared" si="15"/>
        <v>47693.373</v>
      </c>
      <c r="U108" s="8">
        <f t="shared" si="16"/>
        <v>46966.729999999996</v>
      </c>
      <c r="V108" s="9">
        <f t="shared" si="17"/>
        <v>726.64300000000367</v>
      </c>
      <c r="W108" s="6">
        <f t="shared" si="18"/>
        <v>1.5235722581416158E-2</v>
      </c>
      <c r="X108" t="str" cm="1">
        <f t="array" ref="X108">_xlfn.IFS(S108&lt;=25%, "Low", S108&lt;=75%, "Medium", S108&gt;75%, "High")</f>
        <v>Low</v>
      </c>
      <c r="Y108" s="8">
        <f>Table1[[#This Row],[Quantity]]*(Table1[[#This Row],[UnitPrice]]*(1-Table1[[#This Row],[DiscountPct]]))</f>
        <v>47693.373</v>
      </c>
      <c r="Z108" s="9">
        <f t="shared" si="19"/>
        <v>726.64300000000367</v>
      </c>
      <c r="AA108">
        <f>COUNTIF($G$2:G109,G108)</f>
        <v>12</v>
      </c>
      <c r="AB108" s="21">
        <f t="shared" si="20"/>
        <v>44988</v>
      </c>
      <c r="AC108" s="21">
        <f t="shared" si="21"/>
        <v>45016</v>
      </c>
      <c r="AD108" s="5">
        <f>(Table1[[#This Row],[OrderDate]]-Table1[[#This Row],[Date of first order]])/30</f>
        <v>3.6333333333333333</v>
      </c>
      <c r="AE108" t="str">
        <f t="shared" si="22"/>
        <v>Poor</v>
      </c>
      <c r="AF108">
        <f>COUNTIF(AE$2:AE109,AE108)</f>
        <v>76</v>
      </c>
      <c r="AG108" t="str">
        <f t="shared" si="23"/>
        <v>False</v>
      </c>
      <c r="AH108" s="7">
        <f>Table1[[#This Row],[UnitPrice]]*(1-Table1[[#This Row],[Disc Scenario]])*Table1[[#This Row],[Quantity]]</f>
        <v>47693.373</v>
      </c>
      <c r="AI108">
        <f>ROUNDDOWN((Table1[[#This Row],[Quantity]]*(1+20%)),0)</f>
        <v>49</v>
      </c>
      <c r="AJ108" s="7">
        <f>Table1[[#This Row],[Quantity increase by 20%]]*Table1[[#This Row],[UnitPrice]]</f>
        <v>62636.7</v>
      </c>
      <c r="AK108">
        <f>ROUNDDOWN(Table1[[#This Row],[Quantity]]*(1+20%),0)</f>
        <v>49</v>
      </c>
      <c r="AL108" s="7">
        <f>Table1[[#This Row],[UnitCost]]*(1+15%)</f>
        <v>1317.3594999999998</v>
      </c>
      <c r="AM108" s="9">
        <f>Table1[[#This Row],[Quantity]]*Table1[[#This Row],[Cost of unit by inflation 15%]]</f>
        <v>54011.739499999989</v>
      </c>
      <c r="AN108" s="21" cm="1">
        <f t="array" ref="AN108">_xlfn.UNIQUE(AC108)</f>
        <v>45016</v>
      </c>
    </row>
    <row r="109" spans="1:40" x14ac:dyDescent="0.35">
      <c r="A109" t="s">
        <v>509</v>
      </c>
      <c r="B109" s="21">
        <v>45097</v>
      </c>
      <c r="C109" s="10">
        <v>45111</v>
      </c>
      <c r="D109" s="3">
        <f t="shared" si="12"/>
        <v>14</v>
      </c>
      <c r="E109" s="10" t="str">
        <f t="shared" si="13"/>
        <v>Q2-2023</v>
      </c>
      <c r="F109" t="s">
        <v>647</v>
      </c>
      <c r="G109" t="s">
        <v>654</v>
      </c>
      <c r="H109" t="s">
        <v>671</v>
      </c>
      <c r="I109" t="s">
        <v>702</v>
      </c>
      <c r="J109" t="s">
        <v>710</v>
      </c>
      <c r="K109" t="s">
        <v>711</v>
      </c>
      <c r="L109" t="s">
        <v>728</v>
      </c>
      <c r="M109" t="s">
        <v>1226</v>
      </c>
      <c r="N109" s="3">
        <v>1292.8599999999999</v>
      </c>
      <c r="O109" s="3">
        <v>2981.01</v>
      </c>
      <c r="P109" s="6">
        <v>0.14199999999999999</v>
      </c>
      <c r="Q109" s="6">
        <f>IF(Table1[[#This Row],[DiscountPct]]&gt;25%,25%,Table1[[#This Row],[DiscountPct]])</f>
        <v>0.14199999999999999</v>
      </c>
      <c r="R109" s="5">
        <v>12</v>
      </c>
      <c r="S109" s="6">
        <f t="shared" si="14"/>
        <v>1.3057484955834355</v>
      </c>
      <c r="T109" s="8">
        <f t="shared" si="15"/>
        <v>30692.47896</v>
      </c>
      <c r="U109" s="8">
        <f t="shared" si="16"/>
        <v>15514.32</v>
      </c>
      <c r="V109" s="9">
        <f t="shared" si="17"/>
        <v>15178.158960000001</v>
      </c>
      <c r="W109" s="6">
        <f t="shared" si="18"/>
        <v>0.49452372288927687</v>
      </c>
      <c r="X109" t="str" cm="1">
        <f t="array" ref="X109">_xlfn.IFS(S109&lt;=25%, "Low", S109&lt;=75%, "Medium", S109&gt;75%, "High")</f>
        <v>High</v>
      </c>
      <c r="Y109" s="8">
        <f>Table1[[#This Row],[Quantity]]*(Table1[[#This Row],[UnitPrice]]*(1-Table1[[#This Row],[DiscountPct]]))</f>
        <v>30692.47896</v>
      </c>
      <c r="Z109" s="9">
        <f t="shared" si="19"/>
        <v>15178.158960000001</v>
      </c>
      <c r="AA109">
        <f>COUNTIF($G$2:G110,G109)</f>
        <v>7</v>
      </c>
      <c r="AB109" s="21">
        <f t="shared" si="20"/>
        <v>44988</v>
      </c>
      <c r="AC109" s="21">
        <f t="shared" si="21"/>
        <v>45016</v>
      </c>
      <c r="AD109" s="5">
        <f>(Table1[[#This Row],[OrderDate]]-Table1[[#This Row],[Date of first order]])/30</f>
        <v>3.6333333333333333</v>
      </c>
      <c r="AE109" t="str">
        <f t="shared" si="22"/>
        <v>Poor</v>
      </c>
      <c r="AF109">
        <f>COUNTIF(AE$2:AE110,AE109)</f>
        <v>77</v>
      </c>
      <c r="AG109" t="str">
        <f t="shared" si="23"/>
        <v>False</v>
      </c>
      <c r="AH109" s="7">
        <f>Table1[[#This Row],[UnitPrice]]*(1-Table1[[#This Row],[Disc Scenario]])*Table1[[#This Row],[Quantity]]</f>
        <v>30692.47896</v>
      </c>
      <c r="AI109">
        <f>ROUNDDOWN((Table1[[#This Row],[Quantity]]*(1+20%)),0)</f>
        <v>14</v>
      </c>
      <c r="AJ109" s="7">
        <f>Table1[[#This Row],[Quantity increase by 20%]]*Table1[[#This Row],[UnitPrice]]</f>
        <v>41734.14</v>
      </c>
      <c r="AK109">
        <f>ROUNDDOWN(Table1[[#This Row],[Quantity]]*(1+20%),0)</f>
        <v>14</v>
      </c>
      <c r="AL109" s="7">
        <f>Table1[[#This Row],[UnitCost]]*(1+15%)</f>
        <v>1486.7889999999998</v>
      </c>
      <c r="AM109" s="9">
        <f>Table1[[#This Row],[Quantity]]*Table1[[#This Row],[Cost of unit by inflation 15%]]</f>
        <v>17841.467999999997</v>
      </c>
      <c r="AN109" s="21" cm="1">
        <f t="array" ref="AN109">_xlfn.UNIQUE(AC109)</f>
        <v>45016</v>
      </c>
    </row>
    <row r="110" spans="1:40" x14ac:dyDescent="0.35">
      <c r="A110" t="s">
        <v>310</v>
      </c>
      <c r="B110" s="21">
        <v>45097</v>
      </c>
      <c r="C110" s="10">
        <v>45115</v>
      </c>
      <c r="D110" s="3">
        <f t="shared" si="12"/>
        <v>18</v>
      </c>
      <c r="E110" s="10" t="str">
        <f t="shared" si="13"/>
        <v>Q2-2023</v>
      </c>
      <c r="F110" t="s">
        <v>647</v>
      </c>
      <c r="G110" t="s">
        <v>659</v>
      </c>
      <c r="H110" t="s">
        <v>696</v>
      </c>
      <c r="I110" t="s">
        <v>702</v>
      </c>
      <c r="J110" t="s">
        <v>710</v>
      </c>
      <c r="K110" t="s">
        <v>720</v>
      </c>
      <c r="L110" t="s">
        <v>731</v>
      </c>
      <c r="M110" t="s">
        <v>1028</v>
      </c>
      <c r="N110" s="3">
        <v>337</v>
      </c>
      <c r="O110" s="3">
        <v>511.03</v>
      </c>
      <c r="P110" s="6">
        <v>0.108</v>
      </c>
      <c r="Q110" s="6">
        <f>IF(Table1[[#This Row],[DiscountPct]]&gt;25%,25%,Table1[[#This Row],[DiscountPct]])</f>
        <v>0.108</v>
      </c>
      <c r="R110" s="5">
        <v>7</v>
      </c>
      <c r="S110" s="6">
        <f t="shared" si="14"/>
        <v>0.51640949554896132</v>
      </c>
      <c r="T110" s="8">
        <f t="shared" si="15"/>
        <v>3190.8713200000002</v>
      </c>
      <c r="U110" s="8">
        <f t="shared" si="16"/>
        <v>2359</v>
      </c>
      <c r="V110" s="9">
        <f t="shared" si="17"/>
        <v>831.8713200000002</v>
      </c>
      <c r="W110" s="6">
        <f t="shared" si="18"/>
        <v>0.26070349963219458</v>
      </c>
      <c r="X110" t="str" cm="1">
        <f t="array" ref="X110">_xlfn.IFS(S110&lt;=25%, "Low", S110&lt;=75%, "Medium", S110&gt;75%, "High")</f>
        <v>Medium</v>
      </c>
      <c r="Y110" s="8">
        <f>Table1[[#This Row],[Quantity]]*(Table1[[#This Row],[UnitPrice]]*(1-Table1[[#This Row],[DiscountPct]]))</f>
        <v>3190.8713199999997</v>
      </c>
      <c r="Z110" s="9">
        <f t="shared" si="19"/>
        <v>831.87131999999974</v>
      </c>
      <c r="AA110">
        <f>COUNTIF($G$2:G111,G110)</f>
        <v>13</v>
      </c>
      <c r="AB110" s="21">
        <f t="shared" si="20"/>
        <v>44988</v>
      </c>
      <c r="AC110" s="21">
        <f t="shared" si="21"/>
        <v>45016</v>
      </c>
      <c r="AD110" s="5">
        <f>(Table1[[#This Row],[OrderDate]]-Table1[[#This Row],[Date of first order]])/30</f>
        <v>3.6333333333333333</v>
      </c>
      <c r="AE110" t="str">
        <f t="shared" si="22"/>
        <v>Poor</v>
      </c>
      <c r="AF110">
        <f>COUNTIF(AE$2:AE111,AE110)</f>
        <v>77</v>
      </c>
      <c r="AG110" t="str">
        <f t="shared" si="23"/>
        <v>False</v>
      </c>
      <c r="AH110" s="7">
        <f>Table1[[#This Row],[UnitPrice]]*(1-Table1[[#This Row],[Disc Scenario]])*Table1[[#This Row],[Quantity]]</f>
        <v>3190.8713199999997</v>
      </c>
      <c r="AI110">
        <f>ROUNDDOWN((Table1[[#This Row],[Quantity]]*(1+20%)),0)</f>
        <v>8</v>
      </c>
      <c r="AJ110" s="7">
        <f>Table1[[#This Row],[Quantity increase by 20%]]*Table1[[#This Row],[UnitPrice]]</f>
        <v>4088.24</v>
      </c>
      <c r="AK110">
        <f>ROUNDDOWN(Table1[[#This Row],[Quantity]]*(1+20%),0)</f>
        <v>8</v>
      </c>
      <c r="AL110" s="7">
        <f>Table1[[#This Row],[UnitCost]]*(1+15%)</f>
        <v>387.54999999999995</v>
      </c>
      <c r="AM110" s="9">
        <f>Table1[[#This Row],[Quantity]]*Table1[[#This Row],[Cost of unit by inflation 15%]]</f>
        <v>2712.8499999999995</v>
      </c>
      <c r="AN110" s="21" cm="1">
        <f t="array" ref="AN110">_xlfn.UNIQUE(AC110)</f>
        <v>45016</v>
      </c>
    </row>
    <row r="111" spans="1:40" x14ac:dyDescent="0.35">
      <c r="A111" t="s">
        <v>325</v>
      </c>
      <c r="B111" s="21">
        <v>45099</v>
      </c>
      <c r="C111" s="10">
        <v>45101</v>
      </c>
      <c r="D111" s="3">
        <f t="shared" si="12"/>
        <v>2</v>
      </c>
      <c r="E111" s="10" t="str">
        <f t="shared" si="13"/>
        <v>Q2-2023</v>
      </c>
      <c r="F111" t="s">
        <v>647</v>
      </c>
      <c r="G111" t="s">
        <v>652</v>
      </c>
      <c r="H111" t="s">
        <v>666</v>
      </c>
      <c r="I111" t="s">
        <v>702</v>
      </c>
      <c r="J111" t="s">
        <v>706</v>
      </c>
      <c r="K111" t="s">
        <v>723</v>
      </c>
      <c r="L111" t="s">
        <v>732</v>
      </c>
      <c r="M111" t="s">
        <v>1043</v>
      </c>
      <c r="N111" s="3">
        <v>471.42</v>
      </c>
      <c r="O111" s="3">
        <v>824.81</v>
      </c>
      <c r="P111" s="6">
        <v>8.7999999999999995E-2</v>
      </c>
      <c r="Q111" s="6">
        <f>IF(Table1[[#This Row],[DiscountPct]]&gt;25%,25%,Table1[[#This Row],[DiscountPct]])</f>
        <v>8.7999999999999995E-2</v>
      </c>
      <c r="R111" s="5">
        <v>15</v>
      </c>
      <c r="S111" s="6">
        <f t="shared" si="14"/>
        <v>0.74962878112935372</v>
      </c>
      <c r="T111" s="8">
        <f t="shared" si="15"/>
        <v>11283.400799999999</v>
      </c>
      <c r="U111" s="8">
        <f t="shared" si="16"/>
        <v>7071.3</v>
      </c>
      <c r="V111" s="9">
        <f t="shared" si="17"/>
        <v>4212.1007999999993</v>
      </c>
      <c r="W111" s="6">
        <f t="shared" si="18"/>
        <v>0.37330064531608231</v>
      </c>
      <c r="X111" t="str" cm="1">
        <f t="array" ref="X111">_xlfn.IFS(S111&lt;=25%, "Low", S111&lt;=75%, "Medium", S111&gt;75%, "High")</f>
        <v>Medium</v>
      </c>
      <c r="Y111" s="8">
        <f>Table1[[#This Row],[Quantity]]*(Table1[[#This Row],[UnitPrice]]*(1-Table1[[#This Row],[DiscountPct]]))</f>
        <v>11283.400799999999</v>
      </c>
      <c r="Z111" s="9">
        <f t="shared" si="19"/>
        <v>4212.1007999999993</v>
      </c>
      <c r="AA111">
        <f>COUNTIF($G$2:G112,G111)</f>
        <v>7</v>
      </c>
      <c r="AB111" s="21">
        <f t="shared" si="20"/>
        <v>44988</v>
      </c>
      <c r="AC111" s="21">
        <f t="shared" si="21"/>
        <v>45016</v>
      </c>
      <c r="AD111" s="5">
        <f>(Table1[[#This Row],[OrderDate]]-Table1[[#This Row],[Date of first order]])/30</f>
        <v>3.7</v>
      </c>
      <c r="AE111" t="str">
        <f t="shared" si="22"/>
        <v>Good</v>
      </c>
      <c r="AF111">
        <f>COUNTIF(AE$2:AE112,AE111)</f>
        <v>33</v>
      </c>
      <c r="AG111" t="str">
        <f t="shared" si="23"/>
        <v>False</v>
      </c>
      <c r="AH111" s="7">
        <f>Table1[[#This Row],[UnitPrice]]*(1-Table1[[#This Row],[Disc Scenario]])*Table1[[#This Row],[Quantity]]</f>
        <v>11283.400799999999</v>
      </c>
      <c r="AI111">
        <f>ROUNDDOWN((Table1[[#This Row],[Quantity]]*(1+20%)),0)</f>
        <v>18</v>
      </c>
      <c r="AJ111" s="7">
        <f>Table1[[#This Row],[Quantity increase by 20%]]*Table1[[#This Row],[UnitPrice]]</f>
        <v>14846.579999999998</v>
      </c>
      <c r="AK111">
        <f>ROUNDDOWN(Table1[[#This Row],[Quantity]]*(1+20%),0)</f>
        <v>18</v>
      </c>
      <c r="AL111" s="7">
        <f>Table1[[#This Row],[UnitCost]]*(1+15%)</f>
        <v>542.13299999999992</v>
      </c>
      <c r="AM111" s="9">
        <f>Table1[[#This Row],[Quantity]]*Table1[[#This Row],[Cost of unit by inflation 15%]]</f>
        <v>8131.994999999999</v>
      </c>
      <c r="AN111" s="21" cm="1">
        <f t="array" ref="AN111">_xlfn.UNIQUE(AC111)</f>
        <v>45016</v>
      </c>
    </row>
    <row r="112" spans="1:40" x14ac:dyDescent="0.35">
      <c r="A112" t="s">
        <v>199</v>
      </c>
      <c r="B112" s="21">
        <v>45099</v>
      </c>
      <c r="C112" s="10">
        <v>45128</v>
      </c>
      <c r="D112" s="3">
        <f t="shared" si="12"/>
        <v>29</v>
      </c>
      <c r="E112" s="10" t="str">
        <f t="shared" si="13"/>
        <v>Q2-2023</v>
      </c>
      <c r="F112" t="s">
        <v>648</v>
      </c>
      <c r="G112" t="s">
        <v>656</v>
      </c>
      <c r="H112" t="s">
        <v>678</v>
      </c>
      <c r="I112" t="s">
        <v>700</v>
      </c>
      <c r="J112" t="s">
        <v>706</v>
      </c>
      <c r="K112" t="s">
        <v>712</v>
      </c>
      <c r="L112" t="s">
        <v>732</v>
      </c>
      <c r="M112" t="s">
        <v>917</v>
      </c>
      <c r="N112" s="3">
        <v>734.34</v>
      </c>
      <c r="O112" s="3">
        <v>887.9</v>
      </c>
      <c r="P112" s="6">
        <v>2.5000000000000001E-2</v>
      </c>
      <c r="Q112" s="6">
        <f>IF(Table1[[#This Row],[DiscountPct]]&gt;25%,25%,Table1[[#This Row],[DiscountPct]])</f>
        <v>2.5000000000000001E-2</v>
      </c>
      <c r="R112" s="5">
        <v>12</v>
      </c>
      <c r="S112" s="6">
        <f t="shared" si="14"/>
        <v>0.20911294495737662</v>
      </c>
      <c r="T112" s="8">
        <f t="shared" si="15"/>
        <v>10388.429999999998</v>
      </c>
      <c r="U112" s="8">
        <f t="shared" si="16"/>
        <v>8812.08</v>
      </c>
      <c r="V112" s="9">
        <f t="shared" si="17"/>
        <v>1576.3499999999985</v>
      </c>
      <c r="W112" s="6">
        <f t="shared" si="18"/>
        <v>0.15174092716608753</v>
      </c>
      <c r="X112" t="str" cm="1">
        <f t="array" ref="X112">_xlfn.IFS(S112&lt;=25%, "Low", S112&lt;=75%, "Medium", S112&gt;75%, "High")</f>
        <v>Low</v>
      </c>
      <c r="Y112" s="8">
        <f>Table1[[#This Row],[Quantity]]*(Table1[[#This Row],[UnitPrice]]*(1-Table1[[#This Row],[DiscountPct]]))</f>
        <v>10388.43</v>
      </c>
      <c r="Z112" s="9">
        <f t="shared" si="19"/>
        <v>1576.3500000000004</v>
      </c>
      <c r="AA112">
        <f>COUNTIF($G$2:G113,G112)</f>
        <v>7</v>
      </c>
      <c r="AB112" s="21">
        <f t="shared" si="20"/>
        <v>44988</v>
      </c>
      <c r="AC112" s="21">
        <f t="shared" si="21"/>
        <v>45016</v>
      </c>
      <c r="AD112" s="5">
        <f>(Table1[[#This Row],[OrderDate]]-Table1[[#This Row],[Date of first order]])/30</f>
        <v>3.7</v>
      </c>
      <c r="AE112" t="str">
        <f t="shared" si="22"/>
        <v>Poor</v>
      </c>
      <c r="AF112">
        <f>COUNTIF(AE$2:AE113,AE112)</f>
        <v>79</v>
      </c>
      <c r="AG112" t="str">
        <f t="shared" si="23"/>
        <v>False</v>
      </c>
      <c r="AH112" s="7">
        <f>Table1[[#This Row],[UnitPrice]]*(1-Table1[[#This Row],[Disc Scenario]])*Table1[[#This Row],[Quantity]]</f>
        <v>10388.43</v>
      </c>
      <c r="AI112">
        <f>ROUNDDOWN((Table1[[#This Row],[Quantity]]*(1+20%)),0)</f>
        <v>14</v>
      </c>
      <c r="AJ112" s="7">
        <f>Table1[[#This Row],[Quantity increase by 20%]]*Table1[[#This Row],[UnitPrice]]</f>
        <v>12430.6</v>
      </c>
      <c r="AK112">
        <f>ROUNDDOWN(Table1[[#This Row],[Quantity]]*(1+20%),0)</f>
        <v>14</v>
      </c>
      <c r="AL112" s="7">
        <f>Table1[[#This Row],[UnitCost]]*(1+15%)</f>
        <v>844.49099999999999</v>
      </c>
      <c r="AM112" s="9">
        <f>Table1[[#This Row],[Quantity]]*Table1[[#This Row],[Cost of unit by inflation 15%]]</f>
        <v>10133.892</v>
      </c>
      <c r="AN112" s="21" cm="1">
        <f t="array" ref="AN112">_xlfn.UNIQUE(AC112)</f>
        <v>45016</v>
      </c>
    </row>
    <row r="113" spans="1:40" x14ac:dyDescent="0.35">
      <c r="A113" t="s">
        <v>641</v>
      </c>
      <c r="B113" s="21">
        <v>45100</v>
      </c>
      <c r="C113" s="10">
        <v>45125</v>
      </c>
      <c r="D113" s="3">
        <f t="shared" si="12"/>
        <v>25</v>
      </c>
      <c r="E113" s="10" t="str">
        <f t="shared" si="13"/>
        <v>Q2-2023</v>
      </c>
      <c r="F113" t="s">
        <v>647</v>
      </c>
      <c r="G113" t="s">
        <v>652</v>
      </c>
      <c r="H113" t="s">
        <v>687</v>
      </c>
      <c r="I113" t="s">
        <v>705</v>
      </c>
      <c r="J113" t="s">
        <v>707</v>
      </c>
      <c r="K113" t="s">
        <v>724</v>
      </c>
      <c r="L113" t="s">
        <v>729</v>
      </c>
      <c r="M113" t="s">
        <v>1357</v>
      </c>
      <c r="N113" s="3">
        <v>807.02</v>
      </c>
      <c r="O113" s="3">
        <v>1435.54</v>
      </c>
      <c r="P113" s="6">
        <v>0</v>
      </c>
      <c r="Q113" s="6">
        <f>IF(Table1[[#This Row],[DiscountPct]]&gt;25%,25%,Table1[[#This Row],[DiscountPct]])</f>
        <v>0</v>
      </c>
      <c r="R113" s="5">
        <v>23</v>
      </c>
      <c r="S113" s="6">
        <f t="shared" si="14"/>
        <v>0.77881589056033307</v>
      </c>
      <c r="T113" s="8">
        <f t="shared" si="15"/>
        <v>33017.42</v>
      </c>
      <c r="U113" s="8">
        <f t="shared" si="16"/>
        <v>18561.46</v>
      </c>
      <c r="V113" s="9">
        <f t="shared" si="17"/>
        <v>14455.96</v>
      </c>
      <c r="W113" s="6">
        <f t="shared" si="18"/>
        <v>0.43782827368098415</v>
      </c>
      <c r="X113" t="str" cm="1">
        <f t="array" ref="X113">_xlfn.IFS(S113&lt;=25%, "Low", S113&lt;=75%, "Medium", S113&gt;75%, "High")</f>
        <v>High</v>
      </c>
      <c r="Y113" s="8">
        <f>Table1[[#This Row],[Quantity]]*(Table1[[#This Row],[UnitPrice]]*(1-Table1[[#This Row],[DiscountPct]]))</f>
        <v>33017.42</v>
      </c>
      <c r="Z113" s="9">
        <f t="shared" si="19"/>
        <v>14455.96</v>
      </c>
      <c r="AA113">
        <f>COUNTIF($G$2:G114,G113)</f>
        <v>8</v>
      </c>
      <c r="AB113" s="21">
        <f t="shared" si="20"/>
        <v>44988</v>
      </c>
      <c r="AC113" s="21">
        <f t="shared" si="21"/>
        <v>45016</v>
      </c>
      <c r="AD113" s="5">
        <f>(Table1[[#This Row],[OrderDate]]-Table1[[#This Row],[Date of first order]])/30</f>
        <v>3.7333333333333334</v>
      </c>
      <c r="AE113" t="str">
        <f t="shared" si="22"/>
        <v>Poor</v>
      </c>
      <c r="AF113">
        <f>COUNTIF(AE$2:AE114,AE113)</f>
        <v>79</v>
      </c>
      <c r="AG113" t="str">
        <f t="shared" si="23"/>
        <v>False</v>
      </c>
      <c r="AH113" s="7">
        <f>Table1[[#This Row],[UnitPrice]]*(1-Table1[[#This Row],[Disc Scenario]])*Table1[[#This Row],[Quantity]]</f>
        <v>33017.42</v>
      </c>
      <c r="AI113">
        <f>ROUNDDOWN((Table1[[#This Row],[Quantity]]*(1+20%)),0)</f>
        <v>27</v>
      </c>
      <c r="AJ113" s="7">
        <f>Table1[[#This Row],[Quantity increase by 20%]]*Table1[[#This Row],[UnitPrice]]</f>
        <v>38759.58</v>
      </c>
      <c r="AK113">
        <f>ROUNDDOWN(Table1[[#This Row],[Quantity]]*(1+20%),0)</f>
        <v>27</v>
      </c>
      <c r="AL113" s="7">
        <f>Table1[[#This Row],[UnitCost]]*(1+15%)</f>
        <v>928.07299999999987</v>
      </c>
      <c r="AM113" s="9">
        <f>Table1[[#This Row],[Quantity]]*Table1[[#This Row],[Cost of unit by inflation 15%]]</f>
        <v>21345.678999999996</v>
      </c>
      <c r="AN113" s="21" cm="1">
        <f t="array" ref="AN113">_xlfn.UNIQUE(AC113)</f>
        <v>45016</v>
      </c>
    </row>
    <row r="114" spans="1:40" x14ac:dyDescent="0.35">
      <c r="A114" t="s">
        <v>107</v>
      </c>
      <c r="B114" s="21">
        <v>45100</v>
      </c>
      <c r="C114" s="10">
        <v>45101</v>
      </c>
      <c r="D114" s="3">
        <f t="shared" si="12"/>
        <v>1</v>
      </c>
      <c r="E114" s="10" t="str">
        <f t="shared" si="13"/>
        <v>Q2-2023</v>
      </c>
      <c r="F114" t="s">
        <v>647</v>
      </c>
      <c r="G114" t="s">
        <v>654</v>
      </c>
      <c r="H114" t="s">
        <v>691</v>
      </c>
      <c r="I114" t="s">
        <v>702</v>
      </c>
      <c r="J114" t="s">
        <v>706</v>
      </c>
      <c r="K114" t="s">
        <v>717</v>
      </c>
      <c r="L114" t="s">
        <v>727</v>
      </c>
      <c r="M114" t="s">
        <v>825</v>
      </c>
      <c r="N114" s="3">
        <v>804.01</v>
      </c>
      <c r="O114" s="3">
        <v>1405.07</v>
      </c>
      <c r="P114" s="6">
        <v>9.6000000000000002E-2</v>
      </c>
      <c r="Q114" s="6">
        <f>IF(Table1[[#This Row],[DiscountPct]]&gt;25%,25%,Table1[[#This Row],[DiscountPct]])</f>
        <v>9.6000000000000002E-2</v>
      </c>
      <c r="R114" s="5">
        <v>8</v>
      </c>
      <c r="S114" s="6">
        <f t="shared" si="14"/>
        <v>0.74757776644569096</v>
      </c>
      <c r="T114" s="8">
        <f t="shared" si="15"/>
        <v>10161.46624</v>
      </c>
      <c r="U114" s="8">
        <f t="shared" si="16"/>
        <v>6432.08</v>
      </c>
      <c r="V114" s="9">
        <f t="shared" si="17"/>
        <v>3729.3862399999998</v>
      </c>
      <c r="W114" s="6">
        <f t="shared" si="18"/>
        <v>0.36701260939287439</v>
      </c>
      <c r="X114" t="str" cm="1">
        <f t="array" ref="X114">_xlfn.IFS(S114&lt;=25%, "Low", S114&lt;=75%, "Medium", S114&gt;75%, "High")</f>
        <v>Medium</v>
      </c>
      <c r="Y114" s="8">
        <f>Table1[[#This Row],[Quantity]]*(Table1[[#This Row],[UnitPrice]]*(1-Table1[[#This Row],[DiscountPct]]))</f>
        <v>10161.46624</v>
      </c>
      <c r="Z114" s="9">
        <f t="shared" si="19"/>
        <v>3729.3862399999998</v>
      </c>
      <c r="AA114">
        <f>COUNTIF($G$2:G115,G114)</f>
        <v>8</v>
      </c>
      <c r="AB114" s="21">
        <f t="shared" si="20"/>
        <v>44988</v>
      </c>
      <c r="AC114" s="21">
        <f t="shared" si="21"/>
        <v>45016</v>
      </c>
      <c r="AD114" s="5">
        <f>(Table1[[#This Row],[OrderDate]]-Table1[[#This Row],[Date of first order]])/30</f>
        <v>3.7333333333333334</v>
      </c>
      <c r="AE114" t="str">
        <f t="shared" si="22"/>
        <v>Good</v>
      </c>
      <c r="AF114">
        <f>COUNTIF(AE$2:AE115,AE114)</f>
        <v>34</v>
      </c>
      <c r="AG114" t="str">
        <f t="shared" si="23"/>
        <v>False</v>
      </c>
      <c r="AH114" s="7">
        <f>Table1[[#This Row],[UnitPrice]]*(1-Table1[[#This Row],[Disc Scenario]])*Table1[[#This Row],[Quantity]]</f>
        <v>10161.46624</v>
      </c>
      <c r="AI114">
        <f>ROUNDDOWN((Table1[[#This Row],[Quantity]]*(1+20%)),0)</f>
        <v>9</v>
      </c>
      <c r="AJ114" s="7">
        <f>Table1[[#This Row],[Quantity increase by 20%]]*Table1[[#This Row],[UnitPrice]]</f>
        <v>12645.63</v>
      </c>
      <c r="AK114">
        <f>ROUNDDOWN(Table1[[#This Row],[Quantity]]*(1+20%),0)</f>
        <v>9</v>
      </c>
      <c r="AL114" s="7">
        <f>Table1[[#This Row],[UnitCost]]*(1+15%)</f>
        <v>924.61149999999986</v>
      </c>
      <c r="AM114" s="9">
        <f>Table1[[#This Row],[Quantity]]*Table1[[#This Row],[Cost of unit by inflation 15%]]</f>
        <v>7396.8919999999989</v>
      </c>
      <c r="AN114" s="21" cm="1">
        <f t="array" ref="AN114">_xlfn.UNIQUE(AC114)</f>
        <v>45016</v>
      </c>
    </row>
    <row r="115" spans="1:40" x14ac:dyDescent="0.35">
      <c r="A115" t="s">
        <v>61</v>
      </c>
      <c r="B115" s="21">
        <v>45100</v>
      </c>
      <c r="C115" s="10">
        <v>45110</v>
      </c>
      <c r="D115" s="3">
        <f t="shared" si="12"/>
        <v>10</v>
      </c>
      <c r="E115" s="10" t="str">
        <f t="shared" si="13"/>
        <v>Q2-2023</v>
      </c>
      <c r="F115" t="s">
        <v>645</v>
      </c>
      <c r="G115" t="s">
        <v>650</v>
      </c>
      <c r="H115" t="s">
        <v>668</v>
      </c>
      <c r="I115" t="s">
        <v>703</v>
      </c>
      <c r="J115" t="s">
        <v>707</v>
      </c>
      <c r="K115" t="s">
        <v>712</v>
      </c>
      <c r="L115" t="s">
        <v>727</v>
      </c>
      <c r="M115" t="s">
        <v>779</v>
      </c>
      <c r="N115" s="3">
        <v>337.75</v>
      </c>
      <c r="O115" s="3">
        <v>548.89</v>
      </c>
      <c r="P115" s="6">
        <v>0</v>
      </c>
      <c r="Q115" s="6">
        <f>IF(Table1[[#This Row],[DiscountPct]]&gt;25%,25%,Table1[[#This Row],[DiscountPct]])</f>
        <v>0</v>
      </c>
      <c r="R115" s="5">
        <v>13</v>
      </c>
      <c r="S115" s="6">
        <f t="shared" si="14"/>
        <v>0.62513693560325678</v>
      </c>
      <c r="T115" s="8">
        <f t="shared" si="15"/>
        <v>7135.57</v>
      </c>
      <c r="U115" s="8">
        <f t="shared" si="16"/>
        <v>4390.75</v>
      </c>
      <c r="V115" s="9">
        <f t="shared" si="17"/>
        <v>2744.8199999999997</v>
      </c>
      <c r="W115" s="6">
        <f t="shared" si="18"/>
        <v>0.38466723751571352</v>
      </c>
      <c r="X115" t="str" cm="1">
        <f t="array" ref="X115">_xlfn.IFS(S115&lt;=25%, "Low", S115&lt;=75%, "Medium", S115&gt;75%, "High")</f>
        <v>Medium</v>
      </c>
      <c r="Y115" s="8">
        <f>Table1[[#This Row],[Quantity]]*(Table1[[#This Row],[UnitPrice]]*(1-Table1[[#This Row],[DiscountPct]]))</f>
        <v>7135.57</v>
      </c>
      <c r="Z115" s="9">
        <f t="shared" si="19"/>
        <v>2744.8199999999997</v>
      </c>
      <c r="AA115">
        <f>COUNTIF($G$2:G116,G115)</f>
        <v>8</v>
      </c>
      <c r="AB115" s="21">
        <f t="shared" si="20"/>
        <v>44988</v>
      </c>
      <c r="AC115" s="21">
        <f t="shared" si="21"/>
        <v>45016</v>
      </c>
      <c r="AD115" s="5">
        <f>(Table1[[#This Row],[OrderDate]]-Table1[[#This Row],[Date of first order]])/30</f>
        <v>3.7333333333333334</v>
      </c>
      <c r="AE115" t="str">
        <f t="shared" si="22"/>
        <v>Poor</v>
      </c>
      <c r="AF115">
        <f>COUNTIF(AE$2:AE116,AE115)</f>
        <v>81</v>
      </c>
      <c r="AG115" t="str">
        <f t="shared" si="23"/>
        <v>False</v>
      </c>
      <c r="AH115" s="7">
        <f>Table1[[#This Row],[UnitPrice]]*(1-Table1[[#This Row],[Disc Scenario]])*Table1[[#This Row],[Quantity]]</f>
        <v>7135.57</v>
      </c>
      <c r="AI115">
        <f>ROUNDDOWN((Table1[[#This Row],[Quantity]]*(1+20%)),0)</f>
        <v>15</v>
      </c>
      <c r="AJ115" s="7">
        <f>Table1[[#This Row],[Quantity increase by 20%]]*Table1[[#This Row],[UnitPrice]]</f>
        <v>8233.35</v>
      </c>
      <c r="AK115">
        <f>ROUNDDOWN(Table1[[#This Row],[Quantity]]*(1+20%),0)</f>
        <v>15</v>
      </c>
      <c r="AL115" s="7">
        <f>Table1[[#This Row],[UnitCost]]*(1+15%)</f>
        <v>388.41249999999997</v>
      </c>
      <c r="AM115" s="9">
        <f>Table1[[#This Row],[Quantity]]*Table1[[#This Row],[Cost of unit by inflation 15%]]</f>
        <v>5049.3624999999993</v>
      </c>
      <c r="AN115" s="21" cm="1">
        <f t="array" ref="AN115">_xlfn.UNIQUE(AC115)</f>
        <v>45016</v>
      </c>
    </row>
    <row r="116" spans="1:40" x14ac:dyDescent="0.35">
      <c r="A116" t="s">
        <v>298</v>
      </c>
      <c r="B116" s="21">
        <v>45101</v>
      </c>
      <c r="C116" s="10">
        <v>45128</v>
      </c>
      <c r="D116" s="3">
        <f t="shared" si="12"/>
        <v>27</v>
      </c>
      <c r="E116" s="10" t="str">
        <f t="shared" si="13"/>
        <v>Q2-2023</v>
      </c>
      <c r="F116" t="s">
        <v>646</v>
      </c>
      <c r="G116" t="s">
        <v>651</v>
      </c>
      <c r="H116" t="s">
        <v>693</v>
      </c>
      <c r="I116" t="s">
        <v>703</v>
      </c>
      <c r="J116" t="s">
        <v>708</v>
      </c>
      <c r="K116" t="s">
        <v>712</v>
      </c>
      <c r="L116" t="s">
        <v>729</v>
      </c>
      <c r="M116" t="s">
        <v>1016</v>
      </c>
      <c r="N116" s="3">
        <v>554.76</v>
      </c>
      <c r="O116" s="3">
        <v>728.69</v>
      </c>
      <c r="P116" s="6">
        <v>0.22</v>
      </c>
      <c r="Q116" s="6">
        <f>IF(Table1[[#This Row],[DiscountPct]]&gt;25%,25%,Table1[[#This Row],[DiscountPct]])</f>
        <v>0.22</v>
      </c>
      <c r="R116" s="5">
        <v>7</v>
      </c>
      <c r="S116" s="6">
        <f t="shared" si="14"/>
        <v>0.31352296488571646</v>
      </c>
      <c r="T116" s="8">
        <f t="shared" si="15"/>
        <v>3978.6474000000003</v>
      </c>
      <c r="U116" s="8">
        <f t="shared" si="16"/>
        <v>3883.3199999999997</v>
      </c>
      <c r="V116" s="9">
        <f t="shared" si="17"/>
        <v>95.32740000000058</v>
      </c>
      <c r="W116" s="6">
        <f t="shared" si="18"/>
        <v>2.395975074343119E-2</v>
      </c>
      <c r="X116" t="str" cm="1">
        <f t="array" ref="X116">_xlfn.IFS(S116&lt;=25%, "Low", S116&lt;=75%, "Medium", S116&gt;75%, "High")</f>
        <v>Medium</v>
      </c>
      <c r="Y116" s="8">
        <f>Table1[[#This Row],[Quantity]]*(Table1[[#This Row],[UnitPrice]]*(1-Table1[[#This Row],[DiscountPct]]))</f>
        <v>3978.6474000000007</v>
      </c>
      <c r="Z116" s="9">
        <f t="shared" si="19"/>
        <v>95.327400000001035</v>
      </c>
      <c r="AA116">
        <f>COUNTIF($G$2:G117,G116)</f>
        <v>7</v>
      </c>
      <c r="AB116" s="21">
        <f t="shared" si="20"/>
        <v>44988</v>
      </c>
      <c r="AC116" s="21">
        <f t="shared" si="21"/>
        <v>45016</v>
      </c>
      <c r="AD116" s="5">
        <f>(Table1[[#This Row],[OrderDate]]-Table1[[#This Row],[Date of first order]])/30</f>
        <v>3.7666666666666666</v>
      </c>
      <c r="AE116" t="str">
        <f t="shared" si="22"/>
        <v>Poor</v>
      </c>
      <c r="AF116">
        <f>COUNTIF(AE$2:AE117,AE116)</f>
        <v>81</v>
      </c>
      <c r="AG116" t="str">
        <f t="shared" si="23"/>
        <v>True</v>
      </c>
      <c r="AH116" s="7">
        <f>Table1[[#This Row],[UnitPrice]]*(1-Table1[[#This Row],[Disc Scenario]])*Table1[[#This Row],[Quantity]]</f>
        <v>3978.6474000000007</v>
      </c>
      <c r="AI116">
        <f>ROUNDDOWN((Table1[[#This Row],[Quantity]]*(1+20%)),0)</f>
        <v>8</v>
      </c>
      <c r="AJ116" s="7">
        <f>Table1[[#This Row],[Quantity increase by 20%]]*Table1[[#This Row],[UnitPrice]]</f>
        <v>5829.52</v>
      </c>
      <c r="AK116">
        <f>ROUNDDOWN(Table1[[#This Row],[Quantity]]*(1+20%),0)</f>
        <v>8</v>
      </c>
      <c r="AL116" s="7">
        <f>Table1[[#This Row],[UnitCost]]*(1+15%)</f>
        <v>637.97399999999993</v>
      </c>
      <c r="AM116" s="9">
        <f>Table1[[#This Row],[Quantity]]*Table1[[#This Row],[Cost of unit by inflation 15%]]</f>
        <v>4465.8179999999993</v>
      </c>
      <c r="AN116" s="21" cm="1">
        <f t="array" ref="AN116">_xlfn.UNIQUE(AC116)</f>
        <v>45016</v>
      </c>
    </row>
    <row r="117" spans="1:40" x14ac:dyDescent="0.35">
      <c r="A117" t="s">
        <v>104</v>
      </c>
      <c r="B117" s="21">
        <v>45106</v>
      </c>
      <c r="C117" s="10">
        <v>45109</v>
      </c>
      <c r="D117" s="3">
        <f t="shared" si="12"/>
        <v>3</v>
      </c>
      <c r="E117" s="10" t="str">
        <f t="shared" si="13"/>
        <v>Q2-2023</v>
      </c>
      <c r="F117" t="s">
        <v>646</v>
      </c>
      <c r="G117" t="s">
        <v>651</v>
      </c>
      <c r="H117" t="s">
        <v>693</v>
      </c>
      <c r="I117" t="s">
        <v>701</v>
      </c>
      <c r="J117" t="s">
        <v>708</v>
      </c>
      <c r="K117" t="s">
        <v>720</v>
      </c>
      <c r="L117" t="s">
        <v>731</v>
      </c>
      <c r="M117" t="s">
        <v>822</v>
      </c>
      <c r="N117" s="3">
        <v>55.65</v>
      </c>
      <c r="O117" s="3">
        <v>83.57</v>
      </c>
      <c r="P117" s="6">
        <v>6.6000000000000003E-2</v>
      </c>
      <c r="Q117" s="6">
        <f>IF(Table1[[#This Row],[DiscountPct]]&gt;25%,25%,Table1[[#This Row],[DiscountPct]])</f>
        <v>6.6000000000000003E-2</v>
      </c>
      <c r="R117" s="5">
        <v>8</v>
      </c>
      <c r="S117" s="6">
        <f t="shared" si="14"/>
        <v>0.50170709793351298</v>
      </c>
      <c r="T117" s="8">
        <f t="shared" si="15"/>
        <v>624.43503999999996</v>
      </c>
      <c r="U117" s="8">
        <f t="shared" si="16"/>
        <v>445.2</v>
      </c>
      <c r="V117" s="9">
        <f t="shared" si="17"/>
        <v>179.23503999999997</v>
      </c>
      <c r="W117" s="6">
        <f t="shared" si="18"/>
        <v>0.2870355257449998</v>
      </c>
      <c r="X117" t="str" cm="1">
        <f t="array" ref="X117">_xlfn.IFS(S117&lt;=25%, "Low", S117&lt;=75%, "Medium", S117&gt;75%, "High")</f>
        <v>Medium</v>
      </c>
      <c r="Y117" s="8">
        <f>Table1[[#This Row],[Quantity]]*(Table1[[#This Row],[UnitPrice]]*(1-Table1[[#This Row],[DiscountPct]]))</f>
        <v>624.43503999999996</v>
      </c>
      <c r="Z117" s="9">
        <f t="shared" si="19"/>
        <v>179.23503999999997</v>
      </c>
      <c r="AA117">
        <f>COUNTIF($G$2:G118,G117)</f>
        <v>7</v>
      </c>
      <c r="AB117" s="21">
        <f t="shared" si="20"/>
        <v>44988</v>
      </c>
      <c r="AC117" s="21">
        <f t="shared" si="21"/>
        <v>45016</v>
      </c>
      <c r="AD117" s="5">
        <f>(Table1[[#This Row],[OrderDate]]-Table1[[#This Row],[Date of first order]])/30</f>
        <v>3.9333333333333331</v>
      </c>
      <c r="AE117" t="str">
        <f t="shared" si="22"/>
        <v>Good</v>
      </c>
      <c r="AF117">
        <f>COUNTIF(AE$2:AE118,AE117)</f>
        <v>36</v>
      </c>
      <c r="AG117" t="str">
        <f t="shared" si="23"/>
        <v>False</v>
      </c>
      <c r="AH117" s="7">
        <f>Table1[[#This Row],[UnitPrice]]*(1-Table1[[#This Row],[Disc Scenario]])*Table1[[#This Row],[Quantity]]</f>
        <v>624.43503999999996</v>
      </c>
      <c r="AI117">
        <f>ROUNDDOWN((Table1[[#This Row],[Quantity]]*(1+20%)),0)</f>
        <v>9</v>
      </c>
      <c r="AJ117" s="7">
        <f>Table1[[#This Row],[Quantity increase by 20%]]*Table1[[#This Row],[UnitPrice]]</f>
        <v>752.12999999999988</v>
      </c>
      <c r="AK117">
        <f>ROUNDDOWN(Table1[[#This Row],[Quantity]]*(1+20%),0)</f>
        <v>9</v>
      </c>
      <c r="AL117" s="7">
        <f>Table1[[#This Row],[UnitCost]]*(1+15%)</f>
        <v>63.997499999999995</v>
      </c>
      <c r="AM117" s="9">
        <f>Table1[[#This Row],[Quantity]]*Table1[[#This Row],[Cost of unit by inflation 15%]]</f>
        <v>511.97999999999996</v>
      </c>
      <c r="AN117" s="21" cm="1">
        <f t="array" ref="AN117">_xlfn.UNIQUE(AC117)</f>
        <v>45016</v>
      </c>
    </row>
    <row r="118" spans="1:40" x14ac:dyDescent="0.35">
      <c r="A118" t="s">
        <v>375</v>
      </c>
      <c r="B118" s="21">
        <v>45108</v>
      </c>
      <c r="C118" s="10">
        <v>45115</v>
      </c>
      <c r="D118" s="3">
        <f t="shared" si="12"/>
        <v>7</v>
      </c>
      <c r="E118" s="10" t="str">
        <f t="shared" si="13"/>
        <v>Q3-2023</v>
      </c>
      <c r="F118" t="s">
        <v>645</v>
      </c>
      <c r="G118" t="s">
        <v>650</v>
      </c>
      <c r="H118" t="s">
        <v>662</v>
      </c>
      <c r="I118" t="s">
        <v>700</v>
      </c>
      <c r="J118" t="s">
        <v>706</v>
      </c>
      <c r="K118" t="s">
        <v>719</v>
      </c>
      <c r="L118" t="s">
        <v>730</v>
      </c>
      <c r="M118" t="s">
        <v>1093</v>
      </c>
      <c r="N118" s="3">
        <v>834.26</v>
      </c>
      <c r="O118" s="3">
        <v>1780.56</v>
      </c>
      <c r="P118" s="6">
        <v>1.4E-2</v>
      </c>
      <c r="Q118" s="6">
        <f>IF(Table1[[#This Row],[DiscountPct]]&gt;25%,25%,Table1[[#This Row],[DiscountPct]])</f>
        <v>1.4E-2</v>
      </c>
      <c r="R118" s="5">
        <v>47</v>
      </c>
      <c r="S118" s="6">
        <f t="shared" si="14"/>
        <v>1.1342986598902021</v>
      </c>
      <c r="T118" s="8">
        <f t="shared" si="15"/>
        <v>82514.711519999997</v>
      </c>
      <c r="U118" s="8">
        <f t="shared" si="16"/>
        <v>39210.22</v>
      </c>
      <c r="V118" s="9">
        <f t="shared" si="17"/>
        <v>43304.491519999996</v>
      </c>
      <c r="W118" s="6">
        <f t="shared" si="18"/>
        <v>0.5248093427497933</v>
      </c>
      <c r="X118" t="str" cm="1">
        <f t="array" ref="X118">_xlfn.IFS(S118&lt;=25%, "Low", S118&lt;=75%, "Medium", S118&gt;75%, "High")</f>
        <v>High</v>
      </c>
      <c r="Y118" s="8">
        <f>Table1[[#This Row],[Quantity]]*(Table1[[#This Row],[UnitPrice]]*(1-Table1[[#This Row],[DiscountPct]]))</f>
        <v>82514.711519999997</v>
      </c>
      <c r="Z118" s="9">
        <f t="shared" si="19"/>
        <v>43304.491519999996</v>
      </c>
      <c r="AA118">
        <f>COUNTIF($G$2:G119,G118)</f>
        <v>9</v>
      </c>
      <c r="AB118" s="21">
        <f t="shared" si="20"/>
        <v>44988</v>
      </c>
      <c r="AC118" s="21">
        <f t="shared" si="21"/>
        <v>45016</v>
      </c>
      <c r="AD118" s="5">
        <f>(Table1[[#This Row],[OrderDate]]-Table1[[#This Row],[Date of first order]])/30</f>
        <v>4</v>
      </c>
      <c r="AE118" t="str">
        <f t="shared" si="22"/>
        <v>Good</v>
      </c>
      <c r="AF118">
        <f>COUNTIF(AE$2:AE119,AE118)</f>
        <v>37</v>
      </c>
      <c r="AG118" t="str">
        <f t="shared" si="23"/>
        <v>False</v>
      </c>
      <c r="AH118" s="7">
        <f>Table1[[#This Row],[UnitPrice]]*(1-Table1[[#This Row],[Disc Scenario]])*Table1[[#This Row],[Quantity]]</f>
        <v>82514.711519999997</v>
      </c>
      <c r="AI118">
        <f>ROUNDDOWN((Table1[[#This Row],[Quantity]]*(1+20%)),0)</f>
        <v>56</v>
      </c>
      <c r="AJ118" s="7">
        <f>Table1[[#This Row],[Quantity increase by 20%]]*Table1[[#This Row],[UnitPrice]]</f>
        <v>99711.360000000001</v>
      </c>
      <c r="AK118">
        <f>ROUNDDOWN(Table1[[#This Row],[Quantity]]*(1+20%),0)</f>
        <v>56</v>
      </c>
      <c r="AL118" s="7">
        <f>Table1[[#This Row],[UnitCost]]*(1+15%)</f>
        <v>959.39899999999989</v>
      </c>
      <c r="AM118" s="9">
        <f>Table1[[#This Row],[Quantity]]*Table1[[#This Row],[Cost of unit by inflation 15%]]</f>
        <v>45091.752999999997</v>
      </c>
      <c r="AN118" s="21" cm="1">
        <f t="array" ref="AN118">_xlfn.UNIQUE(AC118)</f>
        <v>45016</v>
      </c>
    </row>
    <row r="119" spans="1:40" x14ac:dyDescent="0.35">
      <c r="A119" t="s">
        <v>557</v>
      </c>
      <c r="B119" s="21">
        <v>45108</v>
      </c>
      <c r="C119" s="10">
        <v>45115</v>
      </c>
      <c r="D119" s="3">
        <f t="shared" si="12"/>
        <v>7</v>
      </c>
      <c r="E119" s="10" t="str">
        <f t="shared" si="13"/>
        <v>Q3-2023</v>
      </c>
      <c r="F119" t="s">
        <v>648</v>
      </c>
      <c r="G119" t="s">
        <v>655</v>
      </c>
      <c r="H119" t="s">
        <v>697</v>
      </c>
      <c r="I119" t="s">
        <v>704</v>
      </c>
      <c r="J119" t="s">
        <v>709</v>
      </c>
      <c r="K119" t="s">
        <v>724</v>
      </c>
      <c r="L119" t="s">
        <v>730</v>
      </c>
      <c r="M119" t="s">
        <v>1273</v>
      </c>
      <c r="N119" s="3">
        <v>460.21</v>
      </c>
      <c r="O119" s="3">
        <v>1139.1500000000001</v>
      </c>
      <c r="P119" s="6">
        <v>0.115</v>
      </c>
      <c r="Q119" s="6">
        <f>IF(Table1[[#This Row],[DiscountPct]]&gt;25%,25%,Table1[[#This Row],[DiscountPct]])</f>
        <v>0.115</v>
      </c>
      <c r="R119" s="5">
        <v>14</v>
      </c>
      <c r="S119" s="6">
        <f t="shared" si="14"/>
        <v>1.4752830229677758</v>
      </c>
      <c r="T119" s="8">
        <f t="shared" si="15"/>
        <v>14114.068500000001</v>
      </c>
      <c r="U119" s="8">
        <f t="shared" si="16"/>
        <v>6442.94</v>
      </c>
      <c r="V119" s="9">
        <f t="shared" si="17"/>
        <v>7671.1285000000016</v>
      </c>
      <c r="W119" s="6">
        <f t="shared" si="18"/>
        <v>0.54350937151821255</v>
      </c>
      <c r="X119" t="str" cm="1">
        <f t="array" ref="X119">_xlfn.IFS(S119&lt;=25%, "Low", S119&lt;=75%, "Medium", S119&gt;75%, "High")</f>
        <v>High</v>
      </c>
      <c r="Y119" s="8">
        <f>Table1[[#This Row],[Quantity]]*(Table1[[#This Row],[UnitPrice]]*(1-Table1[[#This Row],[DiscountPct]]))</f>
        <v>14114.068500000001</v>
      </c>
      <c r="Z119" s="9">
        <f t="shared" si="19"/>
        <v>7671.1285000000016</v>
      </c>
      <c r="AA119">
        <f>COUNTIF($G$2:G120,G119)</f>
        <v>14</v>
      </c>
      <c r="AB119" s="21">
        <f t="shared" si="20"/>
        <v>44988</v>
      </c>
      <c r="AC119" s="21">
        <f t="shared" si="21"/>
        <v>45016</v>
      </c>
      <c r="AD119" s="5">
        <f>(Table1[[#This Row],[OrderDate]]-Table1[[#This Row],[Date of first order]])/30</f>
        <v>4</v>
      </c>
      <c r="AE119" t="str">
        <f t="shared" si="22"/>
        <v>Good</v>
      </c>
      <c r="AF119">
        <f>COUNTIF(AE$2:AE120,AE119)</f>
        <v>37</v>
      </c>
      <c r="AG119" t="str">
        <f t="shared" si="23"/>
        <v>False</v>
      </c>
      <c r="AH119" s="7">
        <f>Table1[[#This Row],[UnitPrice]]*(1-Table1[[#This Row],[Disc Scenario]])*Table1[[#This Row],[Quantity]]</f>
        <v>14114.068500000001</v>
      </c>
      <c r="AI119">
        <f>ROUNDDOWN((Table1[[#This Row],[Quantity]]*(1+20%)),0)</f>
        <v>16</v>
      </c>
      <c r="AJ119" s="7">
        <f>Table1[[#This Row],[Quantity increase by 20%]]*Table1[[#This Row],[UnitPrice]]</f>
        <v>18226.400000000001</v>
      </c>
      <c r="AK119">
        <f>ROUNDDOWN(Table1[[#This Row],[Quantity]]*(1+20%),0)</f>
        <v>16</v>
      </c>
      <c r="AL119" s="7">
        <f>Table1[[#This Row],[UnitCost]]*(1+15%)</f>
        <v>529.24149999999997</v>
      </c>
      <c r="AM119" s="9">
        <f>Table1[[#This Row],[Quantity]]*Table1[[#This Row],[Cost of unit by inflation 15%]]</f>
        <v>7409.3809999999994</v>
      </c>
      <c r="AN119" s="21" cm="1">
        <f t="array" ref="AN119">_xlfn.UNIQUE(AC119)</f>
        <v>45016</v>
      </c>
    </row>
    <row r="120" spans="1:40" x14ac:dyDescent="0.35">
      <c r="A120" t="s">
        <v>549</v>
      </c>
      <c r="B120" s="21">
        <v>45108</v>
      </c>
      <c r="C120" s="10">
        <v>45118</v>
      </c>
      <c r="D120" s="3">
        <f t="shared" si="12"/>
        <v>10</v>
      </c>
      <c r="E120" s="10" t="str">
        <f t="shared" si="13"/>
        <v>Q3-2023</v>
      </c>
      <c r="F120" t="s">
        <v>648</v>
      </c>
      <c r="G120" t="s">
        <v>656</v>
      </c>
      <c r="H120" t="s">
        <v>689</v>
      </c>
      <c r="I120" t="s">
        <v>700</v>
      </c>
      <c r="J120" t="s">
        <v>710</v>
      </c>
      <c r="K120" t="s">
        <v>720</v>
      </c>
      <c r="L120" t="s">
        <v>728</v>
      </c>
      <c r="M120" t="s">
        <v>1266</v>
      </c>
      <c r="N120" s="3">
        <v>479.5</v>
      </c>
      <c r="O120" s="3">
        <v>656.66</v>
      </c>
      <c r="P120" s="6">
        <v>0.14899999999999999</v>
      </c>
      <c r="Q120" s="6">
        <f>IF(Table1[[#This Row],[DiscountPct]]&gt;25%,25%,Table1[[#This Row],[DiscountPct]])</f>
        <v>0.14899999999999999</v>
      </c>
      <c r="R120" s="5">
        <v>14</v>
      </c>
      <c r="S120" s="6">
        <f t="shared" si="14"/>
        <v>0.36946819603753905</v>
      </c>
      <c r="T120" s="8">
        <f t="shared" si="15"/>
        <v>7823.4472399999995</v>
      </c>
      <c r="U120" s="8">
        <f t="shared" si="16"/>
        <v>6713</v>
      </c>
      <c r="V120" s="9">
        <f t="shared" si="17"/>
        <v>1110.4472399999995</v>
      </c>
      <c r="W120" s="6">
        <f t="shared" si="18"/>
        <v>0.14193835606412289</v>
      </c>
      <c r="X120" t="str" cm="1">
        <f t="array" ref="X120">_xlfn.IFS(S120&lt;=25%, "Low", S120&lt;=75%, "Medium", S120&gt;75%, "High")</f>
        <v>Medium</v>
      </c>
      <c r="Y120" s="8">
        <f>Table1[[#This Row],[Quantity]]*(Table1[[#This Row],[UnitPrice]]*(1-Table1[[#This Row],[DiscountPct]]))</f>
        <v>7823.4472399999995</v>
      </c>
      <c r="Z120" s="9">
        <f t="shared" si="19"/>
        <v>1110.4472399999995</v>
      </c>
      <c r="AA120">
        <f>COUNTIF($G$2:G121,G120)</f>
        <v>8</v>
      </c>
      <c r="AB120" s="21">
        <f t="shared" si="20"/>
        <v>44988</v>
      </c>
      <c r="AC120" s="21">
        <f t="shared" si="21"/>
        <v>45016</v>
      </c>
      <c r="AD120" s="5">
        <f>(Table1[[#This Row],[OrderDate]]-Table1[[#This Row],[Date of first order]])/30</f>
        <v>4</v>
      </c>
      <c r="AE120" t="str">
        <f t="shared" si="22"/>
        <v>Poor</v>
      </c>
      <c r="AF120">
        <f>COUNTIF(AE$2:AE121,AE120)</f>
        <v>83</v>
      </c>
      <c r="AG120" t="str">
        <f t="shared" si="23"/>
        <v>False</v>
      </c>
      <c r="AH120" s="7">
        <f>Table1[[#This Row],[UnitPrice]]*(1-Table1[[#This Row],[Disc Scenario]])*Table1[[#This Row],[Quantity]]</f>
        <v>7823.4472399999995</v>
      </c>
      <c r="AI120">
        <f>ROUNDDOWN((Table1[[#This Row],[Quantity]]*(1+20%)),0)</f>
        <v>16</v>
      </c>
      <c r="AJ120" s="7">
        <f>Table1[[#This Row],[Quantity increase by 20%]]*Table1[[#This Row],[UnitPrice]]</f>
        <v>10506.56</v>
      </c>
      <c r="AK120">
        <f>ROUNDDOWN(Table1[[#This Row],[Quantity]]*(1+20%),0)</f>
        <v>16</v>
      </c>
      <c r="AL120" s="7">
        <f>Table1[[#This Row],[UnitCost]]*(1+15%)</f>
        <v>551.42499999999995</v>
      </c>
      <c r="AM120" s="9">
        <f>Table1[[#This Row],[Quantity]]*Table1[[#This Row],[Cost of unit by inflation 15%]]</f>
        <v>7719.9499999999989</v>
      </c>
      <c r="AN120" s="21" cm="1">
        <f t="array" ref="AN120">_xlfn.UNIQUE(AC120)</f>
        <v>45016</v>
      </c>
    </row>
    <row r="121" spans="1:40" x14ac:dyDescent="0.35">
      <c r="A121" t="s">
        <v>219</v>
      </c>
      <c r="B121" s="21">
        <v>45109</v>
      </c>
      <c r="C121" s="10">
        <v>45139</v>
      </c>
      <c r="D121" s="3">
        <f t="shared" si="12"/>
        <v>30</v>
      </c>
      <c r="E121" s="10" t="str">
        <f t="shared" si="13"/>
        <v>Q3-2023</v>
      </c>
      <c r="F121" t="s">
        <v>648</v>
      </c>
      <c r="G121" t="s">
        <v>657</v>
      </c>
      <c r="H121" t="s">
        <v>673</v>
      </c>
      <c r="I121" t="s">
        <v>704</v>
      </c>
      <c r="J121" t="s">
        <v>706</v>
      </c>
      <c r="K121" t="s">
        <v>716</v>
      </c>
      <c r="L121" t="s">
        <v>726</v>
      </c>
      <c r="M121" t="s">
        <v>937</v>
      </c>
      <c r="N121" s="3">
        <v>137.46</v>
      </c>
      <c r="O121" s="3">
        <v>188.3</v>
      </c>
      <c r="P121" s="6">
        <v>3.7999999999999999E-2</v>
      </c>
      <c r="Q121" s="6">
        <f>IF(Table1[[#This Row],[DiscountPct]]&gt;25%,25%,Table1[[#This Row],[DiscountPct]])</f>
        <v>3.7999999999999999E-2</v>
      </c>
      <c r="R121" s="5">
        <v>37</v>
      </c>
      <c r="S121" s="6">
        <f t="shared" si="14"/>
        <v>0.36985304815946457</v>
      </c>
      <c r="T121" s="8">
        <f t="shared" si="15"/>
        <v>6702.3501999999999</v>
      </c>
      <c r="U121" s="8">
        <f t="shared" si="16"/>
        <v>5086.0200000000004</v>
      </c>
      <c r="V121" s="9">
        <f t="shared" si="17"/>
        <v>1616.3301999999994</v>
      </c>
      <c r="W121" s="6">
        <f t="shared" si="18"/>
        <v>0.24115872071262398</v>
      </c>
      <c r="X121" t="str" cm="1">
        <f t="array" ref="X121">_xlfn.IFS(S121&lt;=25%, "Low", S121&lt;=75%, "Medium", S121&gt;75%, "High")</f>
        <v>Medium</v>
      </c>
      <c r="Y121" s="8">
        <f>Table1[[#This Row],[Quantity]]*(Table1[[#This Row],[UnitPrice]]*(1-Table1[[#This Row],[DiscountPct]]))</f>
        <v>6702.3501999999999</v>
      </c>
      <c r="Z121" s="9">
        <f t="shared" si="19"/>
        <v>1616.3301999999994</v>
      </c>
      <c r="AA121">
        <f>COUNTIF($G$2:G122,G121)</f>
        <v>13</v>
      </c>
      <c r="AB121" s="21">
        <f t="shared" si="20"/>
        <v>44988</v>
      </c>
      <c r="AC121" s="21">
        <f t="shared" si="21"/>
        <v>45016</v>
      </c>
      <c r="AD121" s="5">
        <f>(Table1[[#This Row],[OrderDate]]-Table1[[#This Row],[Date of first order]])/30</f>
        <v>4.0333333333333332</v>
      </c>
      <c r="AE121" t="str">
        <f t="shared" si="22"/>
        <v>Poor</v>
      </c>
      <c r="AF121">
        <f>COUNTIF(AE$2:AE122,AE121)</f>
        <v>84</v>
      </c>
      <c r="AG121" t="str">
        <f t="shared" si="23"/>
        <v>False</v>
      </c>
      <c r="AH121" s="7">
        <f>Table1[[#This Row],[UnitPrice]]*(1-Table1[[#This Row],[Disc Scenario]])*Table1[[#This Row],[Quantity]]</f>
        <v>6702.3501999999999</v>
      </c>
      <c r="AI121">
        <f>ROUNDDOWN((Table1[[#This Row],[Quantity]]*(1+20%)),0)</f>
        <v>44</v>
      </c>
      <c r="AJ121" s="7">
        <f>Table1[[#This Row],[Quantity increase by 20%]]*Table1[[#This Row],[UnitPrice]]</f>
        <v>8285.2000000000007</v>
      </c>
      <c r="AK121">
        <f>ROUNDDOWN(Table1[[#This Row],[Quantity]]*(1+20%),0)</f>
        <v>44</v>
      </c>
      <c r="AL121" s="7">
        <f>Table1[[#This Row],[UnitCost]]*(1+15%)</f>
        <v>158.07900000000001</v>
      </c>
      <c r="AM121" s="9">
        <f>Table1[[#This Row],[Quantity]]*Table1[[#This Row],[Cost of unit by inflation 15%]]</f>
        <v>5848.9230000000007</v>
      </c>
      <c r="AN121" s="21" cm="1">
        <f t="array" ref="AN121">_xlfn.UNIQUE(AC121)</f>
        <v>45016</v>
      </c>
    </row>
    <row r="122" spans="1:40" x14ac:dyDescent="0.35">
      <c r="A122" t="s">
        <v>165</v>
      </c>
      <c r="B122" s="21">
        <v>45110</v>
      </c>
      <c r="C122" s="10">
        <v>45130</v>
      </c>
      <c r="D122" s="3">
        <f t="shared" si="12"/>
        <v>20</v>
      </c>
      <c r="E122" s="10" t="str">
        <f t="shared" si="13"/>
        <v>Q3-2023</v>
      </c>
      <c r="F122" t="s">
        <v>645</v>
      </c>
      <c r="G122" t="s">
        <v>660</v>
      </c>
      <c r="H122" t="s">
        <v>681</v>
      </c>
      <c r="I122" t="s">
        <v>704</v>
      </c>
      <c r="J122" t="s">
        <v>709</v>
      </c>
      <c r="K122" t="s">
        <v>720</v>
      </c>
      <c r="L122" t="s">
        <v>730</v>
      </c>
      <c r="M122" t="s">
        <v>883</v>
      </c>
      <c r="N122" s="3">
        <v>1001.96</v>
      </c>
      <c r="O122" s="3">
        <v>1254.95</v>
      </c>
      <c r="P122" s="6">
        <v>4.4999999999999998E-2</v>
      </c>
      <c r="Q122" s="6">
        <f>IF(Table1[[#This Row],[DiscountPct]]&gt;25%,25%,Table1[[#This Row],[DiscountPct]])</f>
        <v>4.4999999999999998E-2</v>
      </c>
      <c r="R122" s="5">
        <v>18</v>
      </c>
      <c r="S122" s="6">
        <f t="shared" si="14"/>
        <v>0.25249510958521298</v>
      </c>
      <c r="T122" s="8">
        <f t="shared" si="15"/>
        <v>21572.590500000002</v>
      </c>
      <c r="U122" s="8">
        <f t="shared" si="16"/>
        <v>18035.28</v>
      </c>
      <c r="V122" s="9">
        <f t="shared" si="17"/>
        <v>3537.3105000000032</v>
      </c>
      <c r="W122" s="6">
        <f t="shared" si="18"/>
        <v>0.16397244920585699</v>
      </c>
      <c r="X122" t="str" cm="1">
        <f t="array" ref="X122">_xlfn.IFS(S122&lt;=25%, "Low", S122&lt;=75%, "Medium", S122&gt;75%, "High")</f>
        <v>Medium</v>
      </c>
      <c r="Y122" s="8">
        <f>Table1[[#This Row],[Quantity]]*(Table1[[#This Row],[UnitPrice]]*(1-Table1[[#This Row],[DiscountPct]]))</f>
        <v>21572.590499999998</v>
      </c>
      <c r="Z122" s="9">
        <f t="shared" si="19"/>
        <v>3537.3104999999996</v>
      </c>
      <c r="AA122">
        <f>COUNTIF($G$2:G123,G122)</f>
        <v>9</v>
      </c>
      <c r="AB122" s="21">
        <f t="shared" si="20"/>
        <v>44988</v>
      </c>
      <c r="AC122" s="21">
        <f t="shared" si="21"/>
        <v>45016</v>
      </c>
      <c r="AD122" s="5">
        <f>(Table1[[#This Row],[OrderDate]]-Table1[[#This Row],[Date of first order]])/30</f>
        <v>4.0666666666666664</v>
      </c>
      <c r="AE122" t="str">
        <f t="shared" si="22"/>
        <v>Poor</v>
      </c>
      <c r="AF122">
        <f>COUNTIF(AE$2:AE123,AE122)</f>
        <v>85</v>
      </c>
      <c r="AG122" t="str">
        <f t="shared" si="23"/>
        <v>False</v>
      </c>
      <c r="AH122" s="7">
        <f>Table1[[#This Row],[UnitPrice]]*(1-Table1[[#This Row],[Disc Scenario]])*Table1[[#This Row],[Quantity]]</f>
        <v>21572.590499999998</v>
      </c>
      <c r="AI122">
        <f>ROUNDDOWN((Table1[[#This Row],[Quantity]]*(1+20%)),0)</f>
        <v>21</v>
      </c>
      <c r="AJ122" s="7">
        <f>Table1[[#This Row],[Quantity increase by 20%]]*Table1[[#This Row],[UnitPrice]]</f>
        <v>26353.95</v>
      </c>
      <c r="AK122">
        <f>ROUNDDOWN(Table1[[#This Row],[Quantity]]*(1+20%),0)</f>
        <v>21</v>
      </c>
      <c r="AL122" s="7">
        <f>Table1[[#This Row],[UnitCost]]*(1+15%)</f>
        <v>1152.2539999999999</v>
      </c>
      <c r="AM122" s="9">
        <f>Table1[[#This Row],[Quantity]]*Table1[[#This Row],[Cost of unit by inflation 15%]]</f>
        <v>20740.572</v>
      </c>
      <c r="AN122" s="21" cm="1">
        <f t="array" ref="AN122">_xlfn.UNIQUE(AC122)</f>
        <v>45016</v>
      </c>
    </row>
    <row r="123" spans="1:40" x14ac:dyDescent="0.35">
      <c r="A123" t="s">
        <v>158</v>
      </c>
      <c r="B123" s="21">
        <v>45112</v>
      </c>
      <c r="C123" s="10">
        <v>45121</v>
      </c>
      <c r="D123" s="3">
        <f t="shared" si="12"/>
        <v>9</v>
      </c>
      <c r="E123" s="10" t="str">
        <f t="shared" si="13"/>
        <v>Q3-2023</v>
      </c>
      <c r="F123" t="s">
        <v>647</v>
      </c>
      <c r="G123" t="s">
        <v>654</v>
      </c>
      <c r="H123" t="s">
        <v>671</v>
      </c>
      <c r="I123" t="s">
        <v>705</v>
      </c>
      <c r="J123" t="s">
        <v>710</v>
      </c>
      <c r="K123" t="s">
        <v>716</v>
      </c>
      <c r="L123" t="s">
        <v>728</v>
      </c>
      <c r="M123" t="s">
        <v>876</v>
      </c>
      <c r="N123" s="3">
        <v>578.85</v>
      </c>
      <c r="O123" s="3">
        <v>998.76</v>
      </c>
      <c r="P123" s="6">
        <v>8.2000000000000003E-2</v>
      </c>
      <c r="Q123" s="6">
        <f>IF(Table1[[#This Row],[DiscountPct]]&gt;25%,25%,Table1[[#This Row],[DiscountPct]])</f>
        <v>8.2000000000000003E-2</v>
      </c>
      <c r="R123" s="5">
        <v>28</v>
      </c>
      <c r="S123" s="6">
        <f t="shared" si="14"/>
        <v>0.72542109354755113</v>
      </c>
      <c r="T123" s="8">
        <f t="shared" si="15"/>
        <v>25672.127039999999</v>
      </c>
      <c r="U123" s="8">
        <f t="shared" si="16"/>
        <v>16207.800000000001</v>
      </c>
      <c r="V123" s="9">
        <f t="shared" si="17"/>
        <v>9464.3270399999983</v>
      </c>
      <c r="W123" s="6">
        <f t="shared" si="18"/>
        <v>0.36866158480960831</v>
      </c>
      <c r="X123" t="str" cm="1">
        <f t="array" ref="X123">_xlfn.IFS(S123&lt;=25%, "Low", S123&lt;=75%, "Medium", S123&gt;75%, "High")</f>
        <v>Medium</v>
      </c>
      <c r="Y123" s="8">
        <f>Table1[[#This Row],[Quantity]]*(Table1[[#This Row],[UnitPrice]]*(1-Table1[[#This Row],[DiscountPct]]))</f>
        <v>25672.127039999999</v>
      </c>
      <c r="Z123" s="9">
        <f t="shared" si="19"/>
        <v>9464.3270399999983</v>
      </c>
      <c r="AA123">
        <f>COUNTIF($G$2:G124,G123)</f>
        <v>9</v>
      </c>
      <c r="AB123" s="21">
        <f t="shared" si="20"/>
        <v>44988</v>
      </c>
      <c r="AC123" s="21">
        <f t="shared" si="21"/>
        <v>45016</v>
      </c>
      <c r="AD123" s="5">
        <f>(Table1[[#This Row],[OrderDate]]-Table1[[#This Row],[Date of first order]])/30</f>
        <v>4.1333333333333337</v>
      </c>
      <c r="AE123" t="str">
        <f t="shared" si="22"/>
        <v>Poor</v>
      </c>
      <c r="AF123">
        <f>COUNTIF(AE$2:AE124,AE123)</f>
        <v>85</v>
      </c>
      <c r="AG123" t="str">
        <f t="shared" si="23"/>
        <v>False</v>
      </c>
      <c r="AH123" s="7">
        <f>Table1[[#This Row],[UnitPrice]]*(1-Table1[[#This Row],[Disc Scenario]])*Table1[[#This Row],[Quantity]]</f>
        <v>25672.127039999999</v>
      </c>
      <c r="AI123">
        <f>ROUNDDOWN((Table1[[#This Row],[Quantity]]*(1+20%)),0)</f>
        <v>33</v>
      </c>
      <c r="AJ123" s="7">
        <f>Table1[[#This Row],[Quantity increase by 20%]]*Table1[[#This Row],[UnitPrice]]</f>
        <v>32959.08</v>
      </c>
      <c r="AK123">
        <f>ROUNDDOWN(Table1[[#This Row],[Quantity]]*(1+20%),0)</f>
        <v>33</v>
      </c>
      <c r="AL123" s="7">
        <f>Table1[[#This Row],[UnitCost]]*(1+15%)</f>
        <v>665.67750000000001</v>
      </c>
      <c r="AM123" s="9">
        <f>Table1[[#This Row],[Quantity]]*Table1[[#This Row],[Cost of unit by inflation 15%]]</f>
        <v>18638.97</v>
      </c>
      <c r="AN123" s="21" cm="1">
        <f t="array" ref="AN123">_xlfn.UNIQUE(AC123)</f>
        <v>45016</v>
      </c>
    </row>
    <row r="124" spans="1:40" x14ac:dyDescent="0.35">
      <c r="A124" t="s">
        <v>551</v>
      </c>
      <c r="B124" s="21">
        <v>45114</v>
      </c>
      <c r="C124" s="10">
        <v>45120</v>
      </c>
      <c r="D124" s="3">
        <f t="shared" si="12"/>
        <v>6</v>
      </c>
      <c r="E124" s="10" t="str">
        <f t="shared" si="13"/>
        <v>Q3-2023</v>
      </c>
      <c r="F124" t="s">
        <v>645</v>
      </c>
      <c r="G124" t="s">
        <v>660</v>
      </c>
      <c r="H124" t="s">
        <v>694</v>
      </c>
      <c r="I124" t="s">
        <v>704</v>
      </c>
      <c r="J124" t="s">
        <v>708</v>
      </c>
      <c r="K124" t="s">
        <v>716</v>
      </c>
      <c r="L124" t="s">
        <v>732</v>
      </c>
      <c r="M124" t="s">
        <v>1267</v>
      </c>
      <c r="N124" s="3">
        <v>612.59</v>
      </c>
      <c r="O124" s="3">
        <v>1424.74</v>
      </c>
      <c r="P124" s="6">
        <v>4.3999999999999997E-2</v>
      </c>
      <c r="Q124" s="6">
        <f>IF(Table1[[#This Row],[DiscountPct]]&gt;25%,25%,Table1[[#This Row],[DiscountPct]])</f>
        <v>4.3999999999999997E-2</v>
      </c>
      <c r="R124" s="5">
        <v>15</v>
      </c>
      <c r="S124" s="6">
        <f t="shared" si="14"/>
        <v>1.3257643774792274</v>
      </c>
      <c r="T124" s="8">
        <f t="shared" si="15"/>
        <v>20430.771599999996</v>
      </c>
      <c r="U124" s="8">
        <f t="shared" si="16"/>
        <v>9188.85</v>
      </c>
      <c r="V124" s="9">
        <f t="shared" si="17"/>
        <v>11241.921599999996</v>
      </c>
      <c r="W124" s="6">
        <f t="shared" si="18"/>
        <v>0.55024459281802152</v>
      </c>
      <c r="X124" t="str" cm="1">
        <f t="array" ref="X124">_xlfn.IFS(S124&lt;=25%, "Low", S124&lt;=75%, "Medium", S124&gt;75%, "High")</f>
        <v>High</v>
      </c>
      <c r="Y124" s="8">
        <f>Table1[[#This Row],[Quantity]]*(Table1[[#This Row],[UnitPrice]]*(1-Table1[[#This Row],[DiscountPct]]))</f>
        <v>20430.7716</v>
      </c>
      <c r="Z124" s="9">
        <f t="shared" si="19"/>
        <v>11241.9216</v>
      </c>
      <c r="AA124">
        <f>COUNTIF($G$2:G125,G124)</f>
        <v>10</v>
      </c>
      <c r="AB124" s="21">
        <f t="shared" si="20"/>
        <v>44988</v>
      </c>
      <c r="AC124" s="21">
        <f t="shared" si="21"/>
        <v>45016</v>
      </c>
      <c r="AD124" s="5">
        <f>(Table1[[#This Row],[OrderDate]]-Table1[[#This Row],[Date of first order]])/30</f>
        <v>4.2</v>
      </c>
      <c r="AE124" t="str">
        <f t="shared" si="22"/>
        <v>Good</v>
      </c>
      <c r="AF124">
        <f>COUNTIF(AE$2:AE125,AE124)</f>
        <v>39</v>
      </c>
      <c r="AG124" t="str">
        <f t="shared" si="23"/>
        <v>False</v>
      </c>
      <c r="AH124" s="7">
        <f>Table1[[#This Row],[UnitPrice]]*(1-Table1[[#This Row],[Disc Scenario]])*Table1[[#This Row],[Quantity]]</f>
        <v>20430.7716</v>
      </c>
      <c r="AI124">
        <f>ROUNDDOWN((Table1[[#This Row],[Quantity]]*(1+20%)),0)</f>
        <v>18</v>
      </c>
      <c r="AJ124" s="7">
        <f>Table1[[#This Row],[Quantity increase by 20%]]*Table1[[#This Row],[UnitPrice]]</f>
        <v>25645.32</v>
      </c>
      <c r="AK124">
        <f>ROUNDDOWN(Table1[[#This Row],[Quantity]]*(1+20%),0)</f>
        <v>18</v>
      </c>
      <c r="AL124" s="7">
        <f>Table1[[#This Row],[UnitCost]]*(1+15%)</f>
        <v>704.47849999999994</v>
      </c>
      <c r="AM124" s="9">
        <f>Table1[[#This Row],[Quantity]]*Table1[[#This Row],[Cost of unit by inflation 15%]]</f>
        <v>10567.1775</v>
      </c>
      <c r="AN124" s="21" cm="1">
        <f t="array" ref="AN124">_xlfn.UNIQUE(AC124)</f>
        <v>45016</v>
      </c>
    </row>
    <row r="125" spans="1:40" x14ac:dyDescent="0.35">
      <c r="A125" t="s">
        <v>554</v>
      </c>
      <c r="B125" s="21">
        <v>45115</v>
      </c>
      <c r="C125" s="10">
        <v>45116</v>
      </c>
      <c r="D125" s="3">
        <f t="shared" si="12"/>
        <v>1</v>
      </c>
      <c r="E125" s="10" t="str">
        <f t="shared" si="13"/>
        <v>Q3-2023</v>
      </c>
      <c r="F125" t="s">
        <v>645</v>
      </c>
      <c r="G125" t="s">
        <v>649</v>
      </c>
      <c r="H125" t="s">
        <v>663</v>
      </c>
      <c r="I125" t="s">
        <v>703</v>
      </c>
      <c r="J125" t="s">
        <v>707</v>
      </c>
      <c r="K125" t="s">
        <v>725</v>
      </c>
      <c r="L125" t="s">
        <v>730</v>
      </c>
      <c r="M125" t="s">
        <v>1270</v>
      </c>
      <c r="N125" s="3">
        <v>1258.72</v>
      </c>
      <c r="O125" s="3">
        <v>2797.41</v>
      </c>
      <c r="P125" s="6">
        <v>0</v>
      </c>
      <c r="Q125" s="6">
        <f>IF(Table1[[#This Row],[DiscountPct]]&gt;25%,25%,Table1[[#This Row],[DiscountPct]])</f>
        <v>0</v>
      </c>
      <c r="R125" s="5">
        <v>7</v>
      </c>
      <c r="S125" s="6">
        <f t="shared" si="14"/>
        <v>1.2224243676115418</v>
      </c>
      <c r="T125" s="8">
        <f t="shared" si="15"/>
        <v>19581.87</v>
      </c>
      <c r="U125" s="8">
        <f t="shared" si="16"/>
        <v>8811.0400000000009</v>
      </c>
      <c r="V125" s="9">
        <f t="shared" si="17"/>
        <v>10770.829999999998</v>
      </c>
      <c r="W125" s="6">
        <f t="shared" si="18"/>
        <v>0.55004093071805704</v>
      </c>
      <c r="X125" t="str" cm="1">
        <f t="array" ref="X125">_xlfn.IFS(S125&lt;=25%, "Low", S125&lt;=75%, "Medium", S125&gt;75%, "High")</f>
        <v>High</v>
      </c>
      <c r="Y125" s="8">
        <f>Table1[[#This Row],[Quantity]]*(Table1[[#This Row],[UnitPrice]]*(1-Table1[[#This Row],[DiscountPct]]))</f>
        <v>19581.87</v>
      </c>
      <c r="Z125" s="9">
        <f t="shared" si="19"/>
        <v>10770.829999999998</v>
      </c>
      <c r="AA125">
        <f>COUNTIF($G$2:G126,G125)</f>
        <v>13</v>
      </c>
      <c r="AB125" s="21">
        <f t="shared" si="20"/>
        <v>44988</v>
      </c>
      <c r="AC125" s="21">
        <f t="shared" si="21"/>
        <v>45016</v>
      </c>
      <c r="AD125" s="5">
        <f>(Table1[[#This Row],[OrderDate]]-Table1[[#This Row],[Date of first order]])/30</f>
        <v>4.2333333333333334</v>
      </c>
      <c r="AE125" t="str">
        <f t="shared" si="22"/>
        <v>Good</v>
      </c>
      <c r="AF125">
        <f>COUNTIF(AE$2:AE126,AE125)</f>
        <v>39</v>
      </c>
      <c r="AG125" t="str">
        <f t="shared" si="23"/>
        <v>False</v>
      </c>
      <c r="AH125" s="7">
        <f>Table1[[#This Row],[UnitPrice]]*(1-Table1[[#This Row],[Disc Scenario]])*Table1[[#This Row],[Quantity]]</f>
        <v>19581.87</v>
      </c>
      <c r="AI125">
        <f>ROUNDDOWN((Table1[[#This Row],[Quantity]]*(1+20%)),0)</f>
        <v>8</v>
      </c>
      <c r="AJ125" s="7">
        <f>Table1[[#This Row],[Quantity increase by 20%]]*Table1[[#This Row],[UnitPrice]]</f>
        <v>22379.279999999999</v>
      </c>
      <c r="AK125">
        <f>ROUNDDOWN(Table1[[#This Row],[Quantity]]*(1+20%),0)</f>
        <v>8</v>
      </c>
      <c r="AL125" s="7">
        <f>Table1[[#This Row],[UnitCost]]*(1+15%)</f>
        <v>1447.528</v>
      </c>
      <c r="AM125" s="9">
        <f>Table1[[#This Row],[Quantity]]*Table1[[#This Row],[Cost of unit by inflation 15%]]</f>
        <v>10132.696</v>
      </c>
      <c r="AN125" s="21" cm="1">
        <f t="array" ref="AN125">_xlfn.UNIQUE(AC125)</f>
        <v>45016</v>
      </c>
    </row>
    <row r="126" spans="1:40" x14ac:dyDescent="0.35">
      <c r="A126" t="s">
        <v>473</v>
      </c>
      <c r="B126" s="21">
        <v>45116</v>
      </c>
      <c r="C126" s="10">
        <v>45126</v>
      </c>
      <c r="D126" s="3">
        <f t="shared" si="12"/>
        <v>10</v>
      </c>
      <c r="E126" s="10" t="str">
        <f t="shared" si="13"/>
        <v>Q3-2023</v>
      </c>
      <c r="F126" t="s">
        <v>646</v>
      </c>
      <c r="G126" t="s">
        <v>651</v>
      </c>
      <c r="H126" t="s">
        <v>688</v>
      </c>
      <c r="I126" t="s">
        <v>705</v>
      </c>
      <c r="J126" t="s">
        <v>709</v>
      </c>
      <c r="K126" t="s">
        <v>724</v>
      </c>
      <c r="L126" t="s">
        <v>726</v>
      </c>
      <c r="M126" t="s">
        <v>1190</v>
      </c>
      <c r="N126" s="3">
        <v>141.26</v>
      </c>
      <c r="O126" s="3">
        <v>206.88</v>
      </c>
      <c r="P126" s="6">
        <v>0.107</v>
      </c>
      <c r="Q126" s="6">
        <f>IF(Table1[[#This Row],[DiscountPct]]&gt;25%,25%,Table1[[#This Row],[DiscountPct]])</f>
        <v>0.107</v>
      </c>
      <c r="R126" s="5">
        <v>9</v>
      </c>
      <c r="S126" s="6">
        <f t="shared" si="14"/>
        <v>0.46453348435508995</v>
      </c>
      <c r="T126" s="8">
        <f t="shared" si="15"/>
        <v>1662.6945600000001</v>
      </c>
      <c r="U126" s="8">
        <f t="shared" si="16"/>
        <v>1271.3399999999999</v>
      </c>
      <c r="V126" s="9">
        <f t="shared" si="17"/>
        <v>391.35456000000022</v>
      </c>
      <c r="W126" s="6">
        <f t="shared" si="18"/>
        <v>0.23537369365062469</v>
      </c>
      <c r="X126" t="str" cm="1">
        <f t="array" ref="X126">_xlfn.IFS(S126&lt;=25%, "Low", S126&lt;=75%, "Medium", S126&gt;75%, "High")</f>
        <v>Medium</v>
      </c>
      <c r="Y126" s="8">
        <f>Table1[[#This Row],[Quantity]]*(Table1[[#This Row],[UnitPrice]]*(1-Table1[[#This Row],[DiscountPct]]))</f>
        <v>1662.6945600000001</v>
      </c>
      <c r="Z126" s="9">
        <f t="shared" si="19"/>
        <v>391.35456000000022</v>
      </c>
      <c r="AA126">
        <f>COUNTIF($G$2:G127,G126)</f>
        <v>8</v>
      </c>
      <c r="AB126" s="21">
        <f t="shared" si="20"/>
        <v>44988</v>
      </c>
      <c r="AC126" s="21">
        <f t="shared" si="21"/>
        <v>45016</v>
      </c>
      <c r="AD126" s="5">
        <f>(Table1[[#This Row],[OrderDate]]-Table1[[#This Row],[Date of first order]])/30</f>
        <v>4.2666666666666666</v>
      </c>
      <c r="AE126" t="str">
        <f t="shared" si="22"/>
        <v>Poor</v>
      </c>
      <c r="AF126">
        <f>COUNTIF(AE$2:AE127,AE126)</f>
        <v>87</v>
      </c>
      <c r="AG126" t="str">
        <f t="shared" si="23"/>
        <v>False</v>
      </c>
      <c r="AH126" s="7">
        <f>Table1[[#This Row],[UnitPrice]]*(1-Table1[[#This Row],[Disc Scenario]])*Table1[[#This Row],[Quantity]]</f>
        <v>1662.6945600000001</v>
      </c>
      <c r="AI126">
        <f>ROUNDDOWN((Table1[[#This Row],[Quantity]]*(1+20%)),0)</f>
        <v>10</v>
      </c>
      <c r="AJ126" s="7">
        <f>Table1[[#This Row],[Quantity increase by 20%]]*Table1[[#This Row],[UnitPrice]]</f>
        <v>2068.8000000000002</v>
      </c>
      <c r="AK126">
        <f>ROUNDDOWN(Table1[[#This Row],[Quantity]]*(1+20%),0)</f>
        <v>10</v>
      </c>
      <c r="AL126" s="7">
        <f>Table1[[#This Row],[UnitCost]]*(1+15%)</f>
        <v>162.44899999999998</v>
      </c>
      <c r="AM126" s="9">
        <f>Table1[[#This Row],[Quantity]]*Table1[[#This Row],[Cost of unit by inflation 15%]]</f>
        <v>1462.0409999999999</v>
      </c>
      <c r="AN126" s="21" cm="1">
        <f t="array" ref="AN126">_xlfn.UNIQUE(AC126)</f>
        <v>45016</v>
      </c>
    </row>
    <row r="127" spans="1:40" x14ac:dyDescent="0.35">
      <c r="A127" t="s">
        <v>64</v>
      </c>
      <c r="B127" s="21">
        <v>45117</v>
      </c>
      <c r="C127" s="10">
        <v>45139</v>
      </c>
      <c r="D127" s="3">
        <f t="shared" si="12"/>
        <v>22</v>
      </c>
      <c r="E127" s="10" t="str">
        <f t="shared" si="13"/>
        <v>Q3-2023</v>
      </c>
      <c r="F127" t="s">
        <v>648</v>
      </c>
      <c r="G127" t="s">
        <v>656</v>
      </c>
      <c r="H127" t="s">
        <v>672</v>
      </c>
      <c r="I127" t="s">
        <v>703</v>
      </c>
      <c r="J127" t="s">
        <v>708</v>
      </c>
      <c r="K127" t="s">
        <v>716</v>
      </c>
      <c r="L127" t="s">
        <v>727</v>
      </c>
      <c r="M127" t="s">
        <v>782</v>
      </c>
      <c r="N127" s="3">
        <v>1303.56</v>
      </c>
      <c r="O127" s="3">
        <v>1791.37</v>
      </c>
      <c r="P127" s="6">
        <v>0.126</v>
      </c>
      <c r="Q127" s="6">
        <f>IF(Table1[[#This Row],[DiscountPct]]&gt;25%,25%,Table1[[#This Row],[DiscountPct]])</f>
        <v>0.126</v>
      </c>
      <c r="R127" s="5">
        <v>22</v>
      </c>
      <c r="S127" s="6">
        <f t="shared" si="14"/>
        <v>0.37421369173647545</v>
      </c>
      <c r="T127" s="8">
        <f t="shared" si="15"/>
        <v>34444.462359999998</v>
      </c>
      <c r="U127" s="8">
        <f t="shared" si="16"/>
        <v>28678.32</v>
      </c>
      <c r="V127" s="9">
        <f t="shared" si="17"/>
        <v>5766.142359999998</v>
      </c>
      <c r="W127" s="6">
        <f t="shared" si="18"/>
        <v>0.16740404596055358</v>
      </c>
      <c r="X127" t="str" cm="1">
        <f t="array" ref="X127">_xlfn.IFS(S127&lt;=25%, "Low", S127&lt;=75%, "Medium", S127&gt;75%, "High")</f>
        <v>Medium</v>
      </c>
      <c r="Y127" s="8">
        <f>Table1[[#This Row],[Quantity]]*(Table1[[#This Row],[UnitPrice]]*(1-Table1[[#This Row],[DiscountPct]]))</f>
        <v>34444.462359999998</v>
      </c>
      <c r="Z127" s="9">
        <f t="shared" si="19"/>
        <v>5766.142359999998</v>
      </c>
      <c r="AA127">
        <f>COUNTIF($G$2:G128,G127)</f>
        <v>9</v>
      </c>
      <c r="AB127" s="21">
        <f t="shared" si="20"/>
        <v>44988</v>
      </c>
      <c r="AC127" s="21">
        <f t="shared" si="21"/>
        <v>45016</v>
      </c>
      <c r="AD127" s="5">
        <f>(Table1[[#This Row],[OrderDate]]-Table1[[#This Row],[Date of first order]])/30</f>
        <v>4.3</v>
      </c>
      <c r="AE127" t="str">
        <f t="shared" si="22"/>
        <v>Poor</v>
      </c>
      <c r="AF127">
        <f>COUNTIF(AE$2:AE128,AE127)</f>
        <v>87</v>
      </c>
      <c r="AG127" t="str">
        <f t="shared" si="23"/>
        <v>False</v>
      </c>
      <c r="AH127" s="7">
        <f>Table1[[#This Row],[UnitPrice]]*(1-Table1[[#This Row],[Disc Scenario]])*Table1[[#This Row],[Quantity]]</f>
        <v>34444.462359999998</v>
      </c>
      <c r="AI127">
        <f>ROUNDDOWN((Table1[[#This Row],[Quantity]]*(1+20%)),0)</f>
        <v>26</v>
      </c>
      <c r="AJ127" s="7">
        <f>Table1[[#This Row],[Quantity increase by 20%]]*Table1[[#This Row],[UnitPrice]]</f>
        <v>46575.619999999995</v>
      </c>
      <c r="AK127">
        <f>ROUNDDOWN(Table1[[#This Row],[Quantity]]*(1+20%),0)</f>
        <v>26</v>
      </c>
      <c r="AL127" s="7">
        <f>Table1[[#This Row],[UnitCost]]*(1+15%)</f>
        <v>1499.0939999999998</v>
      </c>
      <c r="AM127" s="9">
        <f>Table1[[#This Row],[Quantity]]*Table1[[#This Row],[Cost of unit by inflation 15%]]</f>
        <v>32980.067999999999</v>
      </c>
      <c r="AN127" s="21" cm="1">
        <f t="array" ref="AN127">_xlfn.UNIQUE(AC127)</f>
        <v>45016</v>
      </c>
    </row>
    <row r="128" spans="1:40" x14ac:dyDescent="0.35">
      <c r="A128" t="s">
        <v>365</v>
      </c>
      <c r="B128" s="21">
        <v>45121</v>
      </c>
      <c r="C128" s="10">
        <v>45121</v>
      </c>
      <c r="D128" s="3">
        <f t="shared" si="12"/>
        <v>0</v>
      </c>
      <c r="E128" s="10" t="str">
        <f t="shared" si="13"/>
        <v>Q3-2023</v>
      </c>
      <c r="F128" t="s">
        <v>645</v>
      </c>
      <c r="G128" t="s">
        <v>650</v>
      </c>
      <c r="H128" t="s">
        <v>664</v>
      </c>
      <c r="I128" t="s">
        <v>701</v>
      </c>
      <c r="J128" t="s">
        <v>706</v>
      </c>
      <c r="K128" t="s">
        <v>713</v>
      </c>
      <c r="L128" t="s">
        <v>732</v>
      </c>
      <c r="M128" t="s">
        <v>1083</v>
      </c>
      <c r="N128" s="3">
        <v>956.38</v>
      </c>
      <c r="O128" s="3">
        <v>1454.22</v>
      </c>
      <c r="P128" s="6">
        <v>3.9E-2</v>
      </c>
      <c r="Q128" s="6">
        <f>IF(Table1[[#This Row],[DiscountPct]]&gt;25%,25%,Table1[[#This Row],[DiscountPct]])</f>
        <v>3.9E-2</v>
      </c>
      <c r="R128" s="5">
        <v>19</v>
      </c>
      <c r="S128" s="6">
        <f t="shared" si="14"/>
        <v>0.52054622639536585</v>
      </c>
      <c r="T128" s="8">
        <f t="shared" si="15"/>
        <v>26552.60298</v>
      </c>
      <c r="U128" s="8">
        <f t="shared" si="16"/>
        <v>18171.22</v>
      </c>
      <c r="V128" s="9">
        <f t="shared" si="17"/>
        <v>8381.3829799999985</v>
      </c>
      <c r="W128" s="6">
        <f t="shared" si="18"/>
        <v>0.31565202802576603</v>
      </c>
      <c r="X128" t="str" cm="1">
        <f t="array" ref="X128">_xlfn.IFS(S128&lt;=25%, "Low", S128&lt;=75%, "Medium", S128&gt;75%, "High")</f>
        <v>Medium</v>
      </c>
      <c r="Y128" s="8">
        <f>Table1[[#This Row],[Quantity]]*(Table1[[#This Row],[UnitPrice]]*(1-Table1[[#This Row],[DiscountPct]]))</f>
        <v>26552.60298</v>
      </c>
      <c r="Z128" s="9">
        <f t="shared" si="19"/>
        <v>8381.3829799999985</v>
      </c>
      <c r="AA128">
        <f>COUNTIF($G$2:G129,G128)</f>
        <v>10</v>
      </c>
      <c r="AB128" s="21">
        <f t="shared" si="20"/>
        <v>44988</v>
      </c>
      <c r="AC128" s="21">
        <f t="shared" si="21"/>
        <v>45016</v>
      </c>
      <c r="AD128" s="5">
        <f>(Table1[[#This Row],[OrderDate]]-Table1[[#This Row],[Date of first order]])/30</f>
        <v>4.4333333333333336</v>
      </c>
      <c r="AE128" t="str">
        <f t="shared" si="22"/>
        <v>Good</v>
      </c>
      <c r="AF128">
        <f>COUNTIF(AE$2:AE129,AE128)</f>
        <v>41</v>
      </c>
      <c r="AG128" t="str">
        <f t="shared" si="23"/>
        <v>False</v>
      </c>
      <c r="AH128" s="7">
        <f>Table1[[#This Row],[UnitPrice]]*(1-Table1[[#This Row],[Disc Scenario]])*Table1[[#This Row],[Quantity]]</f>
        <v>26552.60298</v>
      </c>
      <c r="AI128">
        <f>ROUNDDOWN((Table1[[#This Row],[Quantity]]*(1+20%)),0)</f>
        <v>22</v>
      </c>
      <c r="AJ128" s="7">
        <f>Table1[[#This Row],[Quantity increase by 20%]]*Table1[[#This Row],[UnitPrice]]</f>
        <v>31992.84</v>
      </c>
      <c r="AK128">
        <f>ROUNDDOWN(Table1[[#This Row],[Quantity]]*(1+20%),0)</f>
        <v>22</v>
      </c>
      <c r="AL128" s="7">
        <f>Table1[[#This Row],[UnitCost]]*(1+15%)</f>
        <v>1099.837</v>
      </c>
      <c r="AM128" s="9">
        <f>Table1[[#This Row],[Quantity]]*Table1[[#This Row],[Cost of unit by inflation 15%]]</f>
        <v>20896.902999999998</v>
      </c>
      <c r="AN128" s="21" cm="1">
        <f t="array" ref="AN128">_xlfn.UNIQUE(AC128)</f>
        <v>45016</v>
      </c>
    </row>
    <row r="129" spans="1:40" x14ac:dyDescent="0.35">
      <c r="A129" t="s">
        <v>352</v>
      </c>
      <c r="B129" s="21">
        <v>45121</v>
      </c>
      <c r="C129" s="10">
        <v>45128</v>
      </c>
      <c r="D129" s="3">
        <f t="shared" si="12"/>
        <v>7</v>
      </c>
      <c r="E129" s="10" t="str">
        <f t="shared" si="13"/>
        <v>Q3-2023</v>
      </c>
      <c r="F129" t="s">
        <v>645</v>
      </c>
      <c r="G129" t="s">
        <v>660</v>
      </c>
      <c r="H129" t="s">
        <v>686</v>
      </c>
      <c r="I129" t="s">
        <v>705</v>
      </c>
      <c r="J129" t="s">
        <v>708</v>
      </c>
      <c r="K129" t="s">
        <v>720</v>
      </c>
      <c r="L129" t="s">
        <v>731</v>
      </c>
      <c r="M129" t="s">
        <v>1070</v>
      </c>
      <c r="N129" s="3">
        <v>620.74</v>
      </c>
      <c r="O129" s="3">
        <v>1330.07</v>
      </c>
      <c r="P129" s="6">
        <v>0.29899999999999999</v>
      </c>
      <c r="Q129" s="6">
        <f>IF(Table1[[#This Row],[DiscountPct]]&gt;25%,25%,Table1[[#This Row],[DiscountPct]])</f>
        <v>0.25</v>
      </c>
      <c r="R129" s="5">
        <v>28</v>
      </c>
      <c r="S129" s="6">
        <f t="shared" si="14"/>
        <v>1.1427167574185648</v>
      </c>
      <c r="T129" s="8">
        <f t="shared" si="15"/>
        <v>26106.613960000002</v>
      </c>
      <c r="U129" s="8">
        <f t="shared" si="16"/>
        <v>17380.72</v>
      </c>
      <c r="V129" s="9">
        <f t="shared" si="17"/>
        <v>8725.8939600000012</v>
      </c>
      <c r="W129" s="6">
        <f t="shared" si="18"/>
        <v>0.33424073965967516</v>
      </c>
      <c r="X129" t="str" cm="1">
        <f t="array" ref="X129">_xlfn.IFS(S129&lt;=25%, "Low", S129&lt;=75%, "Medium", S129&gt;75%, "High")</f>
        <v>High</v>
      </c>
      <c r="Y129" s="8">
        <f>Table1[[#This Row],[Quantity]]*(Table1[[#This Row],[UnitPrice]]*(1-Table1[[#This Row],[DiscountPct]]))</f>
        <v>26106.613960000002</v>
      </c>
      <c r="Z129" s="9">
        <f t="shared" si="19"/>
        <v>8725.8939600000012</v>
      </c>
      <c r="AA129">
        <f>COUNTIF($G$2:G130,G129)</f>
        <v>11</v>
      </c>
      <c r="AB129" s="21">
        <f t="shared" si="20"/>
        <v>44988</v>
      </c>
      <c r="AC129" s="21">
        <f t="shared" si="21"/>
        <v>45016</v>
      </c>
      <c r="AD129" s="5">
        <f>(Table1[[#This Row],[OrderDate]]-Table1[[#This Row],[Date of first order]])/30</f>
        <v>4.4333333333333336</v>
      </c>
      <c r="AE129" t="str">
        <f t="shared" si="22"/>
        <v>Good</v>
      </c>
      <c r="AF129">
        <f>COUNTIF(AE$2:AE130,AE129)</f>
        <v>41</v>
      </c>
      <c r="AG129" t="str">
        <f t="shared" si="23"/>
        <v>True</v>
      </c>
      <c r="AH129" s="7">
        <f>Table1[[#This Row],[UnitPrice]]*(1-Table1[[#This Row],[Disc Scenario]])*Table1[[#This Row],[Quantity]]</f>
        <v>27931.47</v>
      </c>
      <c r="AI129">
        <f>ROUNDDOWN((Table1[[#This Row],[Quantity]]*(1+20%)),0)</f>
        <v>33</v>
      </c>
      <c r="AJ129" s="7">
        <f>Table1[[#This Row],[Quantity increase by 20%]]*Table1[[#This Row],[UnitPrice]]</f>
        <v>43892.31</v>
      </c>
      <c r="AK129">
        <f>ROUNDDOWN(Table1[[#This Row],[Quantity]]*(1+20%),0)</f>
        <v>33</v>
      </c>
      <c r="AL129" s="7">
        <f>Table1[[#This Row],[UnitCost]]*(1+15%)</f>
        <v>713.851</v>
      </c>
      <c r="AM129" s="9">
        <f>Table1[[#This Row],[Quantity]]*Table1[[#This Row],[Cost of unit by inflation 15%]]</f>
        <v>19987.828000000001</v>
      </c>
      <c r="AN129" s="21" cm="1">
        <f t="array" ref="AN129">_xlfn.UNIQUE(AC129)</f>
        <v>45016</v>
      </c>
    </row>
    <row r="130" spans="1:40" x14ac:dyDescent="0.35">
      <c r="A130" t="s">
        <v>491</v>
      </c>
      <c r="B130" s="21">
        <v>45123</v>
      </c>
      <c r="C130" s="10">
        <v>45151</v>
      </c>
      <c r="D130" s="3">
        <f t="shared" ref="D130:D193" si="24">DATEDIF(B130,C130,"d")</f>
        <v>28</v>
      </c>
      <c r="E130" s="10" t="str">
        <f t="shared" ref="E130:E193" si="25">"Q"&amp;ROUNDUP(MONTH(B130)/3,0)&amp; "-" &amp;YEAR(B130)</f>
        <v>Q3-2023</v>
      </c>
      <c r="F130" t="s">
        <v>648</v>
      </c>
      <c r="G130" t="s">
        <v>657</v>
      </c>
      <c r="H130" t="s">
        <v>692</v>
      </c>
      <c r="I130" t="s">
        <v>702</v>
      </c>
      <c r="J130" t="s">
        <v>707</v>
      </c>
      <c r="K130" t="s">
        <v>712</v>
      </c>
      <c r="L130" t="s">
        <v>730</v>
      </c>
      <c r="M130" t="s">
        <v>1208</v>
      </c>
      <c r="N130" s="3">
        <v>1039.03</v>
      </c>
      <c r="O130" s="3">
        <v>2545.81</v>
      </c>
      <c r="P130" s="6">
        <v>0.216</v>
      </c>
      <c r="Q130" s="6">
        <f>IF(Table1[[#This Row],[DiscountPct]]&gt;25%,25%,Table1[[#This Row],[DiscountPct]])</f>
        <v>0.216</v>
      </c>
      <c r="R130" s="5">
        <v>21</v>
      </c>
      <c r="S130" s="6">
        <f t="shared" ref="S130:S193" si="26">(O130-N130)/N130</f>
        <v>1.4501794943360635</v>
      </c>
      <c r="T130" s="8">
        <f t="shared" ref="T130:T193" si="27">O130*R130*(1-P130)</f>
        <v>41914.215840000004</v>
      </c>
      <c r="U130" s="8">
        <f t="shared" ref="U130:U193" si="28">N130*R130</f>
        <v>21819.63</v>
      </c>
      <c r="V130" s="9">
        <f t="shared" ref="V130:V193" si="29">T130-U130</f>
        <v>20094.585840000003</v>
      </c>
      <c r="W130" s="6">
        <f t="shared" ref="W130:W193" si="30">V130/T130</f>
        <v>0.47942172929364774</v>
      </c>
      <c r="X130" t="str" cm="1">
        <f t="array" ref="X130">_xlfn.IFS(S130&lt;=25%, "Low", S130&lt;=75%, "Medium", S130&gt;75%, "High")</f>
        <v>High</v>
      </c>
      <c r="Y130" s="8">
        <f>Table1[[#This Row],[Quantity]]*(Table1[[#This Row],[UnitPrice]]*(1-Table1[[#This Row],[DiscountPct]]))</f>
        <v>41914.215840000004</v>
      </c>
      <c r="Z130" s="9">
        <f t="shared" ref="Z130:Z193" si="31">Y130-(N130*R130)</f>
        <v>20094.585840000003</v>
      </c>
      <c r="AA130">
        <f>COUNTIF($G$2:G131,G130)</f>
        <v>14</v>
      </c>
      <c r="AB130" s="21">
        <f t="shared" ref="AB130:AB193" si="32">IF(AA130=1,B130,AB129)</f>
        <v>44988</v>
      </c>
      <c r="AC130" s="21">
        <f t="shared" ref="AC130:AC193" si="33">EOMONTH(AB130,0)</f>
        <v>45016</v>
      </c>
      <c r="AD130" s="5">
        <f>(Table1[[#This Row],[OrderDate]]-Table1[[#This Row],[Date of first order]])/30</f>
        <v>4.5</v>
      </c>
      <c r="AE130" t="str">
        <f t="shared" ref="AE130:AE193" si="34">IF(D130&lt;=7,"Good","Poor")</f>
        <v>Poor</v>
      </c>
      <c r="AF130">
        <f>COUNTIF(AE$2:AE131,AE130)</f>
        <v>88</v>
      </c>
      <c r="AG130" t="str">
        <f t="shared" ref="AG130:AG193" si="35">IF(P130&gt;20%,"True","False")</f>
        <v>True</v>
      </c>
      <c r="AH130" s="7">
        <f>Table1[[#This Row],[UnitPrice]]*(1-Table1[[#This Row],[Disc Scenario]])*Table1[[#This Row],[Quantity]]</f>
        <v>41914.215840000004</v>
      </c>
      <c r="AI130">
        <f>ROUNDDOWN((Table1[[#This Row],[Quantity]]*(1+20%)),0)</f>
        <v>25</v>
      </c>
      <c r="AJ130" s="7">
        <f>Table1[[#This Row],[Quantity increase by 20%]]*Table1[[#This Row],[UnitPrice]]</f>
        <v>63645.25</v>
      </c>
      <c r="AK130">
        <f>ROUNDDOWN(Table1[[#This Row],[Quantity]]*(1+20%),0)</f>
        <v>25</v>
      </c>
      <c r="AL130" s="7">
        <f>Table1[[#This Row],[UnitCost]]*(1+15%)</f>
        <v>1194.8844999999999</v>
      </c>
      <c r="AM130" s="9">
        <f>Table1[[#This Row],[Quantity]]*Table1[[#This Row],[Cost of unit by inflation 15%]]</f>
        <v>25092.574499999999</v>
      </c>
      <c r="AN130" s="21" cm="1">
        <f t="array" ref="AN130">_xlfn.UNIQUE(AC130)</f>
        <v>45016</v>
      </c>
    </row>
    <row r="131" spans="1:40" x14ac:dyDescent="0.35">
      <c r="A131" t="s">
        <v>315</v>
      </c>
      <c r="B131" s="21">
        <v>45125</v>
      </c>
      <c r="C131" s="10">
        <v>45129</v>
      </c>
      <c r="D131" s="3">
        <f t="shared" si="24"/>
        <v>4</v>
      </c>
      <c r="E131" s="10" t="str">
        <f t="shared" si="25"/>
        <v>Q3-2023</v>
      </c>
      <c r="F131" t="s">
        <v>647</v>
      </c>
      <c r="G131" t="s">
        <v>654</v>
      </c>
      <c r="H131" t="s">
        <v>669</v>
      </c>
      <c r="I131" t="s">
        <v>703</v>
      </c>
      <c r="J131" t="s">
        <v>710</v>
      </c>
      <c r="K131" t="s">
        <v>720</v>
      </c>
      <c r="L131" t="s">
        <v>728</v>
      </c>
      <c r="M131" t="s">
        <v>1033</v>
      </c>
      <c r="N131" s="3">
        <v>1269.55</v>
      </c>
      <c r="O131" s="3">
        <v>2071.1</v>
      </c>
      <c r="P131" s="6">
        <v>0.129</v>
      </c>
      <c r="Q131" s="6">
        <f>IF(Table1[[#This Row],[DiscountPct]]&gt;25%,25%,Table1[[#This Row],[DiscountPct]])</f>
        <v>0.129</v>
      </c>
      <c r="R131" s="5">
        <v>22</v>
      </c>
      <c r="S131" s="6">
        <f t="shared" si="26"/>
        <v>0.63136544444882048</v>
      </c>
      <c r="T131" s="8">
        <f t="shared" si="27"/>
        <v>39686.4182</v>
      </c>
      <c r="U131" s="8">
        <f t="shared" si="28"/>
        <v>27930.1</v>
      </c>
      <c r="V131" s="9">
        <f t="shared" si="29"/>
        <v>11756.318200000002</v>
      </c>
      <c r="W131" s="6">
        <f t="shared" si="30"/>
        <v>0.29623026549672354</v>
      </c>
      <c r="X131" t="str" cm="1">
        <f t="array" ref="X131">_xlfn.IFS(S131&lt;=25%, "Low", S131&lt;=75%, "Medium", S131&gt;75%, "High")</f>
        <v>Medium</v>
      </c>
      <c r="Y131" s="8">
        <f>Table1[[#This Row],[Quantity]]*(Table1[[#This Row],[UnitPrice]]*(1-Table1[[#This Row],[DiscountPct]]))</f>
        <v>39686.4182</v>
      </c>
      <c r="Z131" s="9">
        <f t="shared" si="31"/>
        <v>11756.318200000002</v>
      </c>
      <c r="AA131">
        <f>COUNTIF($G$2:G132,G131)</f>
        <v>10</v>
      </c>
      <c r="AB131" s="21">
        <f t="shared" si="32"/>
        <v>44988</v>
      </c>
      <c r="AC131" s="21">
        <f t="shared" si="33"/>
        <v>45016</v>
      </c>
      <c r="AD131" s="5">
        <f>(Table1[[#This Row],[OrderDate]]-Table1[[#This Row],[Date of first order]])/30</f>
        <v>4.5666666666666664</v>
      </c>
      <c r="AE131" t="str">
        <f t="shared" si="34"/>
        <v>Good</v>
      </c>
      <c r="AF131">
        <f>COUNTIF(AE$2:AE132,AE131)</f>
        <v>42</v>
      </c>
      <c r="AG131" t="str">
        <f t="shared" si="35"/>
        <v>False</v>
      </c>
      <c r="AH131" s="7">
        <f>Table1[[#This Row],[UnitPrice]]*(1-Table1[[#This Row],[Disc Scenario]])*Table1[[#This Row],[Quantity]]</f>
        <v>39686.4182</v>
      </c>
      <c r="AI131">
        <f>ROUNDDOWN((Table1[[#This Row],[Quantity]]*(1+20%)),0)</f>
        <v>26</v>
      </c>
      <c r="AJ131" s="7">
        <f>Table1[[#This Row],[Quantity increase by 20%]]*Table1[[#This Row],[UnitPrice]]</f>
        <v>53848.6</v>
      </c>
      <c r="AK131">
        <f>ROUNDDOWN(Table1[[#This Row],[Quantity]]*(1+20%),0)</f>
        <v>26</v>
      </c>
      <c r="AL131" s="7">
        <f>Table1[[#This Row],[UnitCost]]*(1+15%)</f>
        <v>1459.9824999999998</v>
      </c>
      <c r="AM131" s="9">
        <f>Table1[[#This Row],[Quantity]]*Table1[[#This Row],[Cost of unit by inflation 15%]]</f>
        <v>32119.614999999998</v>
      </c>
      <c r="AN131" s="21" cm="1">
        <f t="array" ref="AN131">_xlfn.UNIQUE(AC131)</f>
        <v>45016</v>
      </c>
    </row>
    <row r="132" spans="1:40" x14ac:dyDescent="0.35">
      <c r="A132" t="s">
        <v>302</v>
      </c>
      <c r="B132" s="21">
        <v>45125</v>
      </c>
      <c r="C132" s="10">
        <v>45148</v>
      </c>
      <c r="D132" s="3">
        <f t="shared" si="24"/>
        <v>23</v>
      </c>
      <c r="E132" s="10" t="str">
        <f t="shared" si="25"/>
        <v>Q3-2023</v>
      </c>
      <c r="F132" t="s">
        <v>645</v>
      </c>
      <c r="G132" t="s">
        <v>660</v>
      </c>
      <c r="H132" t="s">
        <v>681</v>
      </c>
      <c r="I132" t="s">
        <v>704</v>
      </c>
      <c r="J132" t="s">
        <v>706</v>
      </c>
      <c r="K132" t="s">
        <v>715</v>
      </c>
      <c r="L132" t="s">
        <v>726</v>
      </c>
      <c r="M132" t="s">
        <v>1020</v>
      </c>
      <c r="N132" s="3">
        <v>1271.56</v>
      </c>
      <c r="O132" s="3">
        <v>2047.2115999999999</v>
      </c>
      <c r="P132" s="6">
        <v>0.192</v>
      </c>
      <c r="Q132" s="6">
        <f>IF(Table1[[#This Row],[DiscountPct]]&gt;25%,25%,Table1[[#This Row],[DiscountPct]])</f>
        <v>0.192</v>
      </c>
      <c r="R132" s="5">
        <v>13</v>
      </c>
      <c r="S132" s="6">
        <f t="shared" si="26"/>
        <v>0.61</v>
      </c>
      <c r="T132" s="8">
        <f t="shared" si="27"/>
        <v>21503.9106464</v>
      </c>
      <c r="U132" s="8">
        <f t="shared" si="28"/>
        <v>16530.28</v>
      </c>
      <c r="V132" s="9">
        <f t="shared" si="29"/>
        <v>4973.6306464000008</v>
      </c>
      <c r="W132" s="6">
        <f t="shared" si="30"/>
        <v>0.23128958858618787</v>
      </c>
      <c r="X132" t="str" cm="1">
        <f t="array" ref="X132">_xlfn.IFS(S132&lt;=25%, "Low", S132&lt;=75%, "Medium", S132&gt;75%, "High")</f>
        <v>Medium</v>
      </c>
      <c r="Y132" s="8">
        <f>Table1[[#This Row],[Quantity]]*(Table1[[#This Row],[UnitPrice]]*(1-Table1[[#This Row],[DiscountPct]]))</f>
        <v>21503.9106464</v>
      </c>
      <c r="Z132" s="9">
        <f t="shared" si="31"/>
        <v>4973.6306464000008</v>
      </c>
      <c r="AA132">
        <f>COUNTIF($G$2:G133,G132)</f>
        <v>12</v>
      </c>
      <c r="AB132" s="21">
        <f t="shared" si="32"/>
        <v>44988</v>
      </c>
      <c r="AC132" s="21">
        <f t="shared" si="33"/>
        <v>45016</v>
      </c>
      <c r="AD132" s="5">
        <f>(Table1[[#This Row],[OrderDate]]-Table1[[#This Row],[Date of first order]])/30</f>
        <v>4.5666666666666664</v>
      </c>
      <c r="AE132" t="str">
        <f t="shared" si="34"/>
        <v>Poor</v>
      </c>
      <c r="AF132">
        <f>COUNTIF(AE$2:AE133,AE132)</f>
        <v>90</v>
      </c>
      <c r="AG132" t="str">
        <f t="shared" si="35"/>
        <v>False</v>
      </c>
      <c r="AH132" s="7">
        <f>Table1[[#This Row],[UnitPrice]]*(1-Table1[[#This Row],[Disc Scenario]])*Table1[[#This Row],[Quantity]]</f>
        <v>21503.9106464</v>
      </c>
      <c r="AI132">
        <f>ROUNDDOWN((Table1[[#This Row],[Quantity]]*(1+20%)),0)</f>
        <v>15</v>
      </c>
      <c r="AJ132" s="7">
        <f>Table1[[#This Row],[Quantity increase by 20%]]*Table1[[#This Row],[UnitPrice]]</f>
        <v>30708.173999999999</v>
      </c>
      <c r="AK132">
        <f>ROUNDDOWN(Table1[[#This Row],[Quantity]]*(1+20%),0)</f>
        <v>15</v>
      </c>
      <c r="AL132" s="7">
        <f>Table1[[#This Row],[UnitCost]]*(1+15%)</f>
        <v>1462.2939999999999</v>
      </c>
      <c r="AM132" s="9">
        <f>Table1[[#This Row],[Quantity]]*Table1[[#This Row],[Cost of unit by inflation 15%]]</f>
        <v>19009.822</v>
      </c>
      <c r="AN132" s="21" cm="1">
        <f t="array" ref="AN132">_xlfn.UNIQUE(AC132)</f>
        <v>45016</v>
      </c>
    </row>
    <row r="133" spans="1:40" x14ac:dyDescent="0.35">
      <c r="A133" t="s">
        <v>201</v>
      </c>
      <c r="B133" s="21">
        <v>45126</v>
      </c>
      <c r="C133" s="10">
        <v>45138</v>
      </c>
      <c r="D133" s="3">
        <f t="shared" si="24"/>
        <v>12</v>
      </c>
      <c r="E133" s="10" t="str">
        <f t="shared" si="25"/>
        <v>Q3-2023</v>
      </c>
      <c r="F133" t="s">
        <v>647</v>
      </c>
      <c r="G133" t="s">
        <v>654</v>
      </c>
      <c r="H133" t="s">
        <v>691</v>
      </c>
      <c r="I133" t="s">
        <v>700</v>
      </c>
      <c r="J133" t="s">
        <v>706</v>
      </c>
      <c r="K133" t="s">
        <v>711</v>
      </c>
      <c r="L133" t="s">
        <v>731</v>
      </c>
      <c r="M133" t="s">
        <v>919</v>
      </c>
      <c r="N133" s="3">
        <v>1334.64</v>
      </c>
      <c r="O133" s="3">
        <v>2273.42</v>
      </c>
      <c r="P133" s="6">
        <v>0.11799999999999999</v>
      </c>
      <c r="Q133" s="6">
        <f>IF(Table1[[#This Row],[DiscountPct]]&gt;25%,25%,Table1[[#This Row],[DiscountPct]])</f>
        <v>0.11799999999999999</v>
      </c>
      <c r="R133" s="5">
        <v>14</v>
      </c>
      <c r="S133" s="6">
        <f t="shared" si="26"/>
        <v>0.70339567224120358</v>
      </c>
      <c r="T133" s="8">
        <f t="shared" si="27"/>
        <v>28072.190160000002</v>
      </c>
      <c r="U133" s="8">
        <f t="shared" si="28"/>
        <v>18684.960000000003</v>
      </c>
      <c r="V133" s="9">
        <f t="shared" si="29"/>
        <v>9387.2301599999992</v>
      </c>
      <c r="W133" s="6">
        <f t="shared" si="30"/>
        <v>0.33439607335575267</v>
      </c>
      <c r="X133" t="str" cm="1">
        <f t="array" ref="X133">_xlfn.IFS(S133&lt;=25%, "Low", S133&lt;=75%, "Medium", S133&gt;75%, "High")</f>
        <v>Medium</v>
      </c>
      <c r="Y133" s="8">
        <f>Table1[[#This Row],[Quantity]]*(Table1[[#This Row],[UnitPrice]]*(1-Table1[[#This Row],[DiscountPct]]))</f>
        <v>28072.190159999998</v>
      </c>
      <c r="Z133" s="9">
        <f t="shared" si="31"/>
        <v>9387.2301599999955</v>
      </c>
      <c r="AA133">
        <f>COUNTIF($G$2:G134,G133)</f>
        <v>11</v>
      </c>
      <c r="AB133" s="21">
        <f t="shared" si="32"/>
        <v>44988</v>
      </c>
      <c r="AC133" s="21">
        <f t="shared" si="33"/>
        <v>45016</v>
      </c>
      <c r="AD133" s="5">
        <f>(Table1[[#This Row],[OrderDate]]-Table1[[#This Row],[Date of first order]])/30</f>
        <v>4.5999999999999996</v>
      </c>
      <c r="AE133" t="str">
        <f t="shared" si="34"/>
        <v>Poor</v>
      </c>
      <c r="AF133">
        <f>COUNTIF(AE$2:AE134,AE133)</f>
        <v>90</v>
      </c>
      <c r="AG133" t="str">
        <f t="shared" si="35"/>
        <v>False</v>
      </c>
      <c r="AH133" s="7">
        <f>Table1[[#This Row],[UnitPrice]]*(1-Table1[[#This Row],[Disc Scenario]])*Table1[[#This Row],[Quantity]]</f>
        <v>28072.190159999998</v>
      </c>
      <c r="AI133">
        <f>ROUNDDOWN((Table1[[#This Row],[Quantity]]*(1+20%)),0)</f>
        <v>16</v>
      </c>
      <c r="AJ133" s="7">
        <f>Table1[[#This Row],[Quantity increase by 20%]]*Table1[[#This Row],[UnitPrice]]</f>
        <v>36374.720000000001</v>
      </c>
      <c r="AK133">
        <f>ROUNDDOWN(Table1[[#This Row],[Quantity]]*(1+20%),0)</f>
        <v>16</v>
      </c>
      <c r="AL133" s="7">
        <f>Table1[[#This Row],[UnitCost]]*(1+15%)</f>
        <v>1534.836</v>
      </c>
      <c r="AM133" s="9">
        <f>Table1[[#This Row],[Quantity]]*Table1[[#This Row],[Cost of unit by inflation 15%]]</f>
        <v>21487.704000000002</v>
      </c>
      <c r="AN133" s="21" cm="1">
        <f t="array" ref="AN133">_xlfn.UNIQUE(AC133)</f>
        <v>45016</v>
      </c>
    </row>
    <row r="134" spans="1:40" x14ac:dyDescent="0.35">
      <c r="A134" t="s">
        <v>463</v>
      </c>
      <c r="B134" s="21">
        <v>45128</v>
      </c>
      <c r="C134" s="10">
        <v>45129</v>
      </c>
      <c r="D134" s="3">
        <f t="shared" si="24"/>
        <v>1</v>
      </c>
      <c r="E134" s="10" t="str">
        <f t="shared" si="25"/>
        <v>Q3-2023</v>
      </c>
      <c r="F134" t="s">
        <v>646</v>
      </c>
      <c r="G134" t="s">
        <v>653</v>
      </c>
      <c r="H134" t="s">
        <v>679</v>
      </c>
      <c r="I134" t="s">
        <v>704</v>
      </c>
      <c r="J134" t="s">
        <v>709</v>
      </c>
      <c r="K134" t="s">
        <v>717</v>
      </c>
      <c r="L134" t="s">
        <v>727</v>
      </c>
      <c r="M134" t="s">
        <v>1180</v>
      </c>
      <c r="N134" s="3">
        <v>946.99</v>
      </c>
      <c r="O134" s="3">
        <v>2132.19</v>
      </c>
      <c r="P134" s="6">
        <v>0.16500000000000001</v>
      </c>
      <c r="Q134" s="6">
        <f>IF(Table1[[#This Row],[DiscountPct]]&gt;25%,25%,Table1[[#This Row],[DiscountPct]])</f>
        <v>0.16500000000000001</v>
      </c>
      <c r="R134" s="5">
        <v>7</v>
      </c>
      <c r="S134" s="6">
        <f t="shared" si="26"/>
        <v>1.251544366888774</v>
      </c>
      <c r="T134" s="8">
        <f t="shared" si="27"/>
        <v>12462.65055</v>
      </c>
      <c r="U134" s="8">
        <f t="shared" si="28"/>
        <v>6628.93</v>
      </c>
      <c r="V134" s="9">
        <f t="shared" si="29"/>
        <v>5833.72055</v>
      </c>
      <c r="W134" s="6">
        <f t="shared" si="30"/>
        <v>0.46809629513362228</v>
      </c>
      <c r="X134" t="str" cm="1">
        <f t="array" ref="X134">_xlfn.IFS(S134&lt;=25%, "Low", S134&lt;=75%, "Medium", S134&gt;75%, "High")</f>
        <v>High</v>
      </c>
      <c r="Y134" s="8">
        <f>Table1[[#This Row],[Quantity]]*(Table1[[#This Row],[UnitPrice]]*(1-Table1[[#This Row],[DiscountPct]]))</f>
        <v>12462.650549999998</v>
      </c>
      <c r="Z134" s="9">
        <f t="shared" si="31"/>
        <v>5833.7205499999982</v>
      </c>
      <c r="AA134">
        <f>COUNTIF($G$2:G135,G134)</f>
        <v>11</v>
      </c>
      <c r="AB134" s="21">
        <f t="shared" si="32"/>
        <v>44988</v>
      </c>
      <c r="AC134" s="21">
        <f t="shared" si="33"/>
        <v>45016</v>
      </c>
      <c r="AD134" s="5">
        <f>(Table1[[#This Row],[OrderDate]]-Table1[[#This Row],[Date of first order]])/30</f>
        <v>4.666666666666667</v>
      </c>
      <c r="AE134" t="str">
        <f t="shared" si="34"/>
        <v>Good</v>
      </c>
      <c r="AF134">
        <f>COUNTIF(AE$2:AE135,AE134)</f>
        <v>43</v>
      </c>
      <c r="AG134" t="str">
        <f t="shared" si="35"/>
        <v>False</v>
      </c>
      <c r="AH134" s="7">
        <f>Table1[[#This Row],[UnitPrice]]*(1-Table1[[#This Row],[Disc Scenario]])*Table1[[#This Row],[Quantity]]</f>
        <v>12462.650549999998</v>
      </c>
      <c r="AI134">
        <f>ROUNDDOWN((Table1[[#This Row],[Quantity]]*(1+20%)),0)</f>
        <v>8</v>
      </c>
      <c r="AJ134" s="7">
        <f>Table1[[#This Row],[Quantity increase by 20%]]*Table1[[#This Row],[UnitPrice]]</f>
        <v>17057.52</v>
      </c>
      <c r="AK134">
        <f>ROUNDDOWN(Table1[[#This Row],[Quantity]]*(1+20%),0)</f>
        <v>8</v>
      </c>
      <c r="AL134" s="7">
        <f>Table1[[#This Row],[UnitCost]]*(1+15%)</f>
        <v>1089.0384999999999</v>
      </c>
      <c r="AM134" s="9">
        <f>Table1[[#This Row],[Quantity]]*Table1[[#This Row],[Cost of unit by inflation 15%]]</f>
        <v>7623.2694999999994</v>
      </c>
      <c r="AN134" s="21" cm="1">
        <f t="array" ref="AN134">_xlfn.UNIQUE(AC134)</f>
        <v>45016</v>
      </c>
    </row>
    <row r="135" spans="1:40" x14ac:dyDescent="0.35">
      <c r="A135" t="s">
        <v>353</v>
      </c>
      <c r="B135" s="21">
        <v>45131</v>
      </c>
      <c r="C135" s="10">
        <v>45157</v>
      </c>
      <c r="D135" s="3">
        <f t="shared" si="24"/>
        <v>26</v>
      </c>
      <c r="E135" s="10" t="str">
        <f t="shared" si="25"/>
        <v>Q3-2023</v>
      </c>
      <c r="F135" t="s">
        <v>645</v>
      </c>
      <c r="G135" t="s">
        <v>649</v>
      </c>
      <c r="H135" t="s">
        <v>663</v>
      </c>
      <c r="I135" t="s">
        <v>705</v>
      </c>
      <c r="J135" t="s">
        <v>709</v>
      </c>
      <c r="K135" t="s">
        <v>723</v>
      </c>
      <c r="L135" t="s">
        <v>732</v>
      </c>
      <c r="M135" t="s">
        <v>1071</v>
      </c>
      <c r="N135" s="3">
        <v>661.45</v>
      </c>
      <c r="O135" s="3">
        <v>1634.86</v>
      </c>
      <c r="P135" s="6">
        <v>0.16</v>
      </c>
      <c r="Q135" s="6">
        <f>IF(Table1[[#This Row],[DiscountPct]]&gt;25%,25%,Table1[[#This Row],[DiscountPct]])</f>
        <v>0.16</v>
      </c>
      <c r="R135" s="5">
        <v>24</v>
      </c>
      <c r="S135" s="6">
        <f t="shared" si="26"/>
        <v>1.4716305087308184</v>
      </c>
      <c r="T135" s="8">
        <f t="shared" si="27"/>
        <v>32958.777600000001</v>
      </c>
      <c r="U135" s="8">
        <f t="shared" si="28"/>
        <v>15874.800000000001</v>
      </c>
      <c r="V135" s="9">
        <f t="shared" si="29"/>
        <v>17083.977599999998</v>
      </c>
      <c r="W135" s="6">
        <f t="shared" si="30"/>
        <v>0.51834378711909501</v>
      </c>
      <c r="X135" t="str" cm="1">
        <f t="array" ref="X135">_xlfn.IFS(S135&lt;=25%, "Low", S135&lt;=75%, "Medium", S135&gt;75%, "High")</f>
        <v>High</v>
      </c>
      <c r="Y135" s="8">
        <f>Table1[[#This Row],[Quantity]]*(Table1[[#This Row],[UnitPrice]]*(1-Table1[[#This Row],[DiscountPct]]))</f>
        <v>32958.777599999994</v>
      </c>
      <c r="Z135" s="9">
        <f t="shared" si="31"/>
        <v>17083.977599999991</v>
      </c>
      <c r="AA135">
        <f>COUNTIF($G$2:G136,G135)</f>
        <v>14</v>
      </c>
      <c r="AB135" s="21">
        <f t="shared" si="32"/>
        <v>44988</v>
      </c>
      <c r="AC135" s="21">
        <f t="shared" si="33"/>
        <v>45016</v>
      </c>
      <c r="AD135" s="5">
        <f>(Table1[[#This Row],[OrderDate]]-Table1[[#This Row],[Date of first order]])/30</f>
        <v>4.7666666666666666</v>
      </c>
      <c r="AE135" t="str">
        <f t="shared" si="34"/>
        <v>Poor</v>
      </c>
      <c r="AF135">
        <f>COUNTIF(AE$2:AE136,AE135)</f>
        <v>92</v>
      </c>
      <c r="AG135" t="str">
        <f t="shared" si="35"/>
        <v>False</v>
      </c>
      <c r="AH135" s="7">
        <f>Table1[[#This Row],[UnitPrice]]*(1-Table1[[#This Row],[Disc Scenario]])*Table1[[#This Row],[Quantity]]</f>
        <v>32958.777599999994</v>
      </c>
      <c r="AI135">
        <f>ROUNDDOWN((Table1[[#This Row],[Quantity]]*(1+20%)),0)</f>
        <v>28</v>
      </c>
      <c r="AJ135" s="7">
        <f>Table1[[#This Row],[Quantity increase by 20%]]*Table1[[#This Row],[UnitPrice]]</f>
        <v>45776.079999999994</v>
      </c>
      <c r="AK135">
        <f>ROUNDDOWN(Table1[[#This Row],[Quantity]]*(1+20%),0)</f>
        <v>28</v>
      </c>
      <c r="AL135" s="7">
        <f>Table1[[#This Row],[UnitCost]]*(1+15%)</f>
        <v>760.66750000000002</v>
      </c>
      <c r="AM135" s="9">
        <f>Table1[[#This Row],[Quantity]]*Table1[[#This Row],[Cost of unit by inflation 15%]]</f>
        <v>18256.02</v>
      </c>
      <c r="AN135" s="21" cm="1">
        <f t="array" ref="AN135">_xlfn.UNIQUE(AC135)</f>
        <v>45016</v>
      </c>
    </row>
    <row r="136" spans="1:40" x14ac:dyDescent="0.35">
      <c r="A136" t="s">
        <v>286</v>
      </c>
      <c r="B136" s="21">
        <v>45131</v>
      </c>
      <c r="C136" s="10">
        <v>45151</v>
      </c>
      <c r="D136" s="3">
        <f t="shared" si="24"/>
        <v>20</v>
      </c>
      <c r="E136" s="10" t="str">
        <f t="shared" si="25"/>
        <v>Q3-2023</v>
      </c>
      <c r="F136" t="s">
        <v>647</v>
      </c>
      <c r="G136" t="s">
        <v>652</v>
      </c>
      <c r="H136" t="s">
        <v>680</v>
      </c>
      <c r="I136" t="s">
        <v>701</v>
      </c>
      <c r="J136" t="s">
        <v>710</v>
      </c>
      <c r="K136" t="s">
        <v>711</v>
      </c>
      <c r="L136" t="s">
        <v>731</v>
      </c>
      <c r="M136" t="s">
        <v>1004</v>
      </c>
      <c r="N136" s="3">
        <v>1082.3800000000001</v>
      </c>
      <c r="O136" s="3">
        <v>1766.55</v>
      </c>
      <c r="P136" s="6">
        <v>0.16400000000000001</v>
      </c>
      <c r="Q136" s="6">
        <f>IF(Table1[[#This Row],[DiscountPct]]&gt;25%,25%,Table1[[#This Row],[DiscountPct]])</f>
        <v>0.16400000000000001</v>
      </c>
      <c r="R136" s="5">
        <v>20</v>
      </c>
      <c r="S136" s="6">
        <f t="shared" si="26"/>
        <v>0.63209778451190879</v>
      </c>
      <c r="T136" s="8">
        <f t="shared" si="27"/>
        <v>29536.716</v>
      </c>
      <c r="U136" s="8">
        <f t="shared" si="28"/>
        <v>21647.600000000002</v>
      </c>
      <c r="V136" s="9">
        <f t="shared" si="29"/>
        <v>7889.1159999999982</v>
      </c>
      <c r="W136" s="6">
        <f t="shared" si="30"/>
        <v>0.26709523157550752</v>
      </c>
      <c r="X136" t="str" cm="1">
        <f t="array" ref="X136">_xlfn.IFS(S136&lt;=25%, "Low", S136&lt;=75%, "Medium", S136&gt;75%, "High")</f>
        <v>Medium</v>
      </c>
      <c r="Y136" s="8">
        <f>Table1[[#This Row],[Quantity]]*(Table1[[#This Row],[UnitPrice]]*(1-Table1[[#This Row],[DiscountPct]]))</f>
        <v>29536.715999999997</v>
      </c>
      <c r="Z136" s="9">
        <f t="shared" si="31"/>
        <v>7889.1159999999945</v>
      </c>
      <c r="AA136">
        <f>COUNTIF($G$2:G137,G136)</f>
        <v>9</v>
      </c>
      <c r="AB136" s="21">
        <f t="shared" si="32"/>
        <v>44988</v>
      </c>
      <c r="AC136" s="21">
        <f t="shared" si="33"/>
        <v>45016</v>
      </c>
      <c r="AD136" s="5">
        <f>(Table1[[#This Row],[OrderDate]]-Table1[[#This Row],[Date of first order]])/30</f>
        <v>4.7666666666666666</v>
      </c>
      <c r="AE136" t="str">
        <f t="shared" si="34"/>
        <v>Poor</v>
      </c>
      <c r="AF136">
        <f>COUNTIF(AE$2:AE137,AE136)</f>
        <v>93</v>
      </c>
      <c r="AG136" t="str">
        <f t="shared" si="35"/>
        <v>False</v>
      </c>
      <c r="AH136" s="7">
        <f>Table1[[#This Row],[UnitPrice]]*(1-Table1[[#This Row],[Disc Scenario]])*Table1[[#This Row],[Quantity]]</f>
        <v>29536.715999999997</v>
      </c>
      <c r="AI136">
        <f>ROUNDDOWN((Table1[[#This Row],[Quantity]]*(1+20%)),0)</f>
        <v>24</v>
      </c>
      <c r="AJ136" s="7">
        <f>Table1[[#This Row],[Quantity increase by 20%]]*Table1[[#This Row],[UnitPrice]]</f>
        <v>42397.2</v>
      </c>
      <c r="AK136">
        <f>ROUNDDOWN(Table1[[#This Row],[Quantity]]*(1+20%),0)</f>
        <v>24</v>
      </c>
      <c r="AL136" s="7">
        <f>Table1[[#This Row],[UnitCost]]*(1+15%)</f>
        <v>1244.7370000000001</v>
      </c>
      <c r="AM136" s="9">
        <f>Table1[[#This Row],[Quantity]]*Table1[[#This Row],[Cost of unit by inflation 15%]]</f>
        <v>24894.74</v>
      </c>
      <c r="AN136" s="21" cm="1">
        <f t="array" ref="AN136">_xlfn.UNIQUE(AC136)</f>
        <v>45016</v>
      </c>
    </row>
    <row r="137" spans="1:40" x14ac:dyDescent="0.35">
      <c r="A137" t="s">
        <v>351</v>
      </c>
      <c r="B137" s="21">
        <v>45132</v>
      </c>
      <c r="C137" s="10">
        <v>45148</v>
      </c>
      <c r="D137" s="3">
        <f t="shared" si="24"/>
        <v>16</v>
      </c>
      <c r="E137" s="10" t="str">
        <f t="shared" si="25"/>
        <v>Q3-2023</v>
      </c>
      <c r="F137" t="s">
        <v>645</v>
      </c>
      <c r="G137" t="s">
        <v>650</v>
      </c>
      <c r="H137" t="s">
        <v>662</v>
      </c>
      <c r="I137" t="s">
        <v>700</v>
      </c>
      <c r="J137" t="s">
        <v>709</v>
      </c>
      <c r="K137" t="s">
        <v>713</v>
      </c>
      <c r="L137" t="s">
        <v>732</v>
      </c>
      <c r="M137" t="s">
        <v>1069</v>
      </c>
      <c r="N137" s="3">
        <v>506.83</v>
      </c>
      <c r="O137" s="3">
        <v>952.84039999999993</v>
      </c>
      <c r="P137" s="6">
        <v>0.24</v>
      </c>
      <c r="Q137" s="6">
        <f>IF(Table1[[#This Row],[DiscountPct]]&gt;25%,25%,Table1[[#This Row],[DiscountPct]])</f>
        <v>0.24</v>
      </c>
      <c r="R137" s="5">
        <v>9</v>
      </c>
      <c r="S137" s="6">
        <f t="shared" si="26"/>
        <v>0.87999999999999989</v>
      </c>
      <c r="T137" s="8">
        <f t="shared" si="27"/>
        <v>6517.4283359999999</v>
      </c>
      <c r="U137" s="8">
        <f t="shared" si="28"/>
        <v>4561.47</v>
      </c>
      <c r="V137" s="9">
        <f t="shared" si="29"/>
        <v>1955.9583359999997</v>
      </c>
      <c r="W137" s="6">
        <f t="shared" si="30"/>
        <v>0.30011198208286671</v>
      </c>
      <c r="X137" t="str" cm="1">
        <f t="array" ref="X137">_xlfn.IFS(S137&lt;=25%, "Low", S137&lt;=75%, "Medium", S137&gt;75%, "High")</f>
        <v>High</v>
      </c>
      <c r="Y137" s="8">
        <f>Table1[[#This Row],[Quantity]]*(Table1[[#This Row],[UnitPrice]]*(1-Table1[[#This Row],[DiscountPct]]))</f>
        <v>6517.428335999999</v>
      </c>
      <c r="Z137" s="9">
        <f t="shared" si="31"/>
        <v>1955.9583359999988</v>
      </c>
      <c r="AA137">
        <f>COUNTIF($G$2:G138,G137)</f>
        <v>11</v>
      </c>
      <c r="AB137" s="21">
        <f t="shared" si="32"/>
        <v>44988</v>
      </c>
      <c r="AC137" s="21">
        <f t="shared" si="33"/>
        <v>45016</v>
      </c>
      <c r="AD137" s="5">
        <f>(Table1[[#This Row],[OrderDate]]-Table1[[#This Row],[Date of first order]])/30</f>
        <v>4.8</v>
      </c>
      <c r="AE137" t="str">
        <f t="shared" si="34"/>
        <v>Poor</v>
      </c>
      <c r="AF137">
        <f>COUNTIF(AE$2:AE138,AE137)</f>
        <v>94</v>
      </c>
      <c r="AG137" t="str">
        <f t="shared" si="35"/>
        <v>True</v>
      </c>
      <c r="AH137" s="7">
        <f>Table1[[#This Row],[UnitPrice]]*(1-Table1[[#This Row],[Disc Scenario]])*Table1[[#This Row],[Quantity]]</f>
        <v>6517.428335999999</v>
      </c>
      <c r="AI137">
        <f>ROUNDDOWN((Table1[[#This Row],[Quantity]]*(1+20%)),0)</f>
        <v>10</v>
      </c>
      <c r="AJ137" s="7">
        <f>Table1[[#This Row],[Quantity increase by 20%]]*Table1[[#This Row],[UnitPrice]]</f>
        <v>9528.4039999999986</v>
      </c>
      <c r="AK137">
        <f>ROUNDDOWN(Table1[[#This Row],[Quantity]]*(1+20%),0)</f>
        <v>10</v>
      </c>
      <c r="AL137" s="7">
        <f>Table1[[#This Row],[UnitCost]]*(1+15%)</f>
        <v>582.85449999999992</v>
      </c>
      <c r="AM137" s="9">
        <f>Table1[[#This Row],[Quantity]]*Table1[[#This Row],[Cost of unit by inflation 15%]]</f>
        <v>5245.6904999999988</v>
      </c>
      <c r="AN137" s="21" cm="1">
        <f t="array" ref="AN137">_xlfn.UNIQUE(AC137)</f>
        <v>45016</v>
      </c>
    </row>
    <row r="138" spans="1:40" x14ac:dyDescent="0.35">
      <c r="A138" t="s">
        <v>156</v>
      </c>
      <c r="B138" s="21">
        <v>45133</v>
      </c>
      <c r="C138" s="10">
        <v>45163</v>
      </c>
      <c r="D138" s="3">
        <f t="shared" si="24"/>
        <v>30</v>
      </c>
      <c r="E138" s="10" t="str">
        <f t="shared" si="25"/>
        <v>Q3-2023</v>
      </c>
      <c r="F138" t="s">
        <v>647</v>
      </c>
      <c r="G138" t="s">
        <v>659</v>
      </c>
      <c r="H138" t="s">
        <v>699</v>
      </c>
      <c r="I138" t="s">
        <v>703</v>
      </c>
      <c r="J138" t="s">
        <v>706</v>
      </c>
      <c r="K138" t="s">
        <v>723</v>
      </c>
      <c r="L138" t="s">
        <v>732</v>
      </c>
      <c r="M138" t="s">
        <v>874</v>
      </c>
      <c r="N138" s="3">
        <v>1261.48</v>
      </c>
      <c r="O138" s="3">
        <v>1643.18</v>
      </c>
      <c r="P138" s="6">
        <v>0.151</v>
      </c>
      <c r="Q138" s="6">
        <f>IF(Table1[[#This Row],[DiscountPct]]&gt;25%,25%,Table1[[#This Row],[DiscountPct]])</f>
        <v>0.151</v>
      </c>
      <c r="R138" s="5">
        <v>23</v>
      </c>
      <c r="S138" s="6">
        <f t="shared" si="26"/>
        <v>0.30258109522148591</v>
      </c>
      <c r="T138" s="8">
        <f t="shared" si="27"/>
        <v>32086.37586</v>
      </c>
      <c r="U138" s="8">
        <f t="shared" si="28"/>
        <v>29014.04</v>
      </c>
      <c r="V138" s="9">
        <f t="shared" si="29"/>
        <v>3072.3358599999992</v>
      </c>
      <c r="W138" s="6">
        <f t="shared" si="30"/>
        <v>9.5752037357079045E-2</v>
      </c>
      <c r="X138" t="str" cm="1">
        <f t="array" ref="X138">_xlfn.IFS(S138&lt;=25%, "Low", S138&lt;=75%, "Medium", S138&gt;75%, "High")</f>
        <v>Medium</v>
      </c>
      <c r="Y138" s="8">
        <f>Table1[[#This Row],[Quantity]]*(Table1[[#This Row],[UnitPrice]]*(1-Table1[[#This Row],[DiscountPct]]))</f>
        <v>32086.37586</v>
      </c>
      <c r="Z138" s="9">
        <f t="shared" si="31"/>
        <v>3072.3358599999992</v>
      </c>
      <c r="AA138">
        <f>COUNTIF($G$2:G139,G138)</f>
        <v>14</v>
      </c>
      <c r="AB138" s="21">
        <f t="shared" si="32"/>
        <v>44988</v>
      </c>
      <c r="AC138" s="21">
        <f t="shared" si="33"/>
        <v>45016</v>
      </c>
      <c r="AD138" s="5">
        <f>(Table1[[#This Row],[OrderDate]]-Table1[[#This Row],[Date of first order]])/30</f>
        <v>4.833333333333333</v>
      </c>
      <c r="AE138" t="str">
        <f t="shared" si="34"/>
        <v>Poor</v>
      </c>
      <c r="AF138">
        <f>COUNTIF(AE$2:AE139,AE138)</f>
        <v>95</v>
      </c>
      <c r="AG138" t="str">
        <f t="shared" si="35"/>
        <v>False</v>
      </c>
      <c r="AH138" s="7">
        <f>Table1[[#This Row],[UnitPrice]]*(1-Table1[[#This Row],[Disc Scenario]])*Table1[[#This Row],[Quantity]]</f>
        <v>32086.37586</v>
      </c>
      <c r="AI138">
        <f>ROUNDDOWN((Table1[[#This Row],[Quantity]]*(1+20%)),0)</f>
        <v>27</v>
      </c>
      <c r="AJ138" s="7">
        <f>Table1[[#This Row],[Quantity increase by 20%]]*Table1[[#This Row],[UnitPrice]]</f>
        <v>44365.86</v>
      </c>
      <c r="AK138">
        <f>ROUNDDOWN(Table1[[#This Row],[Quantity]]*(1+20%),0)</f>
        <v>27</v>
      </c>
      <c r="AL138" s="7">
        <f>Table1[[#This Row],[UnitCost]]*(1+15%)</f>
        <v>1450.702</v>
      </c>
      <c r="AM138" s="9">
        <f>Table1[[#This Row],[Quantity]]*Table1[[#This Row],[Cost of unit by inflation 15%]]</f>
        <v>33366.146000000001</v>
      </c>
      <c r="AN138" s="21" cm="1">
        <f t="array" ref="AN138">_xlfn.UNIQUE(AC138)</f>
        <v>45016</v>
      </c>
    </row>
    <row r="139" spans="1:40" x14ac:dyDescent="0.35">
      <c r="A139" t="s">
        <v>239</v>
      </c>
      <c r="B139" s="21">
        <v>45137</v>
      </c>
      <c r="C139" s="10">
        <v>45145</v>
      </c>
      <c r="D139" s="3">
        <f t="shared" si="24"/>
        <v>8</v>
      </c>
      <c r="E139" s="10" t="str">
        <f t="shared" si="25"/>
        <v>Q3-2023</v>
      </c>
      <c r="F139" t="s">
        <v>646</v>
      </c>
      <c r="G139" t="s">
        <v>651</v>
      </c>
      <c r="H139" t="s">
        <v>693</v>
      </c>
      <c r="I139" t="s">
        <v>701</v>
      </c>
      <c r="J139" t="s">
        <v>708</v>
      </c>
      <c r="K139" t="s">
        <v>719</v>
      </c>
      <c r="L139" t="s">
        <v>728</v>
      </c>
      <c r="M139" t="s">
        <v>957</v>
      </c>
      <c r="N139" s="3">
        <v>1352.44</v>
      </c>
      <c r="O139" s="3">
        <v>2698.01</v>
      </c>
      <c r="P139" s="6">
        <v>0.13100000000000001</v>
      </c>
      <c r="Q139" s="6">
        <f>IF(Table1[[#This Row],[DiscountPct]]&gt;25%,25%,Table1[[#This Row],[DiscountPct]])</f>
        <v>0.13100000000000001</v>
      </c>
      <c r="R139" s="5">
        <v>13</v>
      </c>
      <c r="S139" s="6">
        <f t="shared" si="26"/>
        <v>0.99492029221259359</v>
      </c>
      <c r="T139" s="8">
        <f t="shared" si="27"/>
        <v>30479.418970000002</v>
      </c>
      <c r="U139" s="8">
        <f t="shared" si="28"/>
        <v>17581.72</v>
      </c>
      <c r="V139" s="9">
        <f t="shared" si="29"/>
        <v>12897.698970000001</v>
      </c>
      <c r="W139" s="6">
        <f t="shared" si="30"/>
        <v>0.42316091992090887</v>
      </c>
      <c r="X139" t="str" cm="1">
        <f t="array" ref="X139">_xlfn.IFS(S139&lt;=25%, "Low", S139&lt;=75%, "Medium", S139&gt;75%, "High")</f>
        <v>High</v>
      </c>
      <c r="Y139" s="8">
        <f>Table1[[#This Row],[Quantity]]*(Table1[[#This Row],[UnitPrice]]*(1-Table1[[#This Row],[DiscountPct]]))</f>
        <v>30479.418969999999</v>
      </c>
      <c r="Z139" s="9">
        <f t="shared" si="31"/>
        <v>12897.698969999998</v>
      </c>
      <c r="AA139">
        <f>COUNTIF($G$2:G140,G139)</f>
        <v>9</v>
      </c>
      <c r="AB139" s="21">
        <f t="shared" si="32"/>
        <v>44988</v>
      </c>
      <c r="AC139" s="21">
        <f t="shared" si="33"/>
        <v>45016</v>
      </c>
      <c r="AD139" s="5">
        <f>(Table1[[#This Row],[OrderDate]]-Table1[[#This Row],[Date of first order]])/30</f>
        <v>4.9666666666666668</v>
      </c>
      <c r="AE139" t="str">
        <f t="shared" si="34"/>
        <v>Poor</v>
      </c>
      <c r="AF139">
        <f>COUNTIF(AE$2:AE140,AE139)</f>
        <v>96</v>
      </c>
      <c r="AG139" t="str">
        <f t="shared" si="35"/>
        <v>False</v>
      </c>
      <c r="AH139" s="7">
        <f>Table1[[#This Row],[UnitPrice]]*(1-Table1[[#This Row],[Disc Scenario]])*Table1[[#This Row],[Quantity]]</f>
        <v>30479.418969999999</v>
      </c>
      <c r="AI139">
        <f>ROUNDDOWN((Table1[[#This Row],[Quantity]]*(1+20%)),0)</f>
        <v>15</v>
      </c>
      <c r="AJ139" s="7">
        <f>Table1[[#This Row],[Quantity increase by 20%]]*Table1[[#This Row],[UnitPrice]]</f>
        <v>40470.15</v>
      </c>
      <c r="AK139">
        <f>ROUNDDOWN(Table1[[#This Row],[Quantity]]*(1+20%),0)</f>
        <v>15</v>
      </c>
      <c r="AL139" s="7">
        <f>Table1[[#This Row],[UnitCost]]*(1+15%)</f>
        <v>1555.306</v>
      </c>
      <c r="AM139" s="9">
        <f>Table1[[#This Row],[Quantity]]*Table1[[#This Row],[Cost of unit by inflation 15%]]</f>
        <v>20218.977999999999</v>
      </c>
      <c r="AN139" s="21" cm="1">
        <f t="array" ref="AN139">_xlfn.UNIQUE(AC139)</f>
        <v>45016</v>
      </c>
    </row>
    <row r="140" spans="1:40" x14ac:dyDescent="0.35">
      <c r="A140" t="s">
        <v>627</v>
      </c>
      <c r="B140" s="21">
        <v>45137</v>
      </c>
      <c r="C140" s="10">
        <v>45157</v>
      </c>
      <c r="D140" s="3">
        <f t="shared" si="24"/>
        <v>20</v>
      </c>
      <c r="E140" s="10" t="str">
        <f t="shared" si="25"/>
        <v>Q3-2023</v>
      </c>
      <c r="F140" t="s">
        <v>648</v>
      </c>
      <c r="G140" t="s">
        <v>656</v>
      </c>
      <c r="H140" t="s">
        <v>689</v>
      </c>
      <c r="I140" t="s">
        <v>705</v>
      </c>
      <c r="J140" t="s">
        <v>708</v>
      </c>
      <c r="K140" t="s">
        <v>714</v>
      </c>
      <c r="L140" t="s">
        <v>728</v>
      </c>
      <c r="M140" t="s">
        <v>1343</v>
      </c>
      <c r="N140" s="3">
        <v>1418.51</v>
      </c>
      <c r="O140" s="3">
        <v>2789.61</v>
      </c>
      <c r="P140" s="6">
        <v>0.17100000000000001</v>
      </c>
      <c r="Q140" s="6">
        <f>IF(Table1[[#This Row],[DiscountPct]]&gt;25%,25%,Table1[[#This Row],[DiscountPct]])</f>
        <v>0.17100000000000001</v>
      </c>
      <c r="R140" s="5">
        <v>8</v>
      </c>
      <c r="S140" s="6">
        <f t="shared" si="26"/>
        <v>0.96657760607961885</v>
      </c>
      <c r="T140" s="8">
        <f t="shared" si="27"/>
        <v>18500.693520000001</v>
      </c>
      <c r="U140" s="8">
        <f t="shared" si="28"/>
        <v>11348.08</v>
      </c>
      <c r="V140" s="9">
        <f t="shared" si="29"/>
        <v>7152.6135200000008</v>
      </c>
      <c r="W140" s="6">
        <f t="shared" si="30"/>
        <v>0.38661326464695689</v>
      </c>
      <c r="X140" t="str" cm="1">
        <f t="array" ref="X140">_xlfn.IFS(S140&lt;=25%, "Low", S140&lt;=75%, "Medium", S140&gt;75%, "High")</f>
        <v>High</v>
      </c>
      <c r="Y140" s="8">
        <f>Table1[[#This Row],[Quantity]]*(Table1[[#This Row],[UnitPrice]]*(1-Table1[[#This Row],[DiscountPct]]))</f>
        <v>18500.693520000001</v>
      </c>
      <c r="Z140" s="9">
        <f t="shared" si="31"/>
        <v>7152.6135200000008</v>
      </c>
      <c r="AA140">
        <f>COUNTIF($G$2:G141,G140)</f>
        <v>10</v>
      </c>
      <c r="AB140" s="21">
        <f t="shared" si="32"/>
        <v>44988</v>
      </c>
      <c r="AC140" s="21">
        <f t="shared" si="33"/>
        <v>45016</v>
      </c>
      <c r="AD140" s="5">
        <f>(Table1[[#This Row],[OrderDate]]-Table1[[#This Row],[Date of first order]])/30</f>
        <v>4.9666666666666668</v>
      </c>
      <c r="AE140" t="str">
        <f t="shared" si="34"/>
        <v>Poor</v>
      </c>
      <c r="AF140">
        <f>COUNTIF(AE$2:AE141,AE140)</f>
        <v>96</v>
      </c>
      <c r="AG140" t="str">
        <f t="shared" si="35"/>
        <v>False</v>
      </c>
      <c r="AH140" s="7">
        <f>Table1[[#This Row],[UnitPrice]]*(1-Table1[[#This Row],[Disc Scenario]])*Table1[[#This Row],[Quantity]]</f>
        <v>18500.693520000001</v>
      </c>
      <c r="AI140">
        <f>ROUNDDOWN((Table1[[#This Row],[Quantity]]*(1+20%)),0)</f>
        <v>9</v>
      </c>
      <c r="AJ140" s="7">
        <f>Table1[[#This Row],[Quantity increase by 20%]]*Table1[[#This Row],[UnitPrice]]</f>
        <v>25106.49</v>
      </c>
      <c r="AK140">
        <f>ROUNDDOWN(Table1[[#This Row],[Quantity]]*(1+20%),0)</f>
        <v>9</v>
      </c>
      <c r="AL140" s="7">
        <f>Table1[[#This Row],[UnitCost]]*(1+15%)</f>
        <v>1631.2864999999999</v>
      </c>
      <c r="AM140" s="9">
        <f>Table1[[#This Row],[Quantity]]*Table1[[#This Row],[Cost of unit by inflation 15%]]</f>
        <v>13050.291999999999</v>
      </c>
      <c r="AN140" s="21" cm="1">
        <f t="array" ref="AN140">_xlfn.UNIQUE(AC140)</f>
        <v>45016</v>
      </c>
    </row>
    <row r="141" spans="1:40" x14ac:dyDescent="0.35">
      <c r="A141" t="s">
        <v>637</v>
      </c>
      <c r="B141" s="21">
        <v>45140</v>
      </c>
      <c r="C141" s="10">
        <v>45141</v>
      </c>
      <c r="D141" s="3">
        <f t="shared" si="24"/>
        <v>1</v>
      </c>
      <c r="E141" s="10" t="str">
        <f t="shared" si="25"/>
        <v>Q3-2023</v>
      </c>
      <c r="F141" t="s">
        <v>646</v>
      </c>
      <c r="G141" t="s">
        <v>658</v>
      </c>
      <c r="H141" t="s">
        <v>684</v>
      </c>
      <c r="I141" t="s">
        <v>702</v>
      </c>
      <c r="J141" t="s">
        <v>710</v>
      </c>
      <c r="K141" t="s">
        <v>712</v>
      </c>
      <c r="L141" t="s">
        <v>728</v>
      </c>
      <c r="M141" t="s">
        <v>1353</v>
      </c>
      <c r="N141" s="3">
        <v>1021.97</v>
      </c>
      <c r="O141" s="3">
        <v>2296.25</v>
      </c>
      <c r="P141" s="6">
        <v>0.161</v>
      </c>
      <c r="Q141" s="6">
        <f>IF(Table1[[#This Row],[DiscountPct]]&gt;25%,25%,Table1[[#This Row],[DiscountPct]])</f>
        <v>0.161</v>
      </c>
      <c r="R141" s="5">
        <v>26</v>
      </c>
      <c r="S141" s="6">
        <f t="shared" si="26"/>
        <v>1.2468859164163331</v>
      </c>
      <c r="T141" s="8">
        <f t="shared" si="27"/>
        <v>50090.397499999999</v>
      </c>
      <c r="U141" s="8">
        <f t="shared" si="28"/>
        <v>26571.22</v>
      </c>
      <c r="V141" s="9">
        <f t="shared" si="29"/>
        <v>23519.177499999998</v>
      </c>
      <c r="W141" s="6">
        <f t="shared" si="30"/>
        <v>0.46953465482081669</v>
      </c>
      <c r="X141" t="str" cm="1">
        <f t="array" ref="X141">_xlfn.IFS(S141&lt;=25%, "Low", S141&lt;=75%, "Medium", S141&gt;75%, "High")</f>
        <v>High</v>
      </c>
      <c r="Y141" s="8">
        <f>Table1[[#This Row],[Quantity]]*(Table1[[#This Row],[UnitPrice]]*(1-Table1[[#This Row],[DiscountPct]]))</f>
        <v>50090.397499999999</v>
      </c>
      <c r="Z141" s="9">
        <f t="shared" si="31"/>
        <v>23519.177499999998</v>
      </c>
      <c r="AA141">
        <f>COUNTIF($G$2:G142,G141)</f>
        <v>11</v>
      </c>
      <c r="AB141" s="21">
        <f t="shared" si="32"/>
        <v>44988</v>
      </c>
      <c r="AC141" s="21">
        <f t="shared" si="33"/>
        <v>45016</v>
      </c>
      <c r="AD141" s="5">
        <f>(Table1[[#This Row],[OrderDate]]-Table1[[#This Row],[Date of first order]])/30</f>
        <v>5.0666666666666664</v>
      </c>
      <c r="AE141" t="str">
        <f t="shared" si="34"/>
        <v>Good</v>
      </c>
      <c r="AF141">
        <f>COUNTIF(AE$2:AE142,AE141)</f>
        <v>44</v>
      </c>
      <c r="AG141" t="str">
        <f t="shared" si="35"/>
        <v>False</v>
      </c>
      <c r="AH141" s="7">
        <f>Table1[[#This Row],[UnitPrice]]*(1-Table1[[#This Row],[Disc Scenario]])*Table1[[#This Row],[Quantity]]</f>
        <v>50090.397499999999</v>
      </c>
      <c r="AI141">
        <f>ROUNDDOWN((Table1[[#This Row],[Quantity]]*(1+20%)),0)</f>
        <v>31</v>
      </c>
      <c r="AJ141" s="7">
        <f>Table1[[#This Row],[Quantity increase by 20%]]*Table1[[#This Row],[UnitPrice]]</f>
        <v>71183.75</v>
      </c>
      <c r="AK141">
        <f>ROUNDDOWN(Table1[[#This Row],[Quantity]]*(1+20%),0)</f>
        <v>31</v>
      </c>
      <c r="AL141" s="7">
        <f>Table1[[#This Row],[UnitCost]]*(1+15%)</f>
        <v>1175.2655</v>
      </c>
      <c r="AM141" s="9">
        <f>Table1[[#This Row],[Quantity]]*Table1[[#This Row],[Cost of unit by inflation 15%]]</f>
        <v>30556.902999999998</v>
      </c>
      <c r="AN141" s="21" cm="1">
        <f t="array" ref="AN141">_xlfn.UNIQUE(AC141)</f>
        <v>45016</v>
      </c>
    </row>
    <row r="142" spans="1:40" x14ac:dyDescent="0.35">
      <c r="A142" t="s">
        <v>590</v>
      </c>
      <c r="B142" s="21">
        <v>45140</v>
      </c>
      <c r="C142" s="10">
        <v>45157</v>
      </c>
      <c r="D142" s="3">
        <f t="shared" si="24"/>
        <v>17</v>
      </c>
      <c r="E142" s="10" t="str">
        <f t="shared" si="25"/>
        <v>Q3-2023</v>
      </c>
      <c r="F142" t="s">
        <v>647</v>
      </c>
      <c r="G142" t="s">
        <v>652</v>
      </c>
      <c r="H142" t="s">
        <v>687</v>
      </c>
      <c r="I142" t="s">
        <v>700</v>
      </c>
      <c r="J142" t="s">
        <v>707</v>
      </c>
      <c r="K142" t="s">
        <v>720</v>
      </c>
      <c r="L142" t="s">
        <v>728</v>
      </c>
      <c r="M142" t="s">
        <v>1306</v>
      </c>
      <c r="N142" s="3">
        <v>175.38</v>
      </c>
      <c r="O142" s="3">
        <v>347.9</v>
      </c>
      <c r="P142" s="6">
        <v>7.1999999999999995E-2</v>
      </c>
      <c r="Q142" s="6">
        <f>IF(Table1[[#This Row],[DiscountPct]]&gt;25%,25%,Table1[[#This Row],[DiscountPct]])</f>
        <v>7.1999999999999995E-2</v>
      </c>
      <c r="R142" s="5">
        <v>43</v>
      </c>
      <c r="S142" s="6">
        <f t="shared" si="26"/>
        <v>0.98369255331280636</v>
      </c>
      <c r="T142" s="8">
        <f t="shared" si="27"/>
        <v>13882.6016</v>
      </c>
      <c r="U142" s="8">
        <f t="shared" si="28"/>
        <v>7541.34</v>
      </c>
      <c r="V142" s="9">
        <f t="shared" si="29"/>
        <v>6341.2615999999998</v>
      </c>
      <c r="W142" s="6">
        <f t="shared" si="30"/>
        <v>0.45677761148169804</v>
      </c>
      <c r="X142" t="str" cm="1">
        <f t="array" ref="X142">_xlfn.IFS(S142&lt;=25%, "Low", S142&lt;=75%, "Medium", S142&gt;75%, "High")</f>
        <v>High</v>
      </c>
      <c r="Y142" s="8">
        <f>Table1[[#This Row],[Quantity]]*(Table1[[#This Row],[UnitPrice]]*(1-Table1[[#This Row],[DiscountPct]]))</f>
        <v>13882.6016</v>
      </c>
      <c r="Z142" s="9">
        <f t="shared" si="31"/>
        <v>6341.2615999999998</v>
      </c>
      <c r="AA142">
        <f>COUNTIF($G$2:G143,G142)</f>
        <v>10</v>
      </c>
      <c r="AB142" s="21">
        <f t="shared" si="32"/>
        <v>44988</v>
      </c>
      <c r="AC142" s="21">
        <f t="shared" si="33"/>
        <v>45016</v>
      </c>
      <c r="AD142" s="5">
        <f>(Table1[[#This Row],[OrderDate]]-Table1[[#This Row],[Date of first order]])/30</f>
        <v>5.0666666666666664</v>
      </c>
      <c r="AE142" t="str">
        <f t="shared" si="34"/>
        <v>Poor</v>
      </c>
      <c r="AF142">
        <f>COUNTIF(AE$2:AE143,AE142)</f>
        <v>98</v>
      </c>
      <c r="AG142" t="str">
        <f t="shared" si="35"/>
        <v>False</v>
      </c>
      <c r="AH142" s="7">
        <f>Table1[[#This Row],[UnitPrice]]*(1-Table1[[#This Row],[Disc Scenario]])*Table1[[#This Row],[Quantity]]</f>
        <v>13882.6016</v>
      </c>
      <c r="AI142">
        <f>ROUNDDOWN((Table1[[#This Row],[Quantity]]*(1+20%)),0)</f>
        <v>51</v>
      </c>
      <c r="AJ142" s="7">
        <f>Table1[[#This Row],[Quantity increase by 20%]]*Table1[[#This Row],[UnitPrice]]</f>
        <v>17742.899999999998</v>
      </c>
      <c r="AK142">
        <f>ROUNDDOWN(Table1[[#This Row],[Quantity]]*(1+20%),0)</f>
        <v>51</v>
      </c>
      <c r="AL142" s="7">
        <f>Table1[[#This Row],[UnitCost]]*(1+15%)</f>
        <v>201.68699999999998</v>
      </c>
      <c r="AM142" s="9">
        <f>Table1[[#This Row],[Quantity]]*Table1[[#This Row],[Cost of unit by inflation 15%]]</f>
        <v>8672.5409999999993</v>
      </c>
      <c r="AN142" s="21" cm="1">
        <f t="array" ref="AN142">_xlfn.UNIQUE(AC142)</f>
        <v>45016</v>
      </c>
    </row>
    <row r="143" spans="1:40" x14ac:dyDescent="0.35">
      <c r="A143" t="s">
        <v>283</v>
      </c>
      <c r="B143" s="21">
        <v>45141</v>
      </c>
      <c r="C143" s="10">
        <v>45152</v>
      </c>
      <c r="D143" s="3">
        <f t="shared" si="24"/>
        <v>11</v>
      </c>
      <c r="E143" s="10" t="str">
        <f t="shared" si="25"/>
        <v>Q3-2023</v>
      </c>
      <c r="F143" t="s">
        <v>647</v>
      </c>
      <c r="G143" t="s">
        <v>654</v>
      </c>
      <c r="H143" t="s">
        <v>671</v>
      </c>
      <c r="I143" t="s">
        <v>700</v>
      </c>
      <c r="J143" t="s">
        <v>710</v>
      </c>
      <c r="K143" t="s">
        <v>712</v>
      </c>
      <c r="L143" t="s">
        <v>732</v>
      </c>
      <c r="M143" t="s">
        <v>1001</v>
      </c>
      <c r="N143" s="3">
        <v>232.73</v>
      </c>
      <c r="O143" s="3">
        <v>334.19</v>
      </c>
      <c r="P143" s="6">
        <v>0.13400000000000001</v>
      </c>
      <c r="Q143" s="6">
        <f>IF(Table1[[#This Row],[DiscountPct]]&gt;25%,25%,Table1[[#This Row],[DiscountPct]])</f>
        <v>0.13400000000000001</v>
      </c>
      <c r="R143" s="5">
        <v>25</v>
      </c>
      <c r="S143" s="6">
        <f t="shared" si="26"/>
        <v>0.43595582864263316</v>
      </c>
      <c r="T143" s="8">
        <f t="shared" si="27"/>
        <v>7235.2134999999998</v>
      </c>
      <c r="U143" s="8">
        <f t="shared" si="28"/>
        <v>5818.25</v>
      </c>
      <c r="V143" s="9">
        <f t="shared" si="29"/>
        <v>1416.9634999999998</v>
      </c>
      <c r="W143" s="6">
        <f t="shared" si="30"/>
        <v>0.1958426658729559</v>
      </c>
      <c r="X143" t="str" cm="1">
        <f t="array" ref="X143">_xlfn.IFS(S143&lt;=25%, "Low", S143&lt;=75%, "Medium", S143&gt;75%, "High")</f>
        <v>Medium</v>
      </c>
      <c r="Y143" s="8">
        <f>Table1[[#This Row],[Quantity]]*(Table1[[#This Row],[UnitPrice]]*(1-Table1[[#This Row],[DiscountPct]]))</f>
        <v>7235.2135000000007</v>
      </c>
      <c r="Z143" s="9">
        <f t="shared" si="31"/>
        <v>1416.9635000000007</v>
      </c>
      <c r="AA143">
        <f>COUNTIF($G$2:G144,G143)</f>
        <v>12</v>
      </c>
      <c r="AB143" s="21">
        <f t="shared" si="32"/>
        <v>44988</v>
      </c>
      <c r="AC143" s="21">
        <f t="shared" si="33"/>
        <v>45016</v>
      </c>
      <c r="AD143" s="5">
        <f>(Table1[[#This Row],[OrderDate]]-Table1[[#This Row],[Date of first order]])/30</f>
        <v>5.0999999999999996</v>
      </c>
      <c r="AE143" t="str">
        <f t="shared" si="34"/>
        <v>Poor</v>
      </c>
      <c r="AF143">
        <f>COUNTIF(AE$2:AE144,AE143)</f>
        <v>99</v>
      </c>
      <c r="AG143" t="str">
        <f t="shared" si="35"/>
        <v>False</v>
      </c>
      <c r="AH143" s="7">
        <f>Table1[[#This Row],[UnitPrice]]*(1-Table1[[#This Row],[Disc Scenario]])*Table1[[#This Row],[Quantity]]</f>
        <v>7235.2135000000007</v>
      </c>
      <c r="AI143">
        <f>ROUNDDOWN((Table1[[#This Row],[Quantity]]*(1+20%)),0)</f>
        <v>30</v>
      </c>
      <c r="AJ143" s="7">
        <f>Table1[[#This Row],[Quantity increase by 20%]]*Table1[[#This Row],[UnitPrice]]</f>
        <v>10025.700000000001</v>
      </c>
      <c r="AK143">
        <f>ROUNDDOWN(Table1[[#This Row],[Quantity]]*(1+20%),0)</f>
        <v>30</v>
      </c>
      <c r="AL143" s="7">
        <f>Table1[[#This Row],[UnitCost]]*(1+15%)</f>
        <v>267.63949999999994</v>
      </c>
      <c r="AM143" s="9">
        <f>Table1[[#This Row],[Quantity]]*Table1[[#This Row],[Cost of unit by inflation 15%]]</f>
        <v>6690.9874999999984</v>
      </c>
      <c r="AN143" s="21" cm="1">
        <f t="array" ref="AN143">_xlfn.UNIQUE(AC143)</f>
        <v>45016</v>
      </c>
    </row>
    <row r="144" spans="1:40" x14ac:dyDescent="0.35">
      <c r="A144" t="s">
        <v>640</v>
      </c>
      <c r="B144" s="21">
        <v>45141</v>
      </c>
      <c r="C144" s="10">
        <v>45168</v>
      </c>
      <c r="D144" s="3">
        <f t="shared" si="24"/>
        <v>27</v>
      </c>
      <c r="E144" s="10" t="str">
        <f t="shared" si="25"/>
        <v>Q3-2023</v>
      </c>
      <c r="F144" t="s">
        <v>646</v>
      </c>
      <c r="G144" t="s">
        <v>658</v>
      </c>
      <c r="H144" t="s">
        <v>684</v>
      </c>
      <c r="I144" t="s">
        <v>703</v>
      </c>
      <c r="J144" t="s">
        <v>709</v>
      </c>
      <c r="K144" t="s">
        <v>724</v>
      </c>
      <c r="L144" t="s">
        <v>731</v>
      </c>
      <c r="M144" t="s">
        <v>1356</v>
      </c>
      <c r="N144" s="3">
        <v>226.04</v>
      </c>
      <c r="O144" s="3">
        <v>545.72</v>
      </c>
      <c r="P144" s="6">
        <v>0.151</v>
      </c>
      <c r="Q144" s="6">
        <f>IF(Table1[[#This Row],[DiscountPct]]&gt;25%,25%,Table1[[#This Row],[DiscountPct]])</f>
        <v>0.151</v>
      </c>
      <c r="R144" s="5">
        <v>11</v>
      </c>
      <c r="S144" s="6">
        <f t="shared" si="26"/>
        <v>1.4142629623075564</v>
      </c>
      <c r="T144" s="8">
        <f t="shared" si="27"/>
        <v>5096.4790800000001</v>
      </c>
      <c r="U144" s="8">
        <f t="shared" si="28"/>
        <v>2486.44</v>
      </c>
      <c r="V144" s="9">
        <f t="shared" si="29"/>
        <v>2610.03908</v>
      </c>
      <c r="W144" s="6">
        <f t="shared" si="30"/>
        <v>0.51212592831834014</v>
      </c>
      <c r="X144" t="str" cm="1">
        <f t="array" ref="X144">_xlfn.IFS(S144&lt;=25%, "Low", S144&lt;=75%, "Medium", S144&gt;75%, "High")</f>
        <v>High</v>
      </c>
      <c r="Y144" s="8">
        <f>Table1[[#This Row],[Quantity]]*(Table1[[#This Row],[UnitPrice]]*(1-Table1[[#This Row],[DiscountPct]]))</f>
        <v>5096.4790800000001</v>
      </c>
      <c r="Z144" s="9">
        <f t="shared" si="31"/>
        <v>2610.03908</v>
      </c>
      <c r="AA144">
        <f>COUNTIF($G$2:G145,G144)</f>
        <v>12</v>
      </c>
      <c r="AB144" s="21">
        <f t="shared" si="32"/>
        <v>44988</v>
      </c>
      <c r="AC144" s="21">
        <f t="shared" si="33"/>
        <v>45016</v>
      </c>
      <c r="AD144" s="5">
        <f>(Table1[[#This Row],[OrderDate]]-Table1[[#This Row],[Date of first order]])/30</f>
        <v>5.0999999999999996</v>
      </c>
      <c r="AE144" t="str">
        <f t="shared" si="34"/>
        <v>Poor</v>
      </c>
      <c r="AF144">
        <f>COUNTIF(AE$2:AE145,AE144)</f>
        <v>100</v>
      </c>
      <c r="AG144" t="str">
        <f t="shared" si="35"/>
        <v>False</v>
      </c>
      <c r="AH144" s="7">
        <f>Table1[[#This Row],[UnitPrice]]*(1-Table1[[#This Row],[Disc Scenario]])*Table1[[#This Row],[Quantity]]</f>
        <v>5096.4790800000001</v>
      </c>
      <c r="AI144">
        <f>ROUNDDOWN((Table1[[#This Row],[Quantity]]*(1+20%)),0)</f>
        <v>13</v>
      </c>
      <c r="AJ144" s="7">
        <f>Table1[[#This Row],[Quantity increase by 20%]]*Table1[[#This Row],[UnitPrice]]</f>
        <v>7094.3600000000006</v>
      </c>
      <c r="AK144">
        <f>ROUNDDOWN(Table1[[#This Row],[Quantity]]*(1+20%),0)</f>
        <v>13</v>
      </c>
      <c r="AL144" s="7">
        <f>Table1[[#This Row],[UnitCost]]*(1+15%)</f>
        <v>259.94599999999997</v>
      </c>
      <c r="AM144" s="9">
        <f>Table1[[#This Row],[Quantity]]*Table1[[#This Row],[Cost of unit by inflation 15%]]</f>
        <v>2859.4059999999995</v>
      </c>
      <c r="AN144" s="21" cm="1">
        <f t="array" ref="AN144">_xlfn.UNIQUE(AC144)</f>
        <v>45016</v>
      </c>
    </row>
    <row r="145" spans="1:40" x14ac:dyDescent="0.35">
      <c r="A145" t="s">
        <v>275</v>
      </c>
      <c r="B145" s="21">
        <v>45142</v>
      </c>
      <c r="C145" s="10">
        <v>45162</v>
      </c>
      <c r="D145" s="3">
        <f t="shared" si="24"/>
        <v>20</v>
      </c>
      <c r="E145" s="10" t="str">
        <f t="shared" si="25"/>
        <v>Q3-2023</v>
      </c>
      <c r="F145" t="s">
        <v>647</v>
      </c>
      <c r="G145" t="s">
        <v>654</v>
      </c>
      <c r="H145" t="s">
        <v>671</v>
      </c>
      <c r="I145" t="s">
        <v>702</v>
      </c>
      <c r="J145" t="s">
        <v>710</v>
      </c>
      <c r="K145" t="s">
        <v>711</v>
      </c>
      <c r="L145" t="s">
        <v>728</v>
      </c>
      <c r="M145" t="s">
        <v>993</v>
      </c>
      <c r="N145" s="3">
        <v>582.88</v>
      </c>
      <c r="O145" s="3">
        <v>1044.1400000000001</v>
      </c>
      <c r="P145" s="6">
        <v>0.216</v>
      </c>
      <c r="Q145" s="6">
        <f>IF(Table1[[#This Row],[DiscountPct]]&gt;25%,25%,Table1[[#This Row],[DiscountPct]])</f>
        <v>0.216</v>
      </c>
      <c r="R145" s="5">
        <v>10</v>
      </c>
      <c r="S145" s="6">
        <f t="shared" si="26"/>
        <v>0.79134641778753789</v>
      </c>
      <c r="T145" s="8">
        <f t="shared" si="27"/>
        <v>8186.057600000001</v>
      </c>
      <c r="U145" s="8">
        <f t="shared" si="28"/>
        <v>5828.8</v>
      </c>
      <c r="V145" s="9">
        <f t="shared" si="29"/>
        <v>2357.2576000000008</v>
      </c>
      <c r="W145" s="6">
        <f t="shared" si="30"/>
        <v>0.28796005539956138</v>
      </c>
      <c r="X145" t="str" cm="1">
        <f t="array" ref="X145">_xlfn.IFS(S145&lt;=25%, "Low", S145&lt;=75%, "Medium", S145&gt;75%, "High")</f>
        <v>High</v>
      </c>
      <c r="Y145" s="8">
        <f>Table1[[#This Row],[Quantity]]*(Table1[[#This Row],[UnitPrice]]*(1-Table1[[#This Row],[DiscountPct]]))</f>
        <v>8186.0576000000019</v>
      </c>
      <c r="Z145" s="9">
        <f t="shared" si="31"/>
        <v>2357.2576000000017</v>
      </c>
      <c r="AA145">
        <f>COUNTIF($G$2:G146,G145)</f>
        <v>13</v>
      </c>
      <c r="AB145" s="21">
        <f t="shared" si="32"/>
        <v>44988</v>
      </c>
      <c r="AC145" s="21">
        <f t="shared" si="33"/>
        <v>45016</v>
      </c>
      <c r="AD145" s="5">
        <f>(Table1[[#This Row],[OrderDate]]-Table1[[#This Row],[Date of first order]])/30</f>
        <v>5.1333333333333337</v>
      </c>
      <c r="AE145" t="str">
        <f t="shared" si="34"/>
        <v>Poor</v>
      </c>
      <c r="AF145">
        <f>COUNTIF(AE$2:AE146,AE145)</f>
        <v>101</v>
      </c>
      <c r="AG145" t="str">
        <f t="shared" si="35"/>
        <v>True</v>
      </c>
      <c r="AH145" s="7">
        <f>Table1[[#This Row],[UnitPrice]]*(1-Table1[[#This Row],[Disc Scenario]])*Table1[[#This Row],[Quantity]]</f>
        <v>8186.0576000000019</v>
      </c>
      <c r="AI145">
        <f>ROUNDDOWN((Table1[[#This Row],[Quantity]]*(1+20%)),0)</f>
        <v>12</v>
      </c>
      <c r="AJ145" s="7">
        <f>Table1[[#This Row],[Quantity increase by 20%]]*Table1[[#This Row],[UnitPrice]]</f>
        <v>12529.68</v>
      </c>
      <c r="AK145">
        <f>ROUNDDOWN(Table1[[#This Row],[Quantity]]*(1+20%),0)</f>
        <v>12</v>
      </c>
      <c r="AL145" s="7">
        <f>Table1[[#This Row],[UnitCost]]*(1+15%)</f>
        <v>670.3119999999999</v>
      </c>
      <c r="AM145" s="9">
        <f>Table1[[#This Row],[Quantity]]*Table1[[#This Row],[Cost of unit by inflation 15%]]</f>
        <v>6703.119999999999</v>
      </c>
      <c r="AN145" s="21" cm="1">
        <f t="array" ref="AN145">_xlfn.UNIQUE(AC145)</f>
        <v>45016</v>
      </c>
    </row>
    <row r="146" spans="1:40" x14ac:dyDescent="0.35">
      <c r="A146" t="s">
        <v>204</v>
      </c>
      <c r="B146" s="21">
        <v>45146</v>
      </c>
      <c r="C146" s="10">
        <v>45160</v>
      </c>
      <c r="D146" s="3">
        <f t="shared" si="24"/>
        <v>14</v>
      </c>
      <c r="E146" s="10" t="str">
        <f t="shared" si="25"/>
        <v>Q3-2023</v>
      </c>
      <c r="F146" t="s">
        <v>648</v>
      </c>
      <c r="G146" t="s">
        <v>657</v>
      </c>
      <c r="H146" t="s">
        <v>673</v>
      </c>
      <c r="I146" t="s">
        <v>702</v>
      </c>
      <c r="J146" t="s">
        <v>710</v>
      </c>
      <c r="K146" t="s">
        <v>724</v>
      </c>
      <c r="L146" t="s">
        <v>731</v>
      </c>
      <c r="M146" t="s">
        <v>922</v>
      </c>
      <c r="N146" s="3">
        <v>446.69</v>
      </c>
      <c r="O146" s="3">
        <v>967.25</v>
      </c>
      <c r="P146" s="6">
        <v>9.4E-2</v>
      </c>
      <c r="Q146" s="6">
        <f>IF(Table1[[#This Row],[DiscountPct]]&gt;25%,25%,Table1[[#This Row],[DiscountPct]])</f>
        <v>9.4E-2</v>
      </c>
      <c r="R146" s="5">
        <v>10</v>
      </c>
      <c r="S146" s="6">
        <f t="shared" si="26"/>
        <v>1.1653719581812889</v>
      </c>
      <c r="T146" s="8">
        <f t="shared" si="27"/>
        <v>8763.2849999999999</v>
      </c>
      <c r="U146" s="8">
        <f t="shared" si="28"/>
        <v>4466.8999999999996</v>
      </c>
      <c r="V146" s="9">
        <f t="shared" si="29"/>
        <v>4296.3850000000002</v>
      </c>
      <c r="W146" s="6">
        <f t="shared" si="30"/>
        <v>0.49027105702941309</v>
      </c>
      <c r="X146" t="str" cm="1">
        <f t="array" ref="X146">_xlfn.IFS(S146&lt;=25%, "Low", S146&lt;=75%, "Medium", S146&gt;75%, "High")</f>
        <v>High</v>
      </c>
      <c r="Y146" s="8">
        <f>Table1[[#This Row],[Quantity]]*(Table1[[#This Row],[UnitPrice]]*(1-Table1[[#This Row],[DiscountPct]]))</f>
        <v>8763.2849999999999</v>
      </c>
      <c r="Z146" s="9">
        <f t="shared" si="31"/>
        <v>4296.3850000000002</v>
      </c>
      <c r="AA146">
        <f>COUNTIF($G$2:G147,G146)</f>
        <v>15</v>
      </c>
      <c r="AB146" s="21">
        <f t="shared" si="32"/>
        <v>44988</v>
      </c>
      <c r="AC146" s="21">
        <f t="shared" si="33"/>
        <v>45016</v>
      </c>
      <c r="AD146" s="5">
        <f>(Table1[[#This Row],[OrderDate]]-Table1[[#This Row],[Date of first order]])/30</f>
        <v>5.2666666666666666</v>
      </c>
      <c r="AE146" t="str">
        <f t="shared" si="34"/>
        <v>Poor</v>
      </c>
      <c r="AF146">
        <f>COUNTIF(AE$2:AE147,AE146)</f>
        <v>101</v>
      </c>
      <c r="AG146" t="str">
        <f t="shared" si="35"/>
        <v>False</v>
      </c>
      <c r="AH146" s="7">
        <f>Table1[[#This Row],[UnitPrice]]*(1-Table1[[#This Row],[Disc Scenario]])*Table1[[#This Row],[Quantity]]</f>
        <v>8763.2849999999999</v>
      </c>
      <c r="AI146">
        <f>ROUNDDOWN((Table1[[#This Row],[Quantity]]*(1+20%)),0)</f>
        <v>12</v>
      </c>
      <c r="AJ146" s="7">
        <f>Table1[[#This Row],[Quantity increase by 20%]]*Table1[[#This Row],[UnitPrice]]</f>
        <v>11607</v>
      </c>
      <c r="AK146">
        <f>ROUNDDOWN(Table1[[#This Row],[Quantity]]*(1+20%),0)</f>
        <v>12</v>
      </c>
      <c r="AL146" s="7">
        <f>Table1[[#This Row],[UnitCost]]*(1+15%)</f>
        <v>513.69349999999997</v>
      </c>
      <c r="AM146" s="9">
        <f>Table1[[#This Row],[Quantity]]*Table1[[#This Row],[Cost of unit by inflation 15%]]</f>
        <v>5136.9349999999995</v>
      </c>
      <c r="AN146" s="21" cm="1">
        <f t="array" ref="AN146">_xlfn.UNIQUE(AC146)</f>
        <v>45016</v>
      </c>
    </row>
    <row r="147" spans="1:40" x14ac:dyDescent="0.35">
      <c r="A147" t="s">
        <v>497</v>
      </c>
      <c r="B147" s="21">
        <v>45148</v>
      </c>
      <c r="C147" s="10">
        <v>45153</v>
      </c>
      <c r="D147" s="3">
        <f t="shared" si="24"/>
        <v>5</v>
      </c>
      <c r="E147" s="10" t="str">
        <f t="shared" si="25"/>
        <v>Q3-2023</v>
      </c>
      <c r="F147" t="s">
        <v>647</v>
      </c>
      <c r="G147" t="s">
        <v>654</v>
      </c>
      <c r="H147" t="s">
        <v>669</v>
      </c>
      <c r="I147" t="s">
        <v>701</v>
      </c>
      <c r="J147" t="s">
        <v>710</v>
      </c>
      <c r="K147" t="s">
        <v>714</v>
      </c>
      <c r="L147" t="s">
        <v>728</v>
      </c>
      <c r="M147" t="s">
        <v>1214</v>
      </c>
      <c r="N147" s="3">
        <v>1307.52</v>
      </c>
      <c r="O147" s="3">
        <v>1921.65</v>
      </c>
      <c r="P147" s="6">
        <v>0.123</v>
      </c>
      <c r="Q147" s="6">
        <f>IF(Table1[[#This Row],[DiscountPct]]&gt;25%,25%,Table1[[#This Row],[DiscountPct]])</f>
        <v>0.123</v>
      </c>
      <c r="R147" s="5">
        <v>13</v>
      </c>
      <c r="S147" s="6">
        <f t="shared" si="26"/>
        <v>0.46969071218795899</v>
      </c>
      <c r="T147" s="8">
        <f t="shared" si="27"/>
        <v>21908.731650000002</v>
      </c>
      <c r="U147" s="8">
        <f t="shared" si="28"/>
        <v>16997.759999999998</v>
      </c>
      <c r="V147" s="9">
        <f t="shared" si="29"/>
        <v>4910.9716500000031</v>
      </c>
      <c r="W147" s="6">
        <f t="shared" si="30"/>
        <v>0.22415590863289445</v>
      </c>
      <c r="X147" t="str" cm="1">
        <f t="array" ref="X147">_xlfn.IFS(S147&lt;=25%, "Low", S147&lt;=75%, "Medium", S147&gt;75%, "High")</f>
        <v>Medium</v>
      </c>
      <c r="Y147" s="8">
        <f>Table1[[#This Row],[Quantity]]*(Table1[[#This Row],[UnitPrice]]*(1-Table1[[#This Row],[DiscountPct]]))</f>
        <v>21908.731650000002</v>
      </c>
      <c r="Z147" s="9">
        <f t="shared" si="31"/>
        <v>4910.9716500000031</v>
      </c>
      <c r="AA147">
        <f>COUNTIF($G$2:G148,G147)</f>
        <v>14</v>
      </c>
      <c r="AB147" s="21">
        <f t="shared" si="32"/>
        <v>44988</v>
      </c>
      <c r="AC147" s="21">
        <f t="shared" si="33"/>
        <v>45016</v>
      </c>
      <c r="AD147" s="5">
        <f>(Table1[[#This Row],[OrderDate]]-Table1[[#This Row],[Date of first order]])/30</f>
        <v>5.333333333333333</v>
      </c>
      <c r="AE147" t="str">
        <f t="shared" si="34"/>
        <v>Good</v>
      </c>
      <c r="AF147">
        <f>COUNTIF(AE$2:AE148,AE147)</f>
        <v>45</v>
      </c>
      <c r="AG147" t="str">
        <f t="shared" si="35"/>
        <v>False</v>
      </c>
      <c r="AH147" s="7">
        <f>Table1[[#This Row],[UnitPrice]]*(1-Table1[[#This Row],[Disc Scenario]])*Table1[[#This Row],[Quantity]]</f>
        <v>21908.731650000002</v>
      </c>
      <c r="AI147">
        <f>ROUNDDOWN((Table1[[#This Row],[Quantity]]*(1+20%)),0)</f>
        <v>15</v>
      </c>
      <c r="AJ147" s="7">
        <f>Table1[[#This Row],[Quantity increase by 20%]]*Table1[[#This Row],[UnitPrice]]</f>
        <v>28824.75</v>
      </c>
      <c r="AK147">
        <f>ROUNDDOWN(Table1[[#This Row],[Quantity]]*(1+20%),0)</f>
        <v>15</v>
      </c>
      <c r="AL147" s="7">
        <f>Table1[[#This Row],[UnitCost]]*(1+15%)</f>
        <v>1503.6479999999999</v>
      </c>
      <c r="AM147" s="9">
        <f>Table1[[#This Row],[Quantity]]*Table1[[#This Row],[Cost of unit by inflation 15%]]</f>
        <v>19547.423999999999</v>
      </c>
      <c r="AN147" s="21" cm="1">
        <f t="array" ref="AN147">_xlfn.UNIQUE(AC147)</f>
        <v>45016</v>
      </c>
    </row>
    <row r="148" spans="1:40" x14ac:dyDescent="0.35">
      <c r="A148" t="s">
        <v>140</v>
      </c>
      <c r="B148" s="21">
        <v>45150</v>
      </c>
      <c r="C148" s="10">
        <v>45175</v>
      </c>
      <c r="D148" s="3">
        <f t="shared" si="24"/>
        <v>25</v>
      </c>
      <c r="E148" s="10" t="str">
        <f t="shared" si="25"/>
        <v>Q3-2023</v>
      </c>
      <c r="F148" t="s">
        <v>646</v>
      </c>
      <c r="G148" t="s">
        <v>658</v>
      </c>
      <c r="H148" t="s">
        <v>684</v>
      </c>
      <c r="I148" t="s">
        <v>704</v>
      </c>
      <c r="J148" t="s">
        <v>706</v>
      </c>
      <c r="K148" t="s">
        <v>716</v>
      </c>
      <c r="L148" t="s">
        <v>726</v>
      </c>
      <c r="M148" t="s">
        <v>858</v>
      </c>
      <c r="N148" s="3">
        <v>950.77</v>
      </c>
      <c r="O148" s="3">
        <v>1682.8629000000001</v>
      </c>
      <c r="P148" s="6">
        <v>8.4000000000000005E-2</v>
      </c>
      <c r="Q148" s="6">
        <f>IF(Table1[[#This Row],[DiscountPct]]&gt;25%,25%,Table1[[#This Row],[DiscountPct]])</f>
        <v>8.4000000000000005E-2</v>
      </c>
      <c r="R148" s="5">
        <v>14</v>
      </c>
      <c r="S148" s="6">
        <f t="shared" si="26"/>
        <v>0.77000000000000013</v>
      </c>
      <c r="T148" s="8">
        <f t="shared" si="27"/>
        <v>21581.033829600001</v>
      </c>
      <c r="U148" s="8">
        <f t="shared" si="28"/>
        <v>13310.779999999999</v>
      </c>
      <c r="V148" s="9">
        <f t="shared" si="29"/>
        <v>8270.2538296000021</v>
      </c>
      <c r="W148" s="6">
        <f t="shared" si="30"/>
        <v>0.38321861199516449</v>
      </c>
      <c r="X148" t="str" cm="1">
        <f t="array" ref="X148">_xlfn.IFS(S148&lt;=25%, "Low", S148&lt;=75%, "Medium", S148&gt;75%, "High")</f>
        <v>High</v>
      </c>
      <c r="Y148" s="8">
        <f>Table1[[#This Row],[Quantity]]*(Table1[[#This Row],[UnitPrice]]*(1-Table1[[#This Row],[DiscountPct]]))</f>
        <v>21581.033829600001</v>
      </c>
      <c r="Z148" s="9">
        <f t="shared" si="31"/>
        <v>8270.2538296000021</v>
      </c>
      <c r="AA148">
        <f>COUNTIF($G$2:G149,G148)</f>
        <v>13</v>
      </c>
      <c r="AB148" s="21">
        <f t="shared" si="32"/>
        <v>44988</v>
      </c>
      <c r="AC148" s="21">
        <f t="shared" si="33"/>
        <v>45016</v>
      </c>
      <c r="AD148" s="5">
        <f>(Table1[[#This Row],[OrderDate]]-Table1[[#This Row],[Date of first order]])/30</f>
        <v>5.4</v>
      </c>
      <c r="AE148" t="str">
        <f t="shared" si="34"/>
        <v>Poor</v>
      </c>
      <c r="AF148">
        <f>COUNTIF(AE$2:AE149,AE148)</f>
        <v>103</v>
      </c>
      <c r="AG148" t="str">
        <f t="shared" si="35"/>
        <v>False</v>
      </c>
      <c r="AH148" s="7">
        <f>Table1[[#This Row],[UnitPrice]]*(1-Table1[[#This Row],[Disc Scenario]])*Table1[[#This Row],[Quantity]]</f>
        <v>21581.033829600001</v>
      </c>
      <c r="AI148">
        <f>ROUNDDOWN((Table1[[#This Row],[Quantity]]*(1+20%)),0)</f>
        <v>16</v>
      </c>
      <c r="AJ148" s="7">
        <f>Table1[[#This Row],[Quantity increase by 20%]]*Table1[[#This Row],[UnitPrice]]</f>
        <v>26925.806400000001</v>
      </c>
      <c r="AK148">
        <f>ROUNDDOWN(Table1[[#This Row],[Quantity]]*(1+20%),0)</f>
        <v>16</v>
      </c>
      <c r="AL148" s="7">
        <f>Table1[[#This Row],[UnitCost]]*(1+15%)</f>
        <v>1093.3854999999999</v>
      </c>
      <c r="AM148" s="9">
        <f>Table1[[#This Row],[Quantity]]*Table1[[#This Row],[Cost of unit by inflation 15%]]</f>
        <v>15307.396999999997</v>
      </c>
      <c r="AN148" s="21" cm="1">
        <f t="array" ref="AN148">_xlfn.UNIQUE(AC148)</f>
        <v>45016</v>
      </c>
    </row>
    <row r="149" spans="1:40" x14ac:dyDescent="0.35">
      <c r="A149" t="s">
        <v>215</v>
      </c>
      <c r="B149" s="21">
        <v>45153</v>
      </c>
      <c r="C149" s="10">
        <v>45176</v>
      </c>
      <c r="D149" s="3">
        <f t="shared" si="24"/>
        <v>23</v>
      </c>
      <c r="E149" s="10" t="str">
        <f t="shared" si="25"/>
        <v>Q3-2023</v>
      </c>
      <c r="F149" t="s">
        <v>647</v>
      </c>
      <c r="G149" t="s">
        <v>659</v>
      </c>
      <c r="H149" t="s">
        <v>699</v>
      </c>
      <c r="I149" t="s">
        <v>705</v>
      </c>
      <c r="J149" t="s">
        <v>707</v>
      </c>
      <c r="K149" t="s">
        <v>722</v>
      </c>
      <c r="L149" t="s">
        <v>729</v>
      </c>
      <c r="M149" t="s">
        <v>933</v>
      </c>
      <c r="N149" s="3">
        <v>590.33000000000004</v>
      </c>
      <c r="O149" s="3">
        <v>973.04</v>
      </c>
      <c r="P149" s="6">
        <v>0</v>
      </c>
      <c r="Q149" s="6">
        <f>IF(Table1[[#This Row],[DiscountPct]]&gt;25%,25%,Table1[[#This Row],[DiscountPct]])</f>
        <v>0</v>
      </c>
      <c r="R149" s="5">
        <v>26</v>
      </c>
      <c r="S149" s="6">
        <f t="shared" si="26"/>
        <v>0.64829840936425376</v>
      </c>
      <c r="T149" s="8">
        <f t="shared" si="27"/>
        <v>25299.040000000001</v>
      </c>
      <c r="U149" s="8">
        <f t="shared" si="28"/>
        <v>15348.580000000002</v>
      </c>
      <c r="V149" s="9">
        <f t="shared" si="29"/>
        <v>9950.4599999999991</v>
      </c>
      <c r="W149" s="6">
        <f t="shared" si="30"/>
        <v>0.39331373838691108</v>
      </c>
      <c r="X149" t="str" cm="1">
        <f t="array" ref="X149">_xlfn.IFS(S149&lt;=25%, "Low", S149&lt;=75%, "Medium", S149&gt;75%, "High")</f>
        <v>Medium</v>
      </c>
      <c r="Y149" s="8">
        <f>Table1[[#This Row],[Quantity]]*(Table1[[#This Row],[UnitPrice]]*(1-Table1[[#This Row],[DiscountPct]]))</f>
        <v>25299.040000000001</v>
      </c>
      <c r="Z149" s="9">
        <f t="shared" si="31"/>
        <v>9950.4599999999991</v>
      </c>
      <c r="AA149">
        <f>COUNTIF($G$2:G150,G149)</f>
        <v>15</v>
      </c>
      <c r="AB149" s="21">
        <f t="shared" si="32"/>
        <v>44988</v>
      </c>
      <c r="AC149" s="21">
        <f t="shared" si="33"/>
        <v>45016</v>
      </c>
      <c r="AD149" s="5">
        <f>(Table1[[#This Row],[OrderDate]]-Table1[[#This Row],[Date of first order]])/30</f>
        <v>5.5</v>
      </c>
      <c r="AE149" t="str">
        <f t="shared" si="34"/>
        <v>Poor</v>
      </c>
      <c r="AF149">
        <f>COUNTIF(AE$2:AE150,AE149)</f>
        <v>104</v>
      </c>
      <c r="AG149" t="str">
        <f t="shared" si="35"/>
        <v>False</v>
      </c>
      <c r="AH149" s="7">
        <f>Table1[[#This Row],[UnitPrice]]*(1-Table1[[#This Row],[Disc Scenario]])*Table1[[#This Row],[Quantity]]</f>
        <v>25299.040000000001</v>
      </c>
      <c r="AI149">
        <f>ROUNDDOWN((Table1[[#This Row],[Quantity]]*(1+20%)),0)</f>
        <v>31</v>
      </c>
      <c r="AJ149" s="7">
        <f>Table1[[#This Row],[Quantity increase by 20%]]*Table1[[#This Row],[UnitPrice]]</f>
        <v>30164.239999999998</v>
      </c>
      <c r="AK149">
        <f>ROUNDDOWN(Table1[[#This Row],[Quantity]]*(1+20%),0)</f>
        <v>31</v>
      </c>
      <c r="AL149" s="7">
        <f>Table1[[#This Row],[UnitCost]]*(1+15%)</f>
        <v>678.87950000000001</v>
      </c>
      <c r="AM149" s="9">
        <f>Table1[[#This Row],[Quantity]]*Table1[[#This Row],[Cost of unit by inflation 15%]]</f>
        <v>17650.866999999998</v>
      </c>
      <c r="AN149" s="21" cm="1">
        <f t="array" ref="AN149">_xlfn.UNIQUE(AC149)</f>
        <v>45016</v>
      </c>
    </row>
    <row r="150" spans="1:40" x14ac:dyDescent="0.35">
      <c r="A150" t="s">
        <v>295</v>
      </c>
      <c r="B150" s="21">
        <v>45153</v>
      </c>
      <c r="C150" s="10">
        <v>45163</v>
      </c>
      <c r="D150" s="3">
        <f t="shared" si="24"/>
        <v>10</v>
      </c>
      <c r="E150" s="10" t="str">
        <f t="shared" si="25"/>
        <v>Q3-2023</v>
      </c>
      <c r="F150" t="s">
        <v>645</v>
      </c>
      <c r="G150" t="s">
        <v>649</v>
      </c>
      <c r="H150" t="s">
        <v>663</v>
      </c>
      <c r="I150" t="s">
        <v>704</v>
      </c>
      <c r="J150" t="s">
        <v>706</v>
      </c>
      <c r="K150" t="s">
        <v>724</v>
      </c>
      <c r="L150" t="s">
        <v>729</v>
      </c>
      <c r="M150" t="s">
        <v>1013</v>
      </c>
      <c r="N150" s="3">
        <v>91.85</v>
      </c>
      <c r="O150" s="3">
        <v>111.29</v>
      </c>
      <c r="P150" s="6">
        <v>0</v>
      </c>
      <c r="Q150" s="6">
        <f>IF(Table1[[#This Row],[DiscountPct]]&gt;25%,25%,Table1[[#This Row],[DiscountPct]])</f>
        <v>0</v>
      </c>
      <c r="R150" s="5">
        <v>6</v>
      </c>
      <c r="S150" s="6">
        <f t="shared" si="26"/>
        <v>0.21164942841589562</v>
      </c>
      <c r="T150" s="8">
        <f t="shared" si="27"/>
        <v>667.74</v>
      </c>
      <c r="U150" s="8">
        <f t="shared" si="28"/>
        <v>551.09999999999991</v>
      </c>
      <c r="V150" s="9">
        <f t="shared" si="29"/>
        <v>116.6400000000001</v>
      </c>
      <c r="W150" s="6">
        <f t="shared" si="30"/>
        <v>0.17467876718483258</v>
      </c>
      <c r="X150" t="str" cm="1">
        <f t="array" ref="X150">_xlfn.IFS(S150&lt;=25%, "Low", S150&lt;=75%, "Medium", S150&gt;75%, "High")</f>
        <v>Low</v>
      </c>
      <c r="Y150" s="8">
        <f>Table1[[#This Row],[Quantity]]*(Table1[[#This Row],[UnitPrice]]*(1-Table1[[#This Row],[DiscountPct]]))</f>
        <v>667.74</v>
      </c>
      <c r="Z150" s="9">
        <f t="shared" si="31"/>
        <v>116.6400000000001</v>
      </c>
      <c r="AA150">
        <f>COUNTIF($G$2:G151,G150)</f>
        <v>15</v>
      </c>
      <c r="AB150" s="21">
        <f t="shared" si="32"/>
        <v>44988</v>
      </c>
      <c r="AC150" s="21">
        <f t="shared" si="33"/>
        <v>45016</v>
      </c>
      <c r="AD150" s="5">
        <f>(Table1[[#This Row],[OrderDate]]-Table1[[#This Row],[Date of first order]])/30</f>
        <v>5.5</v>
      </c>
      <c r="AE150" t="str">
        <f t="shared" si="34"/>
        <v>Poor</v>
      </c>
      <c r="AF150">
        <f>COUNTIF(AE$2:AE151,AE150)</f>
        <v>105</v>
      </c>
      <c r="AG150" t="str">
        <f t="shared" si="35"/>
        <v>False</v>
      </c>
      <c r="AH150" s="7">
        <f>Table1[[#This Row],[UnitPrice]]*(1-Table1[[#This Row],[Disc Scenario]])*Table1[[#This Row],[Quantity]]</f>
        <v>667.74</v>
      </c>
      <c r="AI150">
        <f>ROUNDDOWN((Table1[[#This Row],[Quantity]]*(1+20%)),0)</f>
        <v>7</v>
      </c>
      <c r="AJ150" s="7">
        <f>Table1[[#This Row],[Quantity increase by 20%]]*Table1[[#This Row],[UnitPrice]]</f>
        <v>779.03000000000009</v>
      </c>
      <c r="AK150">
        <f>ROUNDDOWN(Table1[[#This Row],[Quantity]]*(1+20%),0)</f>
        <v>7</v>
      </c>
      <c r="AL150" s="7">
        <f>Table1[[#This Row],[UnitCost]]*(1+15%)</f>
        <v>105.62749999999998</v>
      </c>
      <c r="AM150" s="9">
        <f>Table1[[#This Row],[Quantity]]*Table1[[#This Row],[Cost of unit by inflation 15%]]</f>
        <v>633.76499999999987</v>
      </c>
      <c r="AN150" s="21" cm="1">
        <f t="array" ref="AN150">_xlfn.UNIQUE(AC150)</f>
        <v>45016</v>
      </c>
    </row>
    <row r="151" spans="1:40" x14ac:dyDescent="0.35">
      <c r="A151" t="s">
        <v>546</v>
      </c>
      <c r="B151" s="21">
        <v>45155</v>
      </c>
      <c r="C151" s="10">
        <v>45172</v>
      </c>
      <c r="D151" s="3">
        <f t="shared" si="24"/>
        <v>17</v>
      </c>
      <c r="E151" s="10" t="str">
        <f t="shared" si="25"/>
        <v>Q3-2023</v>
      </c>
      <c r="F151" t="s">
        <v>645</v>
      </c>
      <c r="G151" t="s">
        <v>660</v>
      </c>
      <c r="H151" t="s">
        <v>686</v>
      </c>
      <c r="I151" t="s">
        <v>705</v>
      </c>
      <c r="J151" t="s">
        <v>706</v>
      </c>
      <c r="K151" t="s">
        <v>719</v>
      </c>
      <c r="L151" t="s">
        <v>729</v>
      </c>
      <c r="M151" t="s">
        <v>1263</v>
      </c>
      <c r="N151" s="3">
        <v>676.37</v>
      </c>
      <c r="O151" s="3">
        <v>1276.67</v>
      </c>
      <c r="P151" s="6">
        <v>6.6000000000000003E-2</v>
      </c>
      <c r="Q151" s="6">
        <f>IF(Table1[[#This Row],[DiscountPct]]&gt;25%,25%,Table1[[#This Row],[DiscountPct]])</f>
        <v>6.6000000000000003E-2</v>
      </c>
      <c r="R151" s="5">
        <v>10</v>
      </c>
      <c r="S151" s="6">
        <f t="shared" si="26"/>
        <v>0.88753197214542345</v>
      </c>
      <c r="T151" s="8">
        <f t="shared" si="27"/>
        <v>11924.0978</v>
      </c>
      <c r="U151" s="8">
        <f t="shared" si="28"/>
        <v>6763.7</v>
      </c>
      <c r="V151" s="9">
        <f t="shared" si="29"/>
        <v>5160.3977999999997</v>
      </c>
      <c r="W151" s="6">
        <f t="shared" si="30"/>
        <v>0.4327705027712872</v>
      </c>
      <c r="X151" t="str" cm="1">
        <f t="array" ref="X151">_xlfn.IFS(S151&lt;=25%, "Low", S151&lt;=75%, "Medium", S151&gt;75%, "High")</f>
        <v>High</v>
      </c>
      <c r="Y151" s="8">
        <f>Table1[[#This Row],[Quantity]]*(Table1[[#This Row],[UnitPrice]]*(1-Table1[[#This Row],[DiscountPct]]))</f>
        <v>11924.0978</v>
      </c>
      <c r="Z151" s="9">
        <f t="shared" si="31"/>
        <v>5160.3977999999997</v>
      </c>
      <c r="AA151">
        <f>COUNTIF($G$2:G152,G151)</f>
        <v>13</v>
      </c>
      <c r="AB151" s="21">
        <f t="shared" si="32"/>
        <v>44988</v>
      </c>
      <c r="AC151" s="21">
        <f t="shared" si="33"/>
        <v>45016</v>
      </c>
      <c r="AD151" s="5">
        <f>(Table1[[#This Row],[OrderDate]]-Table1[[#This Row],[Date of first order]])/30</f>
        <v>5.5666666666666664</v>
      </c>
      <c r="AE151" t="str">
        <f t="shared" si="34"/>
        <v>Poor</v>
      </c>
      <c r="AF151">
        <f>COUNTIF(AE$2:AE152,AE151)</f>
        <v>106</v>
      </c>
      <c r="AG151" t="str">
        <f t="shared" si="35"/>
        <v>False</v>
      </c>
      <c r="AH151" s="7">
        <f>Table1[[#This Row],[UnitPrice]]*(1-Table1[[#This Row],[Disc Scenario]])*Table1[[#This Row],[Quantity]]</f>
        <v>11924.0978</v>
      </c>
      <c r="AI151">
        <f>ROUNDDOWN((Table1[[#This Row],[Quantity]]*(1+20%)),0)</f>
        <v>12</v>
      </c>
      <c r="AJ151" s="7">
        <f>Table1[[#This Row],[Quantity increase by 20%]]*Table1[[#This Row],[UnitPrice]]</f>
        <v>15320.04</v>
      </c>
      <c r="AK151">
        <f>ROUNDDOWN(Table1[[#This Row],[Quantity]]*(1+20%),0)</f>
        <v>12</v>
      </c>
      <c r="AL151" s="7">
        <f>Table1[[#This Row],[UnitCost]]*(1+15%)</f>
        <v>777.82549999999992</v>
      </c>
      <c r="AM151" s="9">
        <f>Table1[[#This Row],[Quantity]]*Table1[[#This Row],[Cost of unit by inflation 15%]]</f>
        <v>7778.2549999999992</v>
      </c>
      <c r="AN151" s="21" cm="1">
        <f t="array" ref="AN151">_xlfn.UNIQUE(AC151)</f>
        <v>45016</v>
      </c>
    </row>
    <row r="152" spans="1:40" x14ac:dyDescent="0.35">
      <c r="A152" t="s">
        <v>96</v>
      </c>
      <c r="B152" s="21">
        <v>45157</v>
      </c>
      <c r="C152" s="10">
        <v>45181</v>
      </c>
      <c r="D152" s="3">
        <f t="shared" si="24"/>
        <v>24</v>
      </c>
      <c r="E152" s="10" t="str">
        <f t="shared" si="25"/>
        <v>Q3-2023</v>
      </c>
      <c r="F152" t="s">
        <v>647</v>
      </c>
      <c r="G152" t="s">
        <v>652</v>
      </c>
      <c r="H152" t="s">
        <v>687</v>
      </c>
      <c r="I152" t="s">
        <v>705</v>
      </c>
      <c r="J152" t="s">
        <v>706</v>
      </c>
      <c r="K152" t="s">
        <v>713</v>
      </c>
      <c r="L152" t="s">
        <v>727</v>
      </c>
      <c r="M152" t="s">
        <v>814</v>
      </c>
      <c r="N152" s="3">
        <v>1183.95</v>
      </c>
      <c r="O152" s="3">
        <v>1503.53</v>
      </c>
      <c r="P152" s="6">
        <v>0.24099999999999999</v>
      </c>
      <c r="Q152" s="6">
        <f>IF(Table1[[#This Row],[DiscountPct]]&gt;25%,25%,Table1[[#This Row],[DiscountPct]])</f>
        <v>0.24099999999999999</v>
      </c>
      <c r="R152" s="5">
        <v>16</v>
      </c>
      <c r="S152" s="6">
        <f t="shared" si="26"/>
        <v>0.26992693948224156</v>
      </c>
      <c r="T152" s="8">
        <f t="shared" si="27"/>
        <v>18258.868320000001</v>
      </c>
      <c r="U152" s="8">
        <f t="shared" si="28"/>
        <v>18943.2</v>
      </c>
      <c r="V152" s="9">
        <f t="shared" si="29"/>
        <v>-684.33167999999932</v>
      </c>
      <c r="W152" s="6">
        <f t="shared" si="30"/>
        <v>-3.7479413729623705E-2</v>
      </c>
      <c r="X152" t="str" cm="1">
        <f t="array" ref="X152">_xlfn.IFS(S152&lt;=25%, "Low", S152&lt;=75%, "Medium", S152&gt;75%, "High")</f>
        <v>Medium</v>
      </c>
      <c r="Y152" s="8">
        <f>Table1[[#This Row],[Quantity]]*(Table1[[#This Row],[UnitPrice]]*(1-Table1[[#This Row],[DiscountPct]]))</f>
        <v>18258.868320000001</v>
      </c>
      <c r="Z152" s="9">
        <f t="shared" si="31"/>
        <v>-684.33167999999932</v>
      </c>
      <c r="AA152">
        <f>COUNTIF($G$2:G153,G152)</f>
        <v>11</v>
      </c>
      <c r="AB152" s="21">
        <f t="shared" si="32"/>
        <v>44988</v>
      </c>
      <c r="AC152" s="21">
        <f t="shared" si="33"/>
        <v>45016</v>
      </c>
      <c r="AD152" s="5">
        <f>(Table1[[#This Row],[OrderDate]]-Table1[[#This Row],[Date of first order]])/30</f>
        <v>5.6333333333333337</v>
      </c>
      <c r="AE152" t="str">
        <f t="shared" si="34"/>
        <v>Poor</v>
      </c>
      <c r="AF152">
        <f>COUNTIF(AE$2:AE153,AE152)</f>
        <v>106</v>
      </c>
      <c r="AG152" t="str">
        <f t="shared" si="35"/>
        <v>True</v>
      </c>
      <c r="AH152" s="7">
        <f>Table1[[#This Row],[UnitPrice]]*(1-Table1[[#This Row],[Disc Scenario]])*Table1[[#This Row],[Quantity]]</f>
        <v>18258.868320000001</v>
      </c>
      <c r="AI152">
        <f>ROUNDDOWN((Table1[[#This Row],[Quantity]]*(1+20%)),0)</f>
        <v>19</v>
      </c>
      <c r="AJ152" s="7">
        <f>Table1[[#This Row],[Quantity increase by 20%]]*Table1[[#This Row],[UnitPrice]]</f>
        <v>28567.07</v>
      </c>
      <c r="AK152">
        <f>ROUNDDOWN(Table1[[#This Row],[Quantity]]*(1+20%),0)</f>
        <v>19</v>
      </c>
      <c r="AL152" s="7">
        <f>Table1[[#This Row],[UnitCost]]*(1+15%)</f>
        <v>1361.5425</v>
      </c>
      <c r="AM152" s="9">
        <f>Table1[[#This Row],[Quantity]]*Table1[[#This Row],[Cost of unit by inflation 15%]]</f>
        <v>21784.68</v>
      </c>
      <c r="AN152" s="21" cm="1">
        <f t="array" ref="AN152">_xlfn.UNIQUE(AC152)</f>
        <v>45016</v>
      </c>
    </row>
    <row r="153" spans="1:40" x14ac:dyDescent="0.35">
      <c r="A153" t="s">
        <v>197</v>
      </c>
      <c r="B153" s="21">
        <v>45157</v>
      </c>
      <c r="C153" s="10">
        <v>45161</v>
      </c>
      <c r="D153" s="3">
        <f t="shared" si="24"/>
        <v>4</v>
      </c>
      <c r="E153" s="10" t="str">
        <f t="shared" si="25"/>
        <v>Q3-2023</v>
      </c>
      <c r="F153" t="s">
        <v>645</v>
      </c>
      <c r="G153" t="s">
        <v>650</v>
      </c>
      <c r="H153" t="s">
        <v>668</v>
      </c>
      <c r="I153" t="s">
        <v>704</v>
      </c>
      <c r="J153" t="s">
        <v>707</v>
      </c>
      <c r="K153" t="s">
        <v>712</v>
      </c>
      <c r="L153" t="s">
        <v>731</v>
      </c>
      <c r="M153" t="s">
        <v>915</v>
      </c>
      <c r="N153" s="3">
        <v>790.63</v>
      </c>
      <c r="O153" s="3">
        <v>1382.31</v>
      </c>
      <c r="P153" s="6">
        <v>0.10100000000000001</v>
      </c>
      <c r="Q153" s="6">
        <f>IF(Table1[[#This Row],[DiscountPct]]&gt;25%,25%,Table1[[#This Row],[DiscountPct]])</f>
        <v>0.10100000000000001</v>
      </c>
      <c r="R153" s="5">
        <v>7</v>
      </c>
      <c r="S153" s="6">
        <f t="shared" si="26"/>
        <v>0.74836522772978509</v>
      </c>
      <c r="T153" s="8">
        <f t="shared" si="27"/>
        <v>8698.8768300000011</v>
      </c>
      <c r="U153" s="8">
        <f t="shared" si="28"/>
        <v>5534.41</v>
      </c>
      <c r="V153" s="9">
        <f t="shared" si="29"/>
        <v>3164.4668300000012</v>
      </c>
      <c r="W153" s="6">
        <f t="shared" si="30"/>
        <v>0.36377878338116448</v>
      </c>
      <c r="X153" t="str" cm="1">
        <f t="array" ref="X153">_xlfn.IFS(S153&lt;=25%, "Low", S153&lt;=75%, "Medium", S153&gt;75%, "High")</f>
        <v>Medium</v>
      </c>
      <c r="Y153" s="8">
        <f>Table1[[#This Row],[Quantity]]*(Table1[[#This Row],[UnitPrice]]*(1-Table1[[#This Row],[DiscountPct]]))</f>
        <v>8698.8768299999992</v>
      </c>
      <c r="Z153" s="9">
        <f t="shared" si="31"/>
        <v>3164.4668299999994</v>
      </c>
      <c r="AA153">
        <f>COUNTIF($G$2:G154,G153)</f>
        <v>12</v>
      </c>
      <c r="AB153" s="21">
        <f t="shared" si="32"/>
        <v>44988</v>
      </c>
      <c r="AC153" s="21">
        <f t="shared" si="33"/>
        <v>45016</v>
      </c>
      <c r="AD153" s="5">
        <f>(Table1[[#This Row],[OrderDate]]-Table1[[#This Row],[Date of first order]])/30</f>
        <v>5.6333333333333337</v>
      </c>
      <c r="AE153" t="str">
        <f t="shared" si="34"/>
        <v>Good</v>
      </c>
      <c r="AF153">
        <f>COUNTIF(AE$2:AE154,AE153)</f>
        <v>46</v>
      </c>
      <c r="AG153" t="str">
        <f t="shared" si="35"/>
        <v>False</v>
      </c>
      <c r="AH153" s="7">
        <f>Table1[[#This Row],[UnitPrice]]*(1-Table1[[#This Row],[Disc Scenario]])*Table1[[#This Row],[Quantity]]</f>
        <v>8698.8768299999992</v>
      </c>
      <c r="AI153">
        <f>ROUNDDOWN((Table1[[#This Row],[Quantity]]*(1+20%)),0)</f>
        <v>8</v>
      </c>
      <c r="AJ153" s="7">
        <f>Table1[[#This Row],[Quantity increase by 20%]]*Table1[[#This Row],[UnitPrice]]</f>
        <v>11058.48</v>
      </c>
      <c r="AK153">
        <f>ROUNDDOWN(Table1[[#This Row],[Quantity]]*(1+20%),0)</f>
        <v>8</v>
      </c>
      <c r="AL153" s="7">
        <f>Table1[[#This Row],[UnitCost]]*(1+15%)</f>
        <v>909.22449999999992</v>
      </c>
      <c r="AM153" s="9">
        <f>Table1[[#This Row],[Quantity]]*Table1[[#This Row],[Cost of unit by inflation 15%]]</f>
        <v>6364.5714999999991</v>
      </c>
      <c r="AN153" s="21" cm="1">
        <f t="array" ref="AN153">_xlfn.UNIQUE(AC153)</f>
        <v>45016</v>
      </c>
    </row>
    <row r="154" spans="1:40" x14ac:dyDescent="0.35">
      <c r="A154" t="s">
        <v>83</v>
      </c>
      <c r="B154" s="21">
        <v>45157</v>
      </c>
      <c r="C154" s="10">
        <v>45176</v>
      </c>
      <c r="D154" s="3">
        <f t="shared" si="24"/>
        <v>19</v>
      </c>
      <c r="E154" s="10" t="str">
        <f t="shared" si="25"/>
        <v>Q3-2023</v>
      </c>
      <c r="F154" t="s">
        <v>645</v>
      </c>
      <c r="G154" t="s">
        <v>660</v>
      </c>
      <c r="H154" t="s">
        <v>681</v>
      </c>
      <c r="I154" t="s">
        <v>705</v>
      </c>
      <c r="J154" t="s">
        <v>706</v>
      </c>
      <c r="K154" t="s">
        <v>725</v>
      </c>
      <c r="L154" t="s">
        <v>731</v>
      </c>
      <c r="M154" t="s">
        <v>801</v>
      </c>
      <c r="N154" s="3">
        <v>494.61</v>
      </c>
      <c r="O154" s="3">
        <v>605.23</v>
      </c>
      <c r="P154" s="6">
        <v>0.20399999999999999</v>
      </c>
      <c r="Q154" s="6">
        <f>IF(Table1[[#This Row],[DiscountPct]]&gt;25%,25%,Table1[[#This Row],[DiscountPct]])</f>
        <v>0.20399999999999999</v>
      </c>
      <c r="R154" s="5">
        <v>18</v>
      </c>
      <c r="S154" s="6">
        <f t="shared" si="26"/>
        <v>0.22365095731990861</v>
      </c>
      <c r="T154" s="8">
        <f t="shared" si="27"/>
        <v>8671.7354400000004</v>
      </c>
      <c r="U154" s="8">
        <f t="shared" si="28"/>
        <v>8902.98</v>
      </c>
      <c r="V154" s="9">
        <f t="shared" si="29"/>
        <v>-231.24455999999918</v>
      </c>
      <c r="W154" s="6">
        <f t="shared" si="30"/>
        <v>-2.6666468505639647E-2</v>
      </c>
      <c r="X154" t="str" cm="1">
        <f t="array" ref="X154">_xlfn.IFS(S154&lt;=25%, "Low", S154&lt;=75%, "Medium", S154&gt;75%, "High")</f>
        <v>Low</v>
      </c>
      <c r="Y154" s="8">
        <f>Table1[[#This Row],[Quantity]]*(Table1[[#This Row],[UnitPrice]]*(1-Table1[[#This Row],[DiscountPct]]))</f>
        <v>8671.7354400000004</v>
      </c>
      <c r="Z154" s="9">
        <f t="shared" si="31"/>
        <v>-231.24455999999918</v>
      </c>
      <c r="AA154">
        <f>COUNTIF($G$2:G155,G154)</f>
        <v>14</v>
      </c>
      <c r="AB154" s="21">
        <f t="shared" si="32"/>
        <v>44988</v>
      </c>
      <c r="AC154" s="21">
        <f t="shared" si="33"/>
        <v>45016</v>
      </c>
      <c r="AD154" s="5">
        <f>(Table1[[#This Row],[OrderDate]]-Table1[[#This Row],[Date of first order]])/30</f>
        <v>5.6333333333333337</v>
      </c>
      <c r="AE154" t="str">
        <f t="shared" si="34"/>
        <v>Poor</v>
      </c>
      <c r="AF154">
        <f>COUNTIF(AE$2:AE155,AE154)</f>
        <v>108</v>
      </c>
      <c r="AG154" t="str">
        <f t="shared" si="35"/>
        <v>True</v>
      </c>
      <c r="AH154" s="7">
        <f>Table1[[#This Row],[UnitPrice]]*(1-Table1[[#This Row],[Disc Scenario]])*Table1[[#This Row],[Quantity]]</f>
        <v>8671.7354400000004</v>
      </c>
      <c r="AI154">
        <f>ROUNDDOWN((Table1[[#This Row],[Quantity]]*(1+20%)),0)</f>
        <v>21</v>
      </c>
      <c r="AJ154" s="7">
        <f>Table1[[#This Row],[Quantity increase by 20%]]*Table1[[#This Row],[UnitPrice]]</f>
        <v>12709.83</v>
      </c>
      <c r="AK154">
        <f>ROUNDDOWN(Table1[[#This Row],[Quantity]]*(1+20%),0)</f>
        <v>21</v>
      </c>
      <c r="AL154" s="7">
        <f>Table1[[#This Row],[UnitCost]]*(1+15%)</f>
        <v>568.80149999999992</v>
      </c>
      <c r="AM154" s="9">
        <f>Table1[[#This Row],[Quantity]]*Table1[[#This Row],[Cost of unit by inflation 15%]]</f>
        <v>10238.426999999998</v>
      </c>
      <c r="AN154" s="21" cm="1">
        <f t="array" ref="AN154">_xlfn.UNIQUE(AC154)</f>
        <v>45016</v>
      </c>
    </row>
    <row r="155" spans="1:40" x14ac:dyDescent="0.35">
      <c r="A155" t="s">
        <v>139</v>
      </c>
      <c r="B155" s="21">
        <v>45159</v>
      </c>
      <c r="C155" s="10">
        <v>45173</v>
      </c>
      <c r="D155" s="3">
        <f t="shared" si="24"/>
        <v>14</v>
      </c>
      <c r="E155" s="10" t="str">
        <f t="shared" si="25"/>
        <v>Q3-2023</v>
      </c>
      <c r="F155" t="s">
        <v>647</v>
      </c>
      <c r="G155" t="s">
        <v>652</v>
      </c>
      <c r="H155" t="s">
        <v>680</v>
      </c>
      <c r="I155" t="s">
        <v>701</v>
      </c>
      <c r="J155" t="s">
        <v>709</v>
      </c>
      <c r="K155" t="s">
        <v>720</v>
      </c>
      <c r="L155" t="s">
        <v>726</v>
      </c>
      <c r="M155" t="s">
        <v>857</v>
      </c>
      <c r="N155" s="3">
        <v>178.19</v>
      </c>
      <c r="O155" s="3">
        <v>284.43</v>
      </c>
      <c r="P155" s="6">
        <v>8.8999999999999996E-2</v>
      </c>
      <c r="Q155" s="6">
        <f>IF(Table1[[#This Row],[DiscountPct]]&gt;25%,25%,Table1[[#This Row],[DiscountPct]])</f>
        <v>8.8999999999999996E-2</v>
      </c>
      <c r="R155" s="5">
        <v>8</v>
      </c>
      <c r="S155" s="6">
        <f t="shared" si="26"/>
        <v>0.59621752062405309</v>
      </c>
      <c r="T155" s="8">
        <f t="shared" si="27"/>
        <v>2072.9258400000003</v>
      </c>
      <c r="U155" s="8">
        <f t="shared" si="28"/>
        <v>1425.52</v>
      </c>
      <c r="V155" s="9">
        <f t="shared" si="29"/>
        <v>647.40584000000035</v>
      </c>
      <c r="W155" s="6">
        <f t="shared" si="30"/>
        <v>0.31231500302972742</v>
      </c>
      <c r="X155" t="str" cm="1">
        <f t="array" ref="X155">_xlfn.IFS(S155&lt;=25%, "Low", S155&lt;=75%, "Medium", S155&gt;75%, "High")</f>
        <v>Medium</v>
      </c>
      <c r="Y155" s="8">
        <f>Table1[[#This Row],[Quantity]]*(Table1[[#This Row],[UnitPrice]]*(1-Table1[[#This Row],[DiscountPct]]))</f>
        <v>2072.9258400000003</v>
      </c>
      <c r="Z155" s="9">
        <f t="shared" si="31"/>
        <v>647.40584000000035</v>
      </c>
      <c r="AA155">
        <f>COUNTIF($G$2:G156,G155)</f>
        <v>12</v>
      </c>
      <c r="AB155" s="21">
        <f t="shared" si="32"/>
        <v>44988</v>
      </c>
      <c r="AC155" s="21">
        <f t="shared" si="33"/>
        <v>45016</v>
      </c>
      <c r="AD155" s="5">
        <f>(Table1[[#This Row],[OrderDate]]-Table1[[#This Row],[Date of first order]])/30</f>
        <v>5.7</v>
      </c>
      <c r="AE155" t="str">
        <f t="shared" si="34"/>
        <v>Poor</v>
      </c>
      <c r="AF155">
        <f>COUNTIF(AE$2:AE156,AE155)</f>
        <v>109</v>
      </c>
      <c r="AG155" t="str">
        <f t="shared" si="35"/>
        <v>False</v>
      </c>
      <c r="AH155" s="7">
        <f>Table1[[#This Row],[UnitPrice]]*(1-Table1[[#This Row],[Disc Scenario]])*Table1[[#This Row],[Quantity]]</f>
        <v>2072.9258400000003</v>
      </c>
      <c r="AI155">
        <f>ROUNDDOWN((Table1[[#This Row],[Quantity]]*(1+20%)),0)</f>
        <v>9</v>
      </c>
      <c r="AJ155" s="7">
        <f>Table1[[#This Row],[Quantity increase by 20%]]*Table1[[#This Row],[UnitPrice]]</f>
        <v>2559.87</v>
      </c>
      <c r="AK155">
        <f>ROUNDDOWN(Table1[[#This Row],[Quantity]]*(1+20%),0)</f>
        <v>9</v>
      </c>
      <c r="AL155" s="7">
        <f>Table1[[#This Row],[UnitCost]]*(1+15%)</f>
        <v>204.91849999999999</v>
      </c>
      <c r="AM155" s="9">
        <f>Table1[[#This Row],[Quantity]]*Table1[[#This Row],[Cost of unit by inflation 15%]]</f>
        <v>1639.348</v>
      </c>
      <c r="AN155" s="21" cm="1">
        <f t="array" ref="AN155">_xlfn.UNIQUE(AC155)</f>
        <v>45016</v>
      </c>
    </row>
    <row r="156" spans="1:40" x14ac:dyDescent="0.35">
      <c r="A156" t="s">
        <v>306</v>
      </c>
      <c r="B156" s="21">
        <v>45161</v>
      </c>
      <c r="C156" s="10">
        <v>45191</v>
      </c>
      <c r="D156" s="3">
        <f t="shared" si="24"/>
        <v>30</v>
      </c>
      <c r="E156" s="10" t="str">
        <f t="shared" si="25"/>
        <v>Q3-2023</v>
      </c>
      <c r="F156" t="s">
        <v>648</v>
      </c>
      <c r="G156" t="s">
        <v>657</v>
      </c>
      <c r="H156" t="s">
        <v>682</v>
      </c>
      <c r="I156" t="s">
        <v>703</v>
      </c>
      <c r="J156" t="s">
        <v>709</v>
      </c>
      <c r="K156" t="s">
        <v>718</v>
      </c>
      <c r="L156" t="s">
        <v>732</v>
      </c>
      <c r="M156" t="s">
        <v>1024</v>
      </c>
      <c r="N156" s="3">
        <v>209.81</v>
      </c>
      <c r="O156" s="3">
        <v>523</v>
      </c>
      <c r="P156" s="6">
        <v>5.8999999999999997E-2</v>
      </c>
      <c r="Q156" s="6">
        <f>IF(Table1[[#This Row],[DiscountPct]]&gt;25%,25%,Table1[[#This Row],[DiscountPct]])</f>
        <v>5.8999999999999997E-2</v>
      </c>
      <c r="R156" s="5">
        <v>15</v>
      </c>
      <c r="S156" s="6">
        <f t="shared" si="26"/>
        <v>1.492731518993375</v>
      </c>
      <c r="T156" s="8">
        <f t="shared" si="27"/>
        <v>7382.1450000000004</v>
      </c>
      <c r="U156" s="8">
        <f t="shared" si="28"/>
        <v>3147.15</v>
      </c>
      <c r="V156" s="9">
        <f t="shared" si="29"/>
        <v>4234.9950000000008</v>
      </c>
      <c r="W156" s="6">
        <f t="shared" si="30"/>
        <v>0.57368082041195356</v>
      </c>
      <c r="X156" t="str" cm="1">
        <f t="array" ref="X156">_xlfn.IFS(S156&lt;=25%, "Low", S156&lt;=75%, "Medium", S156&gt;75%, "High")</f>
        <v>High</v>
      </c>
      <c r="Y156" s="8">
        <f>Table1[[#This Row],[Quantity]]*(Table1[[#This Row],[UnitPrice]]*(1-Table1[[#This Row],[DiscountPct]]))</f>
        <v>7382.1450000000004</v>
      </c>
      <c r="Z156" s="9">
        <f t="shared" si="31"/>
        <v>4234.9950000000008</v>
      </c>
      <c r="AA156">
        <f>COUNTIF($G$2:G157,G156)</f>
        <v>16</v>
      </c>
      <c r="AB156" s="21">
        <f t="shared" si="32"/>
        <v>44988</v>
      </c>
      <c r="AC156" s="21">
        <f t="shared" si="33"/>
        <v>45016</v>
      </c>
      <c r="AD156" s="5">
        <f>(Table1[[#This Row],[OrderDate]]-Table1[[#This Row],[Date of first order]])/30</f>
        <v>5.7666666666666666</v>
      </c>
      <c r="AE156" t="str">
        <f t="shared" si="34"/>
        <v>Poor</v>
      </c>
      <c r="AF156">
        <f>COUNTIF(AE$2:AE157,AE156)</f>
        <v>110</v>
      </c>
      <c r="AG156" t="str">
        <f t="shared" si="35"/>
        <v>False</v>
      </c>
      <c r="AH156" s="7">
        <f>Table1[[#This Row],[UnitPrice]]*(1-Table1[[#This Row],[Disc Scenario]])*Table1[[#This Row],[Quantity]]</f>
        <v>7382.1450000000004</v>
      </c>
      <c r="AI156">
        <f>ROUNDDOWN((Table1[[#This Row],[Quantity]]*(1+20%)),0)</f>
        <v>18</v>
      </c>
      <c r="AJ156" s="7">
        <f>Table1[[#This Row],[Quantity increase by 20%]]*Table1[[#This Row],[UnitPrice]]</f>
        <v>9414</v>
      </c>
      <c r="AK156">
        <f>ROUNDDOWN(Table1[[#This Row],[Quantity]]*(1+20%),0)</f>
        <v>18</v>
      </c>
      <c r="AL156" s="7">
        <f>Table1[[#This Row],[UnitCost]]*(1+15%)</f>
        <v>241.28149999999999</v>
      </c>
      <c r="AM156" s="9">
        <f>Table1[[#This Row],[Quantity]]*Table1[[#This Row],[Cost of unit by inflation 15%]]</f>
        <v>3619.2224999999999</v>
      </c>
      <c r="AN156" s="21" cm="1">
        <f t="array" ref="AN156">_xlfn.UNIQUE(AC156)</f>
        <v>45016</v>
      </c>
    </row>
    <row r="157" spans="1:40" x14ac:dyDescent="0.35">
      <c r="A157" t="s">
        <v>542</v>
      </c>
      <c r="B157" s="21">
        <v>45162</v>
      </c>
      <c r="C157" s="10">
        <v>45189</v>
      </c>
      <c r="D157" s="3">
        <f t="shared" si="24"/>
        <v>27</v>
      </c>
      <c r="E157" s="10" t="str">
        <f t="shared" si="25"/>
        <v>Q3-2023</v>
      </c>
      <c r="F157" t="s">
        <v>645</v>
      </c>
      <c r="G157" t="s">
        <v>660</v>
      </c>
      <c r="H157" t="s">
        <v>686</v>
      </c>
      <c r="I157" t="s">
        <v>704</v>
      </c>
      <c r="J157" t="s">
        <v>708</v>
      </c>
      <c r="K157" t="s">
        <v>723</v>
      </c>
      <c r="L157" t="s">
        <v>727</v>
      </c>
      <c r="M157" t="s">
        <v>1259</v>
      </c>
      <c r="N157" s="3">
        <v>1399.64</v>
      </c>
      <c r="O157" s="3">
        <v>3342.11</v>
      </c>
      <c r="P157" s="6">
        <v>0</v>
      </c>
      <c r="Q157" s="6">
        <f>IF(Table1[[#This Row],[DiscountPct]]&gt;25%,25%,Table1[[#This Row],[DiscountPct]])</f>
        <v>0</v>
      </c>
      <c r="R157" s="5">
        <v>10</v>
      </c>
      <c r="S157" s="6">
        <f t="shared" si="26"/>
        <v>1.3878354433997313</v>
      </c>
      <c r="T157" s="8">
        <f t="shared" si="27"/>
        <v>33421.1</v>
      </c>
      <c r="U157" s="8">
        <f t="shared" si="28"/>
        <v>13996.400000000001</v>
      </c>
      <c r="V157" s="9">
        <f t="shared" si="29"/>
        <v>19424.699999999997</v>
      </c>
      <c r="W157" s="6">
        <f t="shared" si="30"/>
        <v>0.58121067229983447</v>
      </c>
      <c r="X157" t="str" cm="1">
        <f t="array" ref="X157">_xlfn.IFS(S157&lt;=25%, "Low", S157&lt;=75%, "Medium", S157&gt;75%, "High")</f>
        <v>High</v>
      </c>
      <c r="Y157" s="8">
        <f>Table1[[#This Row],[Quantity]]*(Table1[[#This Row],[UnitPrice]]*(1-Table1[[#This Row],[DiscountPct]]))</f>
        <v>33421.1</v>
      </c>
      <c r="Z157" s="9">
        <f t="shared" si="31"/>
        <v>19424.699999999997</v>
      </c>
      <c r="AA157">
        <f>COUNTIF($G$2:G158,G157)</f>
        <v>15</v>
      </c>
      <c r="AB157" s="21">
        <f t="shared" si="32"/>
        <v>44988</v>
      </c>
      <c r="AC157" s="21">
        <f t="shared" si="33"/>
        <v>45016</v>
      </c>
      <c r="AD157" s="5">
        <f>(Table1[[#This Row],[OrderDate]]-Table1[[#This Row],[Date of first order]])/30</f>
        <v>5.8</v>
      </c>
      <c r="AE157" t="str">
        <f t="shared" si="34"/>
        <v>Poor</v>
      </c>
      <c r="AF157">
        <f>COUNTIF(AE$2:AE158,AE157)</f>
        <v>111</v>
      </c>
      <c r="AG157" t="str">
        <f t="shared" si="35"/>
        <v>False</v>
      </c>
      <c r="AH157" s="7">
        <f>Table1[[#This Row],[UnitPrice]]*(1-Table1[[#This Row],[Disc Scenario]])*Table1[[#This Row],[Quantity]]</f>
        <v>33421.1</v>
      </c>
      <c r="AI157">
        <f>ROUNDDOWN((Table1[[#This Row],[Quantity]]*(1+20%)),0)</f>
        <v>12</v>
      </c>
      <c r="AJ157" s="7">
        <f>Table1[[#This Row],[Quantity increase by 20%]]*Table1[[#This Row],[UnitPrice]]</f>
        <v>40105.32</v>
      </c>
      <c r="AK157">
        <f>ROUNDDOWN(Table1[[#This Row],[Quantity]]*(1+20%),0)</f>
        <v>12</v>
      </c>
      <c r="AL157" s="7">
        <f>Table1[[#This Row],[UnitCost]]*(1+15%)</f>
        <v>1609.586</v>
      </c>
      <c r="AM157" s="9">
        <f>Table1[[#This Row],[Quantity]]*Table1[[#This Row],[Cost of unit by inflation 15%]]</f>
        <v>16095.86</v>
      </c>
      <c r="AN157" s="21" cm="1">
        <f t="array" ref="AN157">_xlfn.UNIQUE(AC157)</f>
        <v>45016</v>
      </c>
    </row>
    <row r="158" spans="1:40" x14ac:dyDescent="0.35">
      <c r="A158" t="s">
        <v>426</v>
      </c>
      <c r="B158" s="21">
        <v>45163</v>
      </c>
      <c r="C158" s="10">
        <v>45185</v>
      </c>
      <c r="D158" s="3">
        <f t="shared" si="24"/>
        <v>22</v>
      </c>
      <c r="E158" s="10" t="str">
        <f t="shared" si="25"/>
        <v>Q3-2023</v>
      </c>
      <c r="F158" t="s">
        <v>645</v>
      </c>
      <c r="G158" t="s">
        <v>650</v>
      </c>
      <c r="H158" t="s">
        <v>668</v>
      </c>
      <c r="I158" t="s">
        <v>700</v>
      </c>
      <c r="J158" t="s">
        <v>708</v>
      </c>
      <c r="K158" t="s">
        <v>715</v>
      </c>
      <c r="L158" t="s">
        <v>729</v>
      </c>
      <c r="M158" t="s">
        <v>1143</v>
      </c>
      <c r="N158" s="3">
        <v>1196.83</v>
      </c>
      <c r="O158" s="3">
        <v>2513.5100000000002</v>
      </c>
      <c r="P158" s="6">
        <v>8.3000000000000004E-2</v>
      </c>
      <c r="Q158" s="6">
        <f>IF(Table1[[#This Row],[DiscountPct]]&gt;25%,25%,Table1[[#This Row],[DiscountPct]])</f>
        <v>8.3000000000000004E-2</v>
      </c>
      <c r="R158" s="5">
        <v>7</v>
      </c>
      <c r="S158" s="6">
        <f t="shared" si="26"/>
        <v>1.1001395352723446</v>
      </c>
      <c r="T158" s="8">
        <f t="shared" si="27"/>
        <v>16134.22069</v>
      </c>
      <c r="U158" s="8">
        <f t="shared" si="28"/>
        <v>8377.81</v>
      </c>
      <c r="V158" s="9">
        <f t="shared" si="29"/>
        <v>7756.4106900000006</v>
      </c>
      <c r="W158" s="6">
        <f t="shared" si="30"/>
        <v>0.48074281609445374</v>
      </c>
      <c r="X158" t="str" cm="1">
        <f t="array" ref="X158">_xlfn.IFS(S158&lt;=25%, "Low", S158&lt;=75%, "Medium", S158&gt;75%, "High")</f>
        <v>High</v>
      </c>
      <c r="Y158" s="8">
        <f>Table1[[#This Row],[Quantity]]*(Table1[[#This Row],[UnitPrice]]*(1-Table1[[#This Row],[DiscountPct]]))</f>
        <v>16134.220690000002</v>
      </c>
      <c r="Z158" s="9">
        <f t="shared" si="31"/>
        <v>7756.4106900000024</v>
      </c>
      <c r="AA158">
        <f>COUNTIF($G$2:G159,G158)</f>
        <v>13</v>
      </c>
      <c r="AB158" s="21">
        <f t="shared" si="32"/>
        <v>44988</v>
      </c>
      <c r="AC158" s="21">
        <f t="shared" si="33"/>
        <v>45016</v>
      </c>
      <c r="AD158" s="5">
        <f>(Table1[[#This Row],[OrderDate]]-Table1[[#This Row],[Date of first order]])/30</f>
        <v>5.833333333333333</v>
      </c>
      <c r="AE158" t="str">
        <f t="shared" si="34"/>
        <v>Poor</v>
      </c>
      <c r="AF158">
        <f>COUNTIF(AE$2:AE159,AE158)</f>
        <v>112</v>
      </c>
      <c r="AG158" t="str">
        <f t="shared" si="35"/>
        <v>False</v>
      </c>
      <c r="AH158" s="7">
        <f>Table1[[#This Row],[UnitPrice]]*(1-Table1[[#This Row],[Disc Scenario]])*Table1[[#This Row],[Quantity]]</f>
        <v>16134.220690000002</v>
      </c>
      <c r="AI158">
        <f>ROUNDDOWN((Table1[[#This Row],[Quantity]]*(1+20%)),0)</f>
        <v>8</v>
      </c>
      <c r="AJ158" s="7">
        <f>Table1[[#This Row],[Quantity increase by 20%]]*Table1[[#This Row],[UnitPrice]]</f>
        <v>20108.080000000002</v>
      </c>
      <c r="AK158">
        <f>ROUNDDOWN(Table1[[#This Row],[Quantity]]*(1+20%),0)</f>
        <v>8</v>
      </c>
      <c r="AL158" s="7">
        <f>Table1[[#This Row],[UnitCost]]*(1+15%)</f>
        <v>1376.3544999999999</v>
      </c>
      <c r="AM158" s="9">
        <f>Table1[[#This Row],[Quantity]]*Table1[[#This Row],[Cost of unit by inflation 15%]]</f>
        <v>9634.4814999999999</v>
      </c>
      <c r="AN158" s="21" cm="1">
        <f t="array" ref="AN158">_xlfn.UNIQUE(AC158)</f>
        <v>45016</v>
      </c>
    </row>
    <row r="159" spans="1:40" x14ac:dyDescent="0.35">
      <c r="A159" t="s">
        <v>235</v>
      </c>
      <c r="B159" s="21">
        <v>45164</v>
      </c>
      <c r="C159" s="10">
        <v>45179</v>
      </c>
      <c r="D159" s="3">
        <f t="shared" si="24"/>
        <v>15</v>
      </c>
      <c r="E159" s="10" t="str">
        <f t="shared" si="25"/>
        <v>Q3-2023</v>
      </c>
      <c r="F159" t="s">
        <v>645</v>
      </c>
      <c r="G159" t="s">
        <v>660</v>
      </c>
      <c r="H159" t="s">
        <v>694</v>
      </c>
      <c r="I159" t="s">
        <v>702</v>
      </c>
      <c r="J159" t="s">
        <v>710</v>
      </c>
      <c r="K159" t="s">
        <v>724</v>
      </c>
      <c r="L159" t="s">
        <v>726</v>
      </c>
      <c r="M159" t="s">
        <v>953</v>
      </c>
      <c r="N159" s="3">
        <v>241.14</v>
      </c>
      <c r="O159" s="3">
        <v>496.52</v>
      </c>
      <c r="P159" s="6">
        <v>9.2999999999999999E-2</v>
      </c>
      <c r="Q159" s="6">
        <f>IF(Table1[[#This Row],[DiscountPct]]&gt;25%,25%,Table1[[#This Row],[DiscountPct]])</f>
        <v>9.2999999999999999E-2</v>
      </c>
      <c r="R159" s="5">
        <v>10</v>
      </c>
      <c r="S159" s="6">
        <f t="shared" si="26"/>
        <v>1.0590528323795305</v>
      </c>
      <c r="T159" s="8">
        <f t="shared" si="27"/>
        <v>4503.4363999999996</v>
      </c>
      <c r="U159" s="8">
        <f t="shared" si="28"/>
        <v>2411.3999999999996</v>
      </c>
      <c r="V159" s="9">
        <f t="shared" si="29"/>
        <v>2092.0364</v>
      </c>
      <c r="W159" s="6">
        <f t="shared" si="30"/>
        <v>0.46454223268257994</v>
      </c>
      <c r="X159" t="str" cm="1">
        <f t="array" ref="X159">_xlfn.IFS(S159&lt;=25%, "Low", S159&lt;=75%, "Medium", S159&gt;75%, "High")</f>
        <v>High</v>
      </c>
      <c r="Y159" s="8">
        <f>Table1[[#This Row],[Quantity]]*(Table1[[#This Row],[UnitPrice]]*(1-Table1[[#This Row],[DiscountPct]]))</f>
        <v>4503.4363999999996</v>
      </c>
      <c r="Z159" s="9">
        <f t="shared" si="31"/>
        <v>2092.0364</v>
      </c>
      <c r="AA159">
        <f>COUNTIF($G$2:G160,G159)</f>
        <v>16</v>
      </c>
      <c r="AB159" s="21">
        <f t="shared" si="32"/>
        <v>44988</v>
      </c>
      <c r="AC159" s="21">
        <f t="shared" si="33"/>
        <v>45016</v>
      </c>
      <c r="AD159" s="5">
        <f>(Table1[[#This Row],[OrderDate]]-Table1[[#This Row],[Date of first order]])/30</f>
        <v>5.8666666666666663</v>
      </c>
      <c r="AE159" t="str">
        <f t="shared" si="34"/>
        <v>Poor</v>
      </c>
      <c r="AF159">
        <f>COUNTIF(AE$2:AE160,AE159)</f>
        <v>113</v>
      </c>
      <c r="AG159" t="str">
        <f t="shared" si="35"/>
        <v>False</v>
      </c>
      <c r="AH159" s="7">
        <f>Table1[[#This Row],[UnitPrice]]*(1-Table1[[#This Row],[Disc Scenario]])*Table1[[#This Row],[Quantity]]</f>
        <v>4503.4363999999996</v>
      </c>
      <c r="AI159">
        <f>ROUNDDOWN((Table1[[#This Row],[Quantity]]*(1+20%)),0)</f>
        <v>12</v>
      </c>
      <c r="AJ159" s="7">
        <f>Table1[[#This Row],[Quantity increase by 20%]]*Table1[[#This Row],[UnitPrice]]</f>
        <v>5958.24</v>
      </c>
      <c r="AK159">
        <f>ROUNDDOWN(Table1[[#This Row],[Quantity]]*(1+20%),0)</f>
        <v>12</v>
      </c>
      <c r="AL159" s="7">
        <f>Table1[[#This Row],[UnitCost]]*(1+15%)</f>
        <v>277.31099999999998</v>
      </c>
      <c r="AM159" s="9">
        <f>Table1[[#This Row],[Quantity]]*Table1[[#This Row],[Cost of unit by inflation 15%]]</f>
        <v>2773.1099999999997</v>
      </c>
      <c r="AN159" s="21" cm="1">
        <f t="array" ref="AN159">_xlfn.UNIQUE(AC159)</f>
        <v>45016</v>
      </c>
    </row>
    <row r="160" spans="1:40" x14ac:dyDescent="0.35">
      <c r="A160" t="s">
        <v>190</v>
      </c>
      <c r="B160" s="21">
        <v>45165</v>
      </c>
      <c r="C160" s="10">
        <v>45180</v>
      </c>
      <c r="D160" s="3">
        <f t="shared" si="24"/>
        <v>15</v>
      </c>
      <c r="E160" s="10" t="str">
        <f t="shared" si="25"/>
        <v>Q3-2023</v>
      </c>
      <c r="F160" t="s">
        <v>648</v>
      </c>
      <c r="G160" t="s">
        <v>657</v>
      </c>
      <c r="H160" t="s">
        <v>682</v>
      </c>
      <c r="I160" t="s">
        <v>703</v>
      </c>
      <c r="J160" t="s">
        <v>708</v>
      </c>
      <c r="K160" t="s">
        <v>724</v>
      </c>
      <c r="L160" t="s">
        <v>727</v>
      </c>
      <c r="M160" t="s">
        <v>908</v>
      </c>
      <c r="N160" s="3">
        <v>943.79</v>
      </c>
      <c r="O160" s="3">
        <v>1913.76</v>
      </c>
      <c r="P160" s="6">
        <v>9.0999999999999998E-2</v>
      </c>
      <c r="Q160" s="6">
        <f>IF(Table1[[#This Row],[DiscountPct]]&gt;25%,25%,Table1[[#This Row],[DiscountPct]])</f>
        <v>9.0999999999999998E-2</v>
      </c>
      <c r="R160" s="5">
        <v>9</v>
      </c>
      <c r="S160" s="6">
        <f t="shared" si="26"/>
        <v>1.0277392216488839</v>
      </c>
      <c r="T160" s="8">
        <f t="shared" si="27"/>
        <v>15656.47056</v>
      </c>
      <c r="U160" s="8">
        <f t="shared" si="28"/>
        <v>8494.11</v>
      </c>
      <c r="V160" s="9">
        <f t="shared" si="29"/>
        <v>7162.3605599999992</v>
      </c>
      <c r="W160" s="6">
        <f t="shared" si="30"/>
        <v>0.45746967891338081</v>
      </c>
      <c r="X160" t="str" cm="1">
        <f t="array" ref="X160">_xlfn.IFS(S160&lt;=25%, "Low", S160&lt;=75%, "Medium", S160&gt;75%, "High")</f>
        <v>High</v>
      </c>
      <c r="Y160" s="8">
        <f>Table1[[#This Row],[Quantity]]*(Table1[[#This Row],[UnitPrice]]*(1-Table1[[#This Row],[DiscountPct]]))</f>
        <v>15656.470560000002</v>
      </c>
      <c r="Z160" s="9">
        <f t="shared" si="31"/>
        <v>7162.360560000001</v>
      </c>
      <c r="AA160">
        <f>COUNTIF($G$2:G161,G160)</f>
        <v>17</v>
      </c>
      <c r="AB160" s="21">
        <f t="shared" si="32"/>
        <v>44988</v>
      </c>
      <c r="AC160" s="21">
        <f t="shared" si="33"/>
        <v>45016</v>
      </c>
      <c r="AD160" s="5">
        <f>(Table1[[#This Row],[OrderDate]]-Table1[[#This Row],[Date of first order]])/30</f>
        <v>5.9</v>
      </c>
      <c r="AE160" t="str">
        <f t="shared" si="34"/>
        <v>Poor</v>
      </c>
      <c r="AF160">
        <f>COUNTIF(AE$2:AE161,AE160)</f>
        <v>114</v>
      </c>
      <c r="AG160" t="str">
        <f t="shared" si="35"/>
        <v>False</v>
      </c>
      <c r="AH160" s="7">
        <f>Table1[[#This Row],[UnitPrice]]*(1-Table1[[#This Row],[Disc Scenario]])*Table1[[#This Row],[Quantity]]</f>
        <v>15656.470560000002</v>
      </c>
      <c r="AI160">
        <f>ROUNDDOWN((Table1[[#This Row],[Quantity]]*(1+20%)),0)</f>
        <v>10</v>
      </c>
      <c r="AJ160" s="7">
        <f>Table1[[#This Row],[Quantity increase by 20%]]*Table1[[#This Row],[UnitPrice]]</f>
        <v>19137.599999999999</v>
      </c>
      <c r="AK160">
        <f>ROUNDDOWN(Table1[[#This Row],[Quantity]]*(1+20%),0)</f>
        <v>10</v>
      </c>
      <c r="AL160" s="7">
        <f>Table1[[#This Row],[UnitCost]]*(1+15%)</f>
        <v>1085.3584999999998</v>
      </c>
      <c r="AM160" s="9">
        <f>Table1[[#This Row],[Quantity]]*Table1[[#This Row],[Cost of unit by inflation 15%]]</f>
        <v>9768.2264999999989</v>
      </c>
      <c r="AN160" s="21" cm="1">
        <f t="array" ref="AN160">_xlfn.UNIQUE(AC160)</f>
        <v>45016</v>
      </c>
    </row>
    <row r="161" spans="1:40" x14ac:dyDescent="0.35">
      <c r="A161" t="s">
        <v>484</v>
      </c>
      <c r="B161" s="21">
        <v>45167</v>
      </c>
      <c r="C161" s="10">
        <v>45188</v>
      </c>
      <c r="D161" s="3">
        <f t="shared" si="24"/>
        <v>21</v>
      </c>
      <c r="E161" s="10" t="str">
        <f t="shared" si="25"/>
        <v>Q3-2023</v>
      </c>
      <c r="F161" t="s">
        <v>648</v>
      </c>
      <c r="G161" t="s">
        <v>656</v>
      </c>
      <c r="H161" t="s">
        <v>678</v>
      </c>
      <c r="I161" t="s">
        <v>704</v>
      </c>
      <c r="J161" t="s">
        <v>710</v>
      </c>
      <c r="K161" t="s">
        <v>716</v>
      </c>
      <c r="L161" t="s">
        <v>727</v>
      </c>
      <c r="M161" t="s">
        <v>1201</v>
      </c>
      <c r="N161" s="3">
        <v>784.46</v>
      </c>
      <c r="O161" s="3">
        <v>1843.51</v>
      </c>
      <c r="P161" s="6">
        <v>0.13800000000000001</v>
      </c>
      <c r="Q161" s="6">
        <f>IF(Table1[[#This Row],[DiscountPct]]&gt;25%,25%,Table1[[#This Row],[DiscountPct]])</f>
        <v>0.13800000000000001</v>
      </c>
      <c r="R161" s="5">
        <v>23</v>
      </c>
      <c r="S161" s="6">
        <f t="shared" si="26"/>
        <v>1.3500369681054483</v>
      </c>
      <c r="T161" s="8">
        <f t="shared" si="27"/>
        <v>36549.429260000004</v>
      </c>
      <c r="U161" s="8">
        <f t="shared" si="28"/>
        <v>18042.580000000002</v>
      </c>
      <c r="V161" s="9">
        <f t="shared" si="29"/>
        <v>18506.849260000003</v>
      </c>
      <c r="W161" s="6">
        <f t="shared" si="30"/>
        <v>0.50635125184441798</v>
      </c>
      <c r="X161" t="str" cm="1">
        <f t="array" ref="X161">_xlfn.IFS(S161&lt;=25%, "Low", S161&lt;=75%, "Medium", S161&gt;75%, "High")</f>
        <v>High</v>
      </c>
      <c r="Y161" s="8">
        <f>Table1[[#This Row],[Quantity]]*(Table1[[#This Row],[UnitPrice]]*(1-Table1[[#This Row],[DiscountPct]]))</f>
        <v>36549.429260000004</v>
      </c>
      <c r="Z161" s="9">
        <f t="shared" si="31"/>
        <v>18506.849260000003</v>
      </c>
      <c r="AA161">
        <f>COUNTIF($G$2:G162,G161)</f>
        <v>11</v>
      </c>
      <c r="AB161" s="21">
        <f t="shared" si="32"/>
        <v>44988</v>
      </c>
      <c r="AC161" s="21">
        <f t="shared" si="33"/>
        <v>45016</v>
      </c>
      <c r="AD161" s="5">
        <f>(Table1[[#This Row],[OrderDate]]-Table1[[#This Row],[Date of first order]])/30</f>
        <v>5.9666666666666668</v>
      </c>
      <c r="AE161" t="str">
        <f t="shared" si="34"/>
        <v>Poor</v>
      </c>
      <c r="AF161">
        <f>COUNTIF(AE$2:AE162,AE161)</f>
        <v>115</v>
      </c>
      <c r="AG161" t="str">
        <f t="shared" si="35"/>
        <v>False</v>
      </c>
      <c r="AH161" s="7">
        <f>Table1[[#This Row],[UnitPrice]]*(1-Table1[[#This Row],[Disc Scenario]])*Table1[[#This Row],[Quantity]]</f>
        <v>36549.429260000004</v>
      </c>
      <c r="AI161">
        <f>ROUNDDOWN((Table1[[#This Row],[Quantity]]*(1+20%)),0)</f>
        <v>27</v>
      </c>
      <c r="AJ161" s="7">
        <f>Table1[[#This Row],[Quantity increase by 20%]]*Table1[[#This Row],[UnitPrice]]</f>
        <v>49774.77</v>
      </c>
      <c r="AK161">
        <f>ROUNDDOWN(Table1[[#This Row],[Quantity]]*(1+20%),0)</f>
        <v>27</v>
      </c>
      <c r="AL161" s="7">
        <f>Table1[[#This Row],[UnitCost]]*(1+15%)</f>
        <v>902.12900000000002</v>
      </c>
      <c r="AM161" s="9">
        <f>Table1[[#This Row],[Quantity]]*Table1[[#This Row],[Cost of unit by inflation 15%]]</f>
        <v>20748.967000000001</v>
      </c>
      <c r="AN161" s="21" cm="1">
        <f t="array" ref="AN161">_xlfn.UNIQUE(AC161)</f>
        <v>45016</v>
      </c>
    </row>
    <row r="162" spans="1:40" x14ac:dyDescent="0.35">
      <c r="A162" t="s">
        <v>428</v>
      </c>
      <c r="B162" s="21">
        <v>45167</v>
      </c>
      <c r="C162" s="10">
        <v>45182</v>
      </c>
      <c r="D162" s="3">
        <f t="shared" si="24"/>
        <v>15</v>
      </c>
      <c r="E162" s="10" t="str">
        <f t="shared" si="25"/>
        <v>Q3-2023</v>
      </c>
      <c r="F162" t="s">
        <v>647</v>
      </c>
      <c r="G162" t="s">
        <v>652</v>
      </c>
      <c r="H162" t="s">
        <v>687</v>
      </c>
      <c r="I162" t="s">
        <v>704</v>
      </c>
      <c r="J162" t="s">
        <v>708</v>
      </c>
      <c r="K162" t="s">
        <v>718</v>
      </c>
      <c r="L162" t="s">
        <v>727</v>
      </c>
      <c r="M162" t="s">
        <v>1145</v>
      </c>
      <c r="N162" s="3">
        <v>1287.6400000000001</v>
      </c>
      <c r="O162" s="3">
        <v>2717.15</v>
      </c>
      <c r="P162" s="6">
        <v>3.2000000000000001E-2</v>
      </c>
      <c r="Q162" s="6">
        <f>IF(Table1[[#This Row],[DiscountPct]]&gt;25%,25%,Table1[[#This Row],[DiscountPct]])</f>
        <v>3.2000000000000001E-2</v>
      </c>
      <c r="R162" s="5">
        <v>7</v>
      </c>
      <c r="S162" s="6">
        <f t="shared" si="26"/>
        <v>1.1101783107079617</v>
      </c>
      <c r="T162" s="8">
        <f t="shared" si="27"/>
        <v>18411.4084</v>
      </c>
      <c r="U162" s="8">
        <f t="shared" si="28"/>
        <v>9013.4800000000014</v>
      </c>
      <c r="V162" s="9">
        <f t="shared" si="29"/>
        <v>9397.9283999999989</v>
      </c>
      <c r="W162" s="6">
        <f t="shared" si="30"/>
        <v>0.51044049405802105</v>
      </c>
      <c r="X162" t="str" cm="1">
        <f t="array" ref="X162">_xlfn.IFS(S162&lt;=25%, "Low", S162&lt;=75%, "Medium", S162&gt;75%, "High")</f>
        <v>High</v>
      </c>
      <c r="Y162" s="8">
        <f>Table1[[#This Row],[Quantity]]*(Table1[[#This Row],[UnitPrice]]*(1-Table1[[#This Row],[DiscountPct]]))</f>
        <v>18411.4084</v>
      </c>
      <c r="Z162" s="9">
        <f t="shared" si="31"/>
        <v>9397.9283999999989</v>
      </c>
      <c r="AA162">
        <f>COUNTIF($G$2:G163,G162)</f>
        <v>13</v>
      </c>
      <c r="AB162" s="21">
        <f t="shared" si="32"/>
        <v>44988</v>
      </c>
      <c r="AC162" s="21">
        <f t="shared" si="33"/>
        <v>45016</v>
      </c>
      <c r="AD162" s="5">
        <f>(Table1[[#This Row],[OrderDate]]-Table1[[#This Row],[Date of first order]])/30</f>
        <v>5.9666666666666668</v>
      </c>
      <c r="AE162" t="str">
        <f t="shared" si="34"/>
        <v>Poor</v>
      </c>
      <c r="AF162">
        <f>COUNTIF(AE$2:AE163,AE162)</f>
        <v>115</v>
      </c>
      <c r="AG162" t="str">
        <f t="shared" si="35"/>
        <v>False</v>
      </c>
      <c r="AH162" s="7">
        <f>Table1[[#This Row],[UnitPrice]]*(1-Table1[[#This Row],[Disc Scenario]])*Table1[[#This Row],[Quantity]]</f>
        <v>18411.4084</v>
      </c>
      <c r="AI162">
        <f>ROUNDDOWN((Table1[[#This Row],[Quantity]]*(1+20%)),0)</f>
        <v>8</v>
      </c>
      <c r="AJ162" s="7">
        <f>Table1[[#This Row],[Quantity increase by 20%]]*Table1[[#This Row],[UnitPrice]]</f>
        <v>21737.200000000001</v>
      </c>
      <c r="AK162">
        <f>ROUNDDOWN(Table1[[#This Row],[Quantity]]*(1+20%),0)</f>
        <v>8</v>
      </c>
      <c r="AL162" s="7">
        <f>Table1[[#This Row],[UnitCost]]*(1+15%)</f>
        <v>1480.7860000000001</v>
      </c>
      <c r="AM162" s="9">
        <f>Table1[[#This Row],[Quantity]]*Table1[[#This Row],[Cost of unit by inflation 15%]]</f>
        <v>10365.502</v>
      </c>
      <c r="AN162" s="21" cm="1">
        <f t="array" ref="AN162">_xlfn.UNIQUE(AC162)</f>
        <v>45016</v>
      </c>
    </row>
    <row r="163" spans="1:40" x14ac:dyDescent="0.35">
      <c r="A163" t="s">
        <v>345</v>
      </c>
      <c r="B163" s="21">
        <v>45168</v>
      </c>
      <c r="C163" s="10">
        <v>45172</v>
      </c>
      <c r="D163" s="3">
        <f t="shared" si="24"/>
        <v>4</v>
      </c>
      <c r="E163" s="10" t="str">
        <f t="shared" si="25"/>
        <v>Q3-2023</v>
      </c>
      <c r="F163" t="s">
        <v>646</v>
      </c>
      <c r="G163" t="s">
        <v>653</v>
      </c>
      <c r="H163" t="s">
        <v>679</v>
      </c>
      <c r="I163" t="s">
        <v>704</v>
      </c>
      <c r="J163" t="s">
        <v>708</v>
      </c>
      <c r="K163" t="s">
        <v>715</v>
      </c>
      <c r="L163" t="s">
        <v>732</v>
      </c>
      <c r="M163" t="s">
        <v>1063</v>
      </c>
      <c r="N163" s="3">
        <v>1082.25</v>
      </c>
      <c r="O163" s="3">
        <v>2433.34</v>
      </c>
      <c r="P163" s="6">
        <v>0.27</v>
      </c>
      <c r="Q163" s="6">
        <f>IF(Table1[[#This Row],[DiscountPct]]&gt;25%,25%,Table1[[#This Row],[DiscountPct]])</f>
        <v>0.25</v>
      </c>
      <c r="R163" s="5">
        <v>4</v>
      </c>
      <c r="S163" s="6">
        <f t="shared" si="26"/>
        <v>1.2484084084084086</v>
      </c>
      <c r="T163" s="8">
        <f t="shared" si="27"/>
        <v>7105.3528000000006</v>
      </c>
      <c r="U163" s="8">
        <f t="shared" si="28"/>
        <v>4329</v>
      </c>
      <c r="V163" s="9">
        <f t="shared" si="29"/>
        <v>2776.3528000000006</v>
      </c>
      <c r="W163" s="6">
        <f t="shared" si="30"/>
        <v>0.3907410199251472</v>
      </c>
      <c r="X163" t="str" cm="1">
        <f t="array" ref="X163">_xlfn.IFS(S163&lt;=25%, "Low", S163&lt;=75%, "Medium", S163&gt;75%, "High")</f>
        <v>High</v>
      </c>
      <c r="Y163" s="8">
        <f>Table1[[#This Row],[Quantity]]*(Table1[[#This Row],[UnitPrice]]*(1-Table1[[#This Row],[DiscountPct]]))</f>
        <v>7105.3528000000006</v>
      </c>
      <c r="Z163" s="9">
        <f t="shared" si="31"/>
        <v>2776.3528000000006</v>
      </c>
      <c r="AA163">
        <f>COUNTIF($G$2:G164,G163)</f>
        <v>12</v>
      </c>
      <c r="AB163" s="21">
        <f t="shared" si="32"/>
        <v>44988</v>
      </c>
      <c r="AC163" s="21">
        <f t="shared" si="33"/>
        <v>45016</v>
      </c>
      <c r="AD163" s="5">
        <f>(Table1[[#This Row],[OrderDate]]-Table1[[#This Row],[Date of first order]])/30</f>
        <v>6</v>
      </c>
      <c r="AE163" t="str">
        <f t="shared" si="34"/>
        <v>Good</v>
      </c>
      <c r="AF163">
        <f>COUNTIF(AE$2:AE164,AE163)</f>
        <v>48</v>
      </c>
      <c r="AG163" t="str">
        <f t="shared" si="35"/>
        <v>True</v>
      </c>
      <c r="AH163" s="7">
        <f>Table1[[#This Row],[UnitPrice]]*(1-Table1[[#This Row],[Disc Scenario]])*Table1[[#This Row],[Quantity]]</f>
        <v>7300.02</v>
      </c>
      <c r="AI163">
        <f>ROUNDDOWN((Table1[[#This Row],[Quantity]]*(1+20%)),0)</f>
        <v>4</v>
      </c>
      <c r="AJ163" s="7">
        <f>Table1[[#This Row],[Quantity increase by 20%]]*Table1[[#This Row],[UnitPrice]]</f>
        <v>9733.36</v>
      </c>
      <c r="AK163">
        <f>ROUNDDOWN(Table1[[#This Row],[Quantity]]*(1+20%),0)</f>
        <v>4</v>
      </c>
      <c r="AL163" s="7">
        <f>Table1[[#This Row],[UnitCost]]*(1+15%)</f>
        <v>1244.5874999999999</v>
      </c>
      <c r="AM163" s="9">
        <f>Table1[[#This Row],[Quantity]]*Table1[[#This Row],[Cost of unit by inflation 15%]]</f>
        <v>4978.3499999999995</v>
      </c>
      <c r="AN163" s="21" cm="1">
        <f t="array" ref="AN163">_xlfn.UNIQUE(AC163)</f>
        <v>45016</v>
      </c>
    </row>
    <row r="164" spans="1:40" x14ac:dyDescent="0.35">
      <c r="A164" t="s">
        <v>69</v>
      </c>
      <c r="B164" s="21">
        <v>45168</v>
      </c>
      <c r="C164" s="10">
        <v>45170</v>
      </c>
      <c r="D164" s="3">
        <f t="shared" si="24"/>
        <v>2</v>
      </c>
      <c r="E164" s="10" t="str">
        <f t="shared" si="25"/>
        <v>Q3-2023</v>
      </c>
      <c r="F164" t="s">
        <v>648</v>
      </c>
      <c r="G164" t="s">
        <v>655</v>
      </c>
      <c r="H164" t="s">
        <v>683</v>
      </c>
      <c r="I164" t="s">
        <v>700</v>
      </c>
      <c r="J164" t="s">
        <v>710</v>
      </c>
      <c r="K164" t="s">
        <v>724</v>
      </c>
      <c r="L164" t="s">
        <v>728</v>
      </c>
      <c r="M164" t="s">
        <v>787</v>
      </c>
      <c r="N164" s="3">
        <v>44.42</v>
      </c>
      <c r="O164" s="3">
        <v>67.074200000000005</v>
      </c>
      <c r="P164" s="6">
        <v>0.14399999999999999</v>
      </c>
      <c r="Q164" s="6">
        <f>IF(Table1[[#This Row],[DiscountPct]]&gt;25%,25%,Table1[[#This Row],[DiscountPct]])</f>
        <v>0.14399999999999999</v>
      </c>
      <c r="R164" s="5">
        <v>6</v>
      </c>
      <c r="S164" s="6">
        <f t="shared" si="26"/>
        <v>0.51</v>
      </c>
      <c r="T164" s="8">
        <f t="shared" si="27"/>
        <v>344.49309119999998</v>
      </c>
      <c r="U164" s="8">
        <f t="shared" si="28"/>
        <v>266.52</v>
      </c>
      <c r="V164" s="9">
        <f t="shared" si="29"/>
        <v>77.973091199999999</v>
      </c>
      <c r="W164" s="6">
        <f t="shared" si="30"/>
        <v>0.22634152379773473</v>
      </c>
      <c r="X164" t="str" cm="1">
        <f t="array" ref="X164">_xlfn.IFS(S164&lt;=25%, "Low", S164&lt;=75%, "Medium", S164&gt;75%, "High")</f>
        <v>Medium</v>
      </c>
      <c r="Y164" s="8">
        <f>Table1[[#This Row],[Quantity]]*(Table1[[#This Row],[UnitPrice]]*(1-Table1[[#This Row],[DiscountPct]]))</f>
        <v>344.49309119999998</v>
      </c>
      <c r="Z164" s="9">
        <f t="shared" si="31"/>
        <v>77.973091199999999</v>
      </c>
      <c r="AA164">
        <f>COUNTIF($G$2:G165,G164)</f>
        <v>15</v>
      </c>
      <c r="AB164" s="21">
        <f t="shared" si="32"/>
        <v>44988</v>
      </c>
      <c r="AC164" s="21">
        <f t="shared" si="33"/>
        <v>45016</v>
      </c>
      <c r="AD164" s="5">
        <f>(Table1[[#This Row],[OrderDate]]-Table1[[#This Row],[Date of first order]])/30</f>
        <v>6</v>
      </c>
      <c r="AE164" t="str">
        <f t="shared" si="34"/>
        <v>Good</v>
      </c>
      <c r="AF164">
        <f>COUNTIF(AE$2:AE165,AE164)</f>
        <v>48</v>
      </c>
      <c r="AG164" t="str">
        <f t="shared" si="35"/>
        <v>False</v>
      </c>
      <c r="AH164" s="7">
        <f>Table1[[#This Row],[UnitPrice]]*(1-Table1[[#This Row],[Disc Scenario]])*Table1[[#This Row],[Quantity]]</f>
        <v>344.49309119999998</v>
      </c>
      <c r="AI164">
        <f>ROUNDDOWN((Table1[[#This Row],[Quantity]]*(1+20%)),0)</f>
        <v>7</v>
      </c>
      <c r="AJ164" s="7">
        <f>Table1[[#This Row],[Quantity increase by 20%]]*Table1[[#This Row],[UnitPrice]]</f>
        <v>469.51940000000002</v>
      </c>
      <c r="AK164">
        <f>ROUNDDOWN(Table1[[#This Row],[Quantity]]*(1+20%),0)</f>
        <v>7</v>
      </c>
      <c r="AL164" s="7">
        <f>Table1[[#This Row],[UnitCost]]*(1+15%)</f>
        <v>51.082999999999998</v>
      </c>
      <c r="AM164" s="9">
        <f>Table1[[#This Row],[Quantity]]*Table1[[#This Row],[Cost of unit by inflation 15%]]</f>
        <v>306.49799999999999</v>
      </c>
      <c r="AN164" s="21" cm="1">
        <f t="array" ref="AN164">_xlfn.UNIQUE(AC164)</f>
        <v>45016</v>
      </c>
    </row>
    <row r="165" spans="1:40" x14ac:dyDescent="0.35">
      <c r="A165" t="s">
        <v>560</v>
      </c>
      <c r="B165" s="21">
        <v>45177</v>
      </c>
      <c r="C165" s="10">
        <v>45201</v>
      </c>
      <c r="D165" s="3">
        <f t="shared" si="24"/>
        <v>24</v>
      </c>
      <c r="E165" s="10" t="str">
        <f t="shared" si="25"/>
        <v>Q3-2023</v>
      </c>
      <c r="F165" t="s">
        <v>647</v>
      </c>
      <c r="G165" t="s">
        <v>652</v>
      </c>
      <c r="H165" t="s">
        <v>666</v>
      </c>
      <c r="I165" t="s">
        <v>701</v>
      </c>
      <c r="J165" t="s">
        <v>710</v>
      </c>
      <c r="K165" t="s">
        <v>719</v>
      </c>
      <c r="L165" t="s">
        <v>732</v>
      </c>
      <c r="M165" t="s">
        <v>1276</v>
      </c>
      <c r="N165" s="3">
        <v>1299.03</v>
      </c>
      <c r="O165" s="3">
        <v>2451.2199999999998</v>
      </c>
      <c r="P165" s="6">
        <v>0.20799999999999999</v>
      </c>
      <c r="Q165" s="6">
        <f>IF(Table1[[#This Row],[DiscountPct]]&gt;25%,25%,Table1[[#This Row],[DiscountPct]])</f>
        <v>0.20799999999999999</v>
      </c>
      <c r="R165" s="5">
        <v>8</v>
      </c>
      <c r="S165" s="6">
        <f t="shared" si="26"/>
        <v>0.88696180996589746</v>
      </c>
      <c r="T165" s="8">
        <f t="shared" si="27"/>
        <v>15530.929919999999</v>
      </c>
      <c r="U165" s="8">
        <f t="shared" si="28"/>
        <v>10392.24</v>
      </c>
      <c r="V165" s="9">
        <f t="shared" si="29"/>
        <v>5138.6899199999989</v>
      </c>
      <c r="W165" s="6">
        <f t="shared" si="30"/>
        <v>0.3308681416032041</v>
      </c>
      <c r="X165" t="str" cm="1">
        <f t="array" ref="X165">_xlfn.IFS(S165&lt;=25%, "Low", S165&lt;=75%, "Medium", S165&gt;75%, "High")</f>
        <v>High</v>
      </c>
      <c r="Y165" s="8">
        <f>Table1[[#This Row],[Quantity]]*(Table1[[#This Row],[UnitPrice]]*(1-Table1[[#This Row],[DiscountPct]]))</f>
        <v>15530.929919999999</v>
      </c>
      <c r="Z165" s="9">
        <f t="shared" si="31"/>
        <v>5138.6899199999989</v>
      </c>
      <c r="AA165">
        <f>COUNTIF($G$2:G166,G165)</f>
        <v>14</v>
      </c>
      <c r="AB165" s="21">
        <f t="shared" si="32"/>
        <v>44988</v>
      </c>
      <c r="AC165" s="21">
        <f t="shared" si="33"/>
        <v>45016</v>
      </c>
      <c r="AD165" s="5">
        <f>(Table1[[#This Row],[OrderDate]]-Table1[[#This Row],[Date of first order]])/30</f>
        <v>6.3</v>
      </c>
      <c r="AE165" t="str">
        <f t="shared" si="34"/>
        <v>Poor</v>
      </c>
      <c r="AF165">
        <f>COUNTIF(AE$2:AE166,AE165)</f>
        <v>116</v>
      </c>
      <c r="AG165" t="str">
        <f t="shared" si="35"/>
        <v>True</v>
      </c>
      <c r="AH165" s="7">
        <f>Table1[[#This Row],[UnitPrice]]*(1-Table1[[#This Row],[Disc Scenario]])*Table1[[#This Row],[Quantity]]</f>
        <v>15530.929919999999</v>
      </c>
      <c r="AI165">
        <f>ROUNDDOWN((Table1[[#This Row],[Quantity]]*(1+20%)),0)</f>
        <v>9</v>
      </c>
      <c r="AJ165" s="7">
        <f>Table1[[#This Row],[Quantity increase by 20%]]*Table1[[#This Row],[UnitPrice]]</f>
        <v>22060.98</v>
      </c>
      <c r="AK165">
        <f>ROUNDDOWN(Table1[[#This Row],[Quantity]]*(1+20%),0)</f>
        <v>9</v>
      </c>
      <c r="AL165" s="7">
        <f>Table1[[#This Row],[UnitCost]]*(1+15%)</f>
        <v>1493.8844999999999</v>
      </c>
      <c r="AM165" s="9">
        <f>Table1[[#This Row],[Quantity]]*Table1[[#This Row],[Cost of unit by inflation 15%]]</f>
        <v>11951.075999999999</v>
      </c>
      <c r="AN165" s="21" cm="1">
        <f t="array" ref="AN165">_xlfn.UNIQUE(AC165)</f>
        <v>45016</v>
      </c>
    </row>
    <row r="166" spans="1:40" x14ac:dyDescent="0.35">
      <c r="A166" t="s">
        <v>633</v>
      </c>
      <c r="B166" s="21">
        <v>45177</v>
      </c>
      <c r="C166" s="10">
        <v>45183</v>
      </c>
      <c r="D166" s="3">
        <f t="shared" si="24"/>
        <v>6</v>
      </c>
      <c r="E166" s="10" t="str">
        <f t="shared" si="25"/>
        <v>Q3-2023</v>
      </c>
      <c r="F166" t="s">
        <v>645</v>
      </c>
      <c r="G166" t="s">
        <v>649</v>
      </c>
      <c r="H166" t="s">
        <v>677</v>
      </c>
      <c r="I166" t="s">
        <v>701</v>
      </c>
      <c r="J166" t="s">
        <v>710</v>
      </c>
      <c r="K166" t="s">
        <v>713</v>
      </c>
      <c r="L166" t="s">
        <v>732</v>
      </c>
      <c r="M166" t="s">
        <v>1349</v>
      </c>
      <c r="N166" s="3">
        <v>251.03</v>
      </c>
      <c r="O166" s="3">
        <v>411.48</v>
      </c>
      <c r="P166" s="6">
        <v>0.16500000000000001</v>
      </c>
      <c r="Q166" s="6">
        <f>IF(Table1[[#This Row],[DiscountPct]]&gt;25%,25%,Table1[[#This Row],[DiscountPct]])</f>
        <v>0.16500000000000001</v>
      </c>
      <c r="R166" s="5">
        <v>3</v>
      </c>
      <c r="S166" s="6">
        <f t="shared" si="26"/>
        <v>0.63916663347010327</v>
      </c>
      <c r="T166" s="8">
        <f t="shared" si="27"/>
        <v>1030.7574</v>
      </c>
      <c r="U166" s="8">
        <f t="shared" si="28"/>
        <v>753.09</v>
      </c>
      <c r="V166" s="9">
        <f t="shared" si="29"/>
        <v>277.66739999999993</v>
      </c>
      <c r="W166" s="6">
        <f t="shared" si="30"/>
        <v>0.26938191275658069</v>
      </c>
      <c r="X166" t="str" cm="1">
        <f t="array" ref="X166">_xlfn.IFS(S166&lt;=25%, "Low", S166&lt;=75%, "Medium", S166&gt;75%, "High")</f>
        <v>Medium</v>
      </c>
      <c r="Y166" s="8">
        <f>Table1[[#This Row],[Quantity]]*(Table1[[#This Row],[UnitPrice]]*(1-Table1[[#This Row],[DiscountPct]]))</f>
        <v>1030.7574</v>
      </c>
      <c r="Z166" s="9">
        <f t="shared" si="31"/>
        <v>277.66739999999993</v>
      </c>
      <c r="AA166">
        <f>COUNTIF($G$2:G167,G166)</f>
        <v>16</v>
      </c>
      <c r="AB166" s="21">
        <f t="shared" si="32"/>
        <v>44988</v>
      </c>
      <c r="AC166" s="21">
        <f t="shared" si="33"/>
        <v>45016</v>
      </c>
      <c r="AD166" s="5">
        <f>(Table1[[#This Row],[OrderDate]]-Table1[[#This Row],[Date of first order]])/30</f>
        <v>6.3</v>
      </c>
      <c r="AE166" t="str">
        <f t="shared" si="34"/>
        <v>Good</v>
      </c>
      <c r="AF166">
        <f>COUNTIF(AE$2:AE167,AE166)</f>
        <v>50</v>
      </c>
      <c r="AG166" t="str">
        <f t="shared" si="35"/>
        <v>False</v>
      </c>
      <c r="AH166" s="7">
        <f>Table1[[#This Row],[UnitPrice]]*(1-Table1[[#This Row],[Disc Scenario]])*Table1[[#This Row],[Quantity]]</f>
        <v>1030.7574</v>
      </c>
      <c r="AI166">
        <f>ROUNDDOWN((Table1[[#This Row],[Quantity]]*(1+20%)),0)</f>
        <v>3</v>
      </c>
      <c r="AJ166" s="7">
        <f>Table1[[#This Row],[Quantity increase by 20%]]*Table1[[#This Row],[UnitPrice]]</f>
        <v>1234.44</v>
      </c>
      <c r="AK166">
        <f>ROUNDDOWN(Table1[[#This Row],[Quantity]]*(1+20%),0)</f>
        <v>3</v>
      </c>
      <c r="AL166" s="7">
        <f>Table1[[#This Row],[UnitCost]]*(1+15%)</f>
        <v>288.68449999999996</v>
      </c>
      <c r="AM166" s="9">
        <f>Table1[[#This Row],[Quantity]]*Table1[[#This Row],[Cost of unit by inflation 15%]]</f>
        <v>866.05349999999987</v>
      </c>
      <c r="AN166" s="21" cm="1">
        <f t="array" ref="AN166">_xlfn.UNIQUE(AC166)</f>
        <v>45016</v>
      </c>
    </row>
    <row r="167" spans="1:40" x14ac:dyDescent="0.35">
      <c r="A167" t="s">
        <v>162</v>
      </c>
      <c r="B167" s="21">
        <v>45183</v>
      </c>
      <c r="C167" s="10">
        <v>45185</v>
      </c>
      <c r="D167" s="3">
        <f t="shared" si="24"/>
        <v>2</v>
      </c>
      <c r="E167" s="10" t="str">
        <f t="shared" si="25"/>
        <v>Q3-2023</v>
      </c>
      <c r="F167" t="s">
        <v>648</v>
      </c>
      <c r="G167" t="s">
        <v>656</v>
      </c>
      <c r="H167" t="s">
        <v>678</v>
      </c>
      <c r="I167" t="s">
        <v>702</v>
      </c>
      <c r="J167" t="s">
        <v>710</v>
      </c>
      <c r="K167" t="s">
        <v>716</v>
      </c>
      <c r="L167" t="s">
        <v>727</v>
      </c>
      <c r="M167" t="s">
        <v>880</v>
      </c>
      <c r="N167" s="3">
        <v>376.83</v>
      </c>
      <c r="O167" s="3">
        <v>732.88</v>
      </c>
      <c r="P167" s="6">
        <v>0.188</v>
      </c>
      <c r="Q167" s="6">
        <f>IF(Table1[[#This Row],[DiscountPct]]&gt;25%,25%,Table1[[#This Row],[DiscountPct]])</f>
        <v>0.188</v>
      </c>
      <c r="R167" s="5">
        <v>25</v>
      </c>
      <c r="S167" s="6">
        <f t="shared" si="26"/>
        <v>0.94485577050659453</v>
      </c>
      <c r="T167" s="8">
        <f t="shared" si="27"/>
        <v>14877.464000000002</v>
      </c>
      <c r="U167" s="8">
        <f t="shared" si="28"/>
        <v>9420.75</v>
      </c>
      <c r="V167" s="9">
        <f t="shared" si="29"/>
        <v>5456.7140000000018</v>
      </c>
      <c r="W167" s="6">
        <f t="shared" si="30"/>
        <v>0.36677716040852132</v>
      </c>
      <c r="X167" t="str" cm="1">
        <f t="array" ref="X167">_xlfn.IFS(S167&lt;=25%, "Low", S167&lt;=75%, "Medium", S167&gt;75%, "High")</f>
        <v>High</v>
      </c>
      <c r="Y167" s="8">
        <f>Table1[[#This Row],[Quantity]]*(Table1[[#This Row],[UnitPrice]]*(1-Table1[[#This Row],[DiscountPct]]))</f>
        <v>14877.464</v>
      </c>
      <c r="Z167" s="9">
        <f t="shared" si="31"/>
        <v>5456.7139999999999</v>
      </c>
      <c r="AA167">
        <f>COUNTIF($G$2:G168,G167)</f>
        <v>12</v>
      </c>
      <c r="AB167" s="21">
        <f t="shared" si="32"/>
        <v>44988</v>
      </c>
      <c r="AC167" s="21">
        <f t="shared" si="33"/>
        <v>45016</v>
      </c>
      <c r="AD167" s="5">
        <f>(Table1[[#This Row],[OrderDate]]-Table1[[#This Row],[Date of first order]])/30</f>
        <v>6.5</v>
      </c>
      <c r="AE167" t="str">
        <f t="shared" si="34"/>
        <v>Good</v>
      </c>
      <c r="AF167">
        <f>COUNTIF(AE$2:AE168,AE167)</f>
        <v>50</v>
      </c>
      <c r="AG167" t="str">
        <f t="shared" si="35"/>
        <v>False</v>
      </c>
      <c r="AH167" s="7">
        <f>Table1[[#This Row],[UnitPrice]]*(1-Table1[[#This Row],[Disc Scenario]])*Table1[[#This Row],[Quantity]]</f>
        <v>14877.464</v>
      </c>
      <c r="AI167">
        <f>ROUNDDOWN((Table1[[#This Row],[Quantity]]*(1+20%)),0)</f>
        <v>30</v>
      </c>
      <c r="AJ167" s="7">
        <f>Table1[[#This Row],[Quantity increase by 20%]]*Table1[[#This Row],[UnitPrice]]</f>
        <v>21986.400000000001</v>
      </c>
      <c r="AK167">
        <f>ROUNDDOWN(Table1[[#This Row],[Quantity]]*(1+20%),0)</f>
        <v>30</v>
      </c>
      <c r="AL167" s="7">
        <f>Table1[[#This Row],[UnitCost]]*(1+15%)</f>
        <v>433.35449999999997</v>
      </c>
      <c r="AM167" s="9">
        <f>Table1[[#This Row],[Quantity]]*Table1[[#This Row],[Cost of unit by inflation 15%]]</f>
        <v>10833.862499999999</v>
      </c>
      <c r="AN167" s="21" cm="1">
        <f t="array" ref="AN167">_xlfn.UNIQUE(AC167)</f>
        <v>45016</v>
      </c>
    </row>
    <row r="168" spans="1:40" x14ac:dyDescent="0.35">
      <c r="A168" t="s">
        <v>618</v>
      </c>
      <c r="B168" s="21">
        <v>45186</v>
      </c>
      <c r="C168" s="10">
        <v>45201</v>
      </c>
      <c r="D168" s="3">
        <f t="shared" si="24"/>
        <v>15</v>
      </c>
      <c r="E168" s="10" t="str">
        <f t="shared" si="25"/>
        <v>Q3-2023</v>
      </c>
      <c r="F168" t="s">
        <v>647</v>
      </c>
      <c r="G168" t="s">
        <v>654</v>
      </c>
      <c r="H168" t="s">
        <v>691</v>
      </c>
      <c r="I168" t="s">
        <v>704</v>
      </c>
      <c r="J168" t="s">
        <v>706</v>
      </c>
      <c r="K168" t="s">
        <v>716</v>
      </c>
      <c r="L168" t="s">
        <v>730</v>
      </c>
      <c r="M168" t="s">
        <v>1334</v>
      </c>
      <c r="N168" s="3">
        <v>689.33</v>
      </c>
      <c r="O168" s="3">
        <v>1392.4466</v>
      </c>
      <c r="P168" s="6">
        <v>0.186</v>
      </c>
      <c r="Q168" s="6">
        <f>IF(Table1[[#This Row],[DiscountPct]]&gt;25%,25%,Table1[[#This Row],[DiscountPct]])</f>
        <v>0.186</v>
      </c>
      <c r="R168" s="5">
        <v>13</v>
      </c>
      <c r="S168" s="6">
        <f t="shared" si="26"/>
        <v>1.0199999999999998</v>
      </c>
      <c r="T168" s="8">
        <f t="shared" si="27"/>
        <v>14734.869921199999</v>
      </c>
      <c r="U168" s="8">
        <f t="shared" si="28"/>
        <v>8961.2900000000009</v>
      </c>
      <c r="V168" s="9">
        <f t="shared" si="29"/>
        <v>5773.5799211999984</v>
      </c>
      <c r="W168" s="6">
        <f t="shared" si="30"/>
        <v>0.39183107499939174</v>
      </c>
      <c r="X168" t="str" cm="1">
        <f t="array" ref="X168">_xlfn.IFS(S168&lt;=25%, "Low", S168&lt;=75%, "Medium", S168&gt;75%, "High")</f>
        <v>High</v>
      </c>
      <c r="Y168" s="8">
        <f>Table1[[#This Row],[Quantity]]*(Table1[[#This Row],[UnitPrice]]*(1-Table1[[#This Row],[DiscountPct]]))</f>
        <v>14734.869921200001</v>
      </c>
      <c r="Z168" s="9">
        <f t="shared" si="31"/>
        <v>5773.5799212000002</v>
      </c>
      <c r="AA168">
        <f>COUNTIF($G$2:G169,G168)</f>
        <v>15</v>
      </c>
      <c r="AB168" s="21">
        <f t="shared" si="32"/>
        <v>44988</v>
      </c>
      <c r="AC168" s="21">
        <f t="shared" si="33"/>
        <v>45016</v>
      </c>
      <c r="AD168" s="5">
        <f>(Table1[[#This Row],[OrderDate]]-Table1[[#This Row],[Date of first order]])/30</f>
        <v>6.6</v>
      </c>
      <c r="AE168" t="str">
        <f t="shared" si="34"/>
        <v>Poor</v>
      </c>
      <c r="AF168">
        <f>COUNTIF(AE$2:AE169,AE168)</f>
        <v>118</v>
      </c>
      <c r="AG168" t="str">
        <f t="shared" si="35"/>
        <v>False</v>
      </c>
      <c r="AH168" s="7">
        <f>Table1[[#This Row],[UnitPrice]]*(1-Table1[[#This Row],[Disc Scenario]])*Table1[[#This Row],[Quantity]]</f>
        <v>14734.869921200001</v>
      </c>
      <c r="AI168">
        <f>ROUNDDOWN((Table1[[#This Row],[Quantity]]*(1+20%)),0)</f>
        <v>15</v>
      </c>
      <c r="AJ168" s="7">
        <f>Table1[[#This Row],[Quantity increase by 20%]]*Table1[[#This Row],[UnitPrice]]</f>
        <v>20886.699000000001</v>
      </c>
      <c r="AK168">
        <f>ROUNDDOWN(Table1[[#This Row],[Quantity]]*(1+20%),0)</f>
        <v>15</v>
      </c>
      <c r="AL168" s="7">
        <f>Table1[[#This Row],[UnitCost]]*(1+15%)</f>
        <v>792.72950000000003</v>
      </c>
      <c r="AM168" s="9">
        <f>Table1[[#This Row],[Quantity]]*Table1[[#This Row],[Cost of unit by inflation 15%]]</f>
        <v>10305.4835</v>
      </c>
      <c r="AN168" s="21" cm="1">
        <f t="array" ref="AN168">_xlfn.UNIQUE(AC168)</f>
        <v>45016</v>
      </c>
    </row>
    <row r="169" spans="1:40" x14ac:dyDescent="0.35">
      <c r="A169" t="s">
        <v>90</v>
      </c>
      <c r="B169" s="21">
        <v>45187</v>
      </c>
      <c r="C169" s="10">
        <v>45207</v>
      </c>
      <c r="D169" s="3">
        <f t="shared" si="24"/>
        <v>20</v>
      </c>
      <c r="E169" s="10" t="str">
        <f t="shared" si="25"/>
        <v>Q3-2023</v>
      </c>
      <c r="F169" t="s">
        <v>646</v>
      </c>
      <c r="G169" t="s">
        <v>653</v>
      </c>
      <c r="H169" t="s">
        <v>679</v>
      </c>
      <c r="I169" t="s">
        <v>704</v>
      </c>
      <c r="J169" t="s">
        <v>710</v>
      </c>
      <c r="K169" t="s">
        <v>716</v>
      </c>
      <c r="L169" t="s">
        <v>726</v>
      </c>
      <c r="M169" t="s">
        <v>808</v>
      </c>
      <c r="N169" s="3">
        <v>825.64</v>
      </c>
      <c r="O169" s="3">
        <v>1108.43</v>
      </c>
      <c r="P169" s="6">
        <v>0.114</v>
      </c>
      <c r="Q169" s="6">
        <f>IF(Table1[[#This Row],[DiscountPct]]&gt;25%,25%,Table1[[#This Row],[DiscountPct]])</f>
        <v>0.114</v>
      </c>
      <c r="R169" s="5">
        <v>7</v>
      </c>
      <c r="S169" s="6">
        <f t="shared" si="26"/>
        <v>0.34251005280751912</v>
      </c>
      <c r="T169" s="8">
        <f t="shared" si="27"/>
        <v>6874.4828600000001</v>
      </c>
      <c r="U169" s="8">
        <f t="shared" si="28"/>
        <v>5779.48</v>
      </c>
      <c r="V169" s="9">
        <f t="shared" si="29"/>
        <v>1095.0028600000005</v>
      </c>
      <c r="W169" s="6">
        <f t="shared" si="30"/>
        <v>0.15928512475773349</v>
      </c>
      <c r="X169" t="str" cm="1">
        <f t="array" ref="X169">_xlfn.IFS(S169&lt;=25%, "Low", S169&lt;=75%, "Medium", S169&gt;75%, "High")</f>
        <v>Medium</v>
      </c>
      <c r="Y169" s="8">
        <f>Table1[[#This Row],[Quantity]]*(Table1[[#This Row],[UnitPrice]]*(1-Table1[[#This Row],[DiscountPct]]))</f>
        <v>6874.4828600000001</v>
      </c>
      <c r="Z169" s="9">
        <f t="shared" si="31"/>
        <v>1095.0028600000005</v>
      </c>
      <c r="AA169">
        <f>COUNTIF($G$2:G170,G169)</f>
        <v>14</v>
      </c>
      <c r="AB169" s="21">
        <f t="shared" si="32"/>
        <v>44988</v>
      </c>
      <c r="AC169" s="21">
        <f t="shared" si="33"/>
        <v>45016</v>
      </c>
      <c r="AD169" s="5">
        <f>(Table1[[#This Row],[OrderDate]]-Table1[[#This Row],[Date of first order]])/30</f>
        <v>6.6333333333333337</v>
      </c>
      <c r="AE169" t="str">
        <f t="shared" si="34"/>
        <v>Poor</v>
      </c>
      <c r="AF169">
        <f>COUNTIF(AE$2:AE170,AE169)</f>
        <v>119</v>
      </c>
      <c r="AG169" t="str">
        <f t="shared" si="35"/>
        <v>False</v>
      </c>
      <c r="AH169" s="7">
        <f>Table1[[#This Row],[UnitPrice]]*(1-Table1[[#This Row],[Disc Scenario]])*Table1[[#This Row],[Quantity]]</f>
        <v>6874.4828600000001</v>
      </c>
      <c r="AI169">
        <f>ROUNDDOWN((Table1[[#This Row],[Quantity]]*(1+20%)),0)</f>
        <v>8</v>
      </c>
      <c r="AJ169" s="7">
        <f>Table1[[#This Row],[Quantity increase by 20%]]*Table1[[#This Row],[UnitPrice]]</f>
        <v>8867.44</v>
      </c>
      <c r="AK169">
        <f>ROUNDDOWN(Table1[[#This Row],[Quantity]]*(1+20%),0)</f>
        <v>8</v>
      </c>
      <c r="AL169" s="7">
        <f>Table1[[#This Row],[UnitCost]]*(1+15%)</f>
        <v>949.48599999999988</v>
      </c>
      <c r="AM169" s="9">
        <f>Table1[[#This Row],[Quantity]]*Table1[[#This Row],[Cost of unit by inflation 15%]]</f>
        <v>6646.4019999999991</v>
      </c>
      <c r="AN169" s="21" cm="1">
        <f t="array" ref="AN169">_xlfn.UNIQUE(AC169)</f>
        <v>45016</v>
      </c>
    </row>
    <row r="170" spans="1:40" x14ac:dyDescent="0.35">
      <c r="A170" t="s">
        <v>253</v>
      </c>
      <c r="B170" s="21">
        <v>45188</v>
      </c>
      <c r="C170" s="10">
        <v>45207</v>
      </c>
      <c r="D170" s="3">
        <f t="shared" si="24"/>
        <v>19</v>
      </c>
      <c r="E170" s="10" t="str">
        <f t="shared" si="25"/>
        <v>Q3-2023</v>
      </c>
      <c r="F170" t="s">
        <v>646</v>
      </c>
      <c r="G170" t="s">
        <v>653</v>
      </c>
      <c r="H170" t="s">
        <v>667</v>
      </c>
      <c r="I170" t="s">
        <v>701</v>
      </c>
      <c r="J170" t="s">
        <v>710</v>
      </c>
      <c r="K170" t="s">
        <v>712</v>
      </c>
      <c r="L170" t="s">
        <v>727</v>
      </c>
      <c r="M170" t="s">
        <v>971</v>
      </c>
      <c r="N170" s="3">
        <v>385.32</v>
      </c>
      <c r="O170" s="3">
        <v>606.76</v>
      </c>
      <c r="P170" s="6">
        <v>8.5999999999999993E-2</v>
      </c>
      <c r="Q170" s="6">
        <f>IF(Table1[[#This Row],[DiscountPct]]&gt;25%,25%,Table1[[#This Row],[DiscountPct]])</f>
        <v>8.5999999999999993E-2</v>
      </c>
      <c r="R170" s="5">
        <v>8</v>
      </c>
      <c r="S170" s="6">
        <f t="shared" si="26"/>
        <v>0.57469116578428314</v>
      </c>
      <c r="T170" s="8">
        <f t="shared" si="27"/>
        <v>4436.6291200000005</v>
      </c>
      <c r="U170" s="8">
        <f t="shared" si="28"/>
        <v>3082.56</v>
      </c>
      <c r="V170" s="9">
        <f t="shared" si="29"/>
        <v>1354.0691200000006</v>
      </c>
      <c r="W170" s="6">
        <f t="shared" si="30"/>
        <v>0.30520223425842735</v>
      </c>
      <c r="X170" t="str" cm="1">
        <f t="array" ref="X170">_xlfn.IFS(S170&lt;=25%, "Low", S170&lt;=75%, "Medium", S170&gt;75%, "High")</f>
        <v>Medium</v>
      </c>
      <c r="Y170" s="8">
        <f>Table1[[#This Row],[Quantity]]*(Table1[[#This Row],[UnitPrice]]*(1-Table1[[#This Row],[DiscountPct]]))</f>
        <v>4436.6291200000005</v>
      </c>
      <c r="Z170" s="9">
        <f t="shared" si="31"/>
        <v>1354.0691200000006</v>
      </c>
      <c r="AA170">
        <f>COUNTIF($G$2:G171,G170)</f>
        <v>15</v>
      </c>
      <c r="AB170" s="21">
        <f t="shared" si="32"/>
        <v>44988</v>
      </c>
      <c r="AC170" s="21">
        <f t="shared" si="33"/>
        <v>45016</v>
      </c>
      <c r="AD170" s="5">
        <f>(Table1[[#This Row],[OrderDate]]-Table1[[#This Row],[Date of first order]])/30</f>
        <v>6.666666666666667</v>
      </c>
      <c r="AE170" t="str">
        <f t="shared" si="34"/>
        <v>Poor</v>
      </c>
      <c r="AF170">
        <f>COUNTIF(AE$2:AE171,AE170)</f>
        <v>120</v>
      </c>
      <c r="AG170" t="str">
        <f t="shared" si="35"/>
        <v>False</v>
      </c>
      <c r="AH170" s="7">
        <f>Table1[[#This Row],[UnitPrice]]*(1-Table1[[#This Row],[Disc Scenario]])*Table1[[#This Row],[Quantity]]</f>
        <v>4436.6291200000005</v>
      </c>
      <c r="AI170">
        <f>ROUNDDOWN((Table1[[#This Row],[Quantity]]*(1+20%)),0)</f>
        <v>9</v>
      </c>
      <c r="AJ170" s="7">
        <f>Table1[[#This Row],[Quantity increase by 20%]]*Table1[[#This Row],[UnitPrice]]</f>
        <v>5460.84</v>
      </c>
      <c r="AK170">
        <f>ROUNDDOWN(Table1[[#This Row],[Quantity]]*(1+20%),0)</f>
        <v>9</v>
      </c>
      <c r="AL170" s="7">
        <f>Table1[[#This Row],[UnitCost]]*(1+15%)</f>
        <v>443.11799999999994</v>
      </c>
      <c r="AM170" s="9">
        <f>Table1[[#This Row],[Quantity]]*Table1[[#This Row],[Cost of unit by inflation 15%]]</f>
        <v>3544.9439999999995</v>
      </c>
      <c r="AN170" s="21" cm="1">
        <f t="array" ref="AN170">_xlfn.UNIQUE(AC170)</f>
        <v>45016</v>
      </c>
    </row>
    <row r="171" spans="1:40" x14ac:dyDescent="0.35">
      <c r="A171" t="s">
        <v>455</v>
      </c>
      <c r="B171" s="21">
        <v>45189</v>
      </c>
      <c r="C171" s="10">
        <v>45197</v>
      </c>
      <c r="D171" s="3">
        <f t="shared" si="24"/>
        <v>8</v>
      </c>
      <c r="E171" s="10" t="str">
        <f t="shared" si="25"/>
        <v>Q3-2023</v>
      </c>
      <c r="F171" t="s">
        <v>646</v>
      </c>
      <c r="G171" t="s">
        <v>653</v>
      </c>
      <c r="H171" t="s">
        <v>667</v>
      </c>
      <c r="I171" t="s">
        <v>700</v>
      </c>
      <c r="J171" t="s">
        <v>706</v>
      </c>
      <c r="K171" t="s">
        <v>716</v>
      </c>
      <c r="L171" t="s">
        <v>732</v>
      </c>
      <c r="M171" t="s">
        <v>1172</v>
      </c>
      <c r="N171" s="3">
        <v>1362.06</v>
      </c>
      <c r="O171" s="3">
        <v>3398.37</v>
      </c>
      <c r="P171" s="6">
        <v>0.157</v>
      </c>
      <c r="Q171" s="6">
        <f>IF(Table1[[#This Row],[DiscountPct]]&gt;25%,25%,Table1[[#This Row],[DiscountPct]])</f>
        <v>0.157</v>
      </c>
      <c r="R171" s="5">
        <v>11</v>
      </c>
      <c r="S171" s="6">
        <f t="shared" si="26"/>
        <v>1.4950222457160478</v>
      </c>
      <c r="T171" s="8">
        <f t="shared" si="27"/>
        <v>31513.085009999999</v>
      </c>
      <c r="U171" s="8">
        <f t="shared" si="28"/>
        <v>14982.66</v>
      </c>
      <c r="V171" s="9">
        <f t="shared" si="29"/>
        <v>16530.425009999999</v>
      </c>
      <c r="W171" s="6">
        <f t="shared" si="30"/>
        <v>0.52455749745714919</v>
      </c>
      <c r="X171" t="str" cm="1">
        <f t="array" ref="X171">_xlfn.IFS(S171&lt;=25%, "Low", S171&lt;=75%, "Medium", S171&gt;75%, "High")</f>
        <v>High</v>
      </c>
      <c r="Y171" s="8">
        <f>Table1[[#This Row],[Quantity]]*(Table1[[#This Row],[UnitPrice]]*(1-Table1[[#This Row],[DiscountPct]]))</f>
        <v>31513.085009999999</v>
      </c>
      <c r="Z171" s="9">
        <f t="shared" si="31"/>
        <v>16530.425009999999</v>
      </c>
      <c r="AA171">
        <f>COUNTIF($G$2:G172,G171)</f>
        <v>15</v>
      </c>
      <c r="AB171" s="21">
        <f t="shared" si="32"/>
        <v>44988</v>
      </c>
      <c r="AC171" s="21">
        <f t="shared" si="33"/>
        <v>45016</v>
      </c>
      <c r="AD171" s="5">
        <f>(Table1[[#This Row],[OrderDate]]-Table1[[#This Row],[Date of first order]])/30</f>
        <v>6.7</v>
      </c>
      <c r="AE171" t="str">
        <f t="shared" si="34"/>
        <v>Poor</v>
      </c>
      <c r="AF171">
        <f>COUNTIF(AE$2:AE172,AE171)</f>
        <v>121</v>
      </c>
      <c r="AG171" t="str">
        <f t="shared" si="35"/>
        <v>False</v>
      </c>
      <c r="AH171" s="7">
        <f>Table1[[#This Row],[UnitPrice]]*(1-Table1[[#This Row],[Disc Scenario]])*Table1[[#This Row],[Quantity]]</f>
        <v>31513.085009999999</v>
      </c>
      <c r="AI171">
        <f>ROUNDDOWN((Table1[[#This Row],[Quantity]]*(1+20%)),0)</f>
        <v>13</v>
      </c>
      <c r="AJ171" s="7">
        <f>Table1[[#This Row],[Quantity increase by 20%]]*Table1[[#This Row],[UnitPrice]]</f>
        <v>44178.81</v>
      </c>
      <c r="AK171">
        <f>ROUNDDOWN(Table1[[#This Row],[Quantity]]*(1+20%),0)</f>
        <v>13</v>
      </c>
      <c r="AL171" s="7">
        <f>Table1[[#This Row],[UnitCost]]*(1+15%)</f>
        <v>1566.3689999999999</v>
      </c>
      <c r="AM171" s="9">
        <f>Table1[[#This Row],[Quantity]]*Table1[[#This Row],[Cost of unit by inflation 15%]]</f>
        <v>17230.058999999997</v>
      </c>
      <c r="AN171" s="21" cm="1">
        <f t="array" ref="AN171">_xlfn.UNIQUE(AC171)</f>
        <v>45016</v>
      </c>
    </row>
    <row r="172" spans="1:40" x14ac:dyDescent="0.35">
      <c r="A172" t="s">
        <v>185</v>
      </c>
      <c r="B172" s="21">
        <v>45190</v>
      </c>
      <c r="C172" s="10">
        <v>45209</v>
      </c>
      <c r="D172" s="3">
        <f t="shared" si="24"/>
        <v>19</v>
      </c>
      <c r="E172" s="10" t="str">
        <f t="shared" si="25"/>
        <v>Q3-2023</v>
      </c>
      <c r="F172" t="s">
        <v>646</v>
      </c>
      <c r="G172" t="s">
        <v>651</v>
      </c>
      <c r="H172" t="s">
        <v>688</v>
      </c>
      <c r="I172" t="s">
        <v>701</v>
      </c>
      <c r="J172" t="s">
        <v>707</v>
      </c>
      <c r="K172" t="s">
        <v>725</v>
      </c>
      <c r="L172" t="s">
        <v>726</v>
      </c>
      <c r="M172" t="s">
        <v>903</v>
      </c>
      <c r="N172" s="3">
        <v>845.63</v>
      </c>
      <c r="O172" s="3">
        <v>2062.12</v>
      </c>
      <c r="P172" s="6">
        <v>0.13400000000000001</v>
      </c>
      <c r="Q172" s="6">
        <f>IF(Table1[[#This Row],[DiscountPct]]&gt;25%,25%,Table1[[#This Row],[DiscountPct]])</f>
        <v>0.13400000000000001</v>
      </c>
      <c r="R172" s="5">
        <v>5</v>
      </c>
      <c r="S172" s="6">
        <f t="shared" si="26"/>
        <v>1.4385605997895059</v>
      </c>
      <c r="T172" s="8">
        <f t="shared" si="27"/>
        <v>8928.9795999999988</v>
      </c>
      <c r="U172" s="8">
        <f t="shared" si="28"/>
        <v>4228.1499999999996</v>
      </c>
      <c r="V172" s="9">
        <f t="shared" si="29"/>
        <v>4700.8295999999991</v>
      </c>
      <c r="W172" s="6">
        <f t="shared" si="30"/>
        <v>0.52646884757133949</v>
      </c>
      <c r="X172" t="str" cm="1">
        <f t="array" ref="X172">_xlfn.IFS(S172&lt;=25%, "Low", S172&lt;=75%, "Medium", S172&gt;75%, "High")</f>
        <v>High</v>
      </c>
      <c r="Y172" s="8">
        <f>Table1[[#This Row],[Quantity]]*(Table1[[#This Row],[UnitPrice]]*(1-Table1[[#This Row],[DiscountPct]]))</f>
        <v>8928.9795999999988</v>
      </c>
      <c r="Z172" s="9">
        <f t="shared" si="31"/>
        <v>4700.8295999999991</v>
      </c>
      <c r="AA172">
        <f>COUNTIF($G$2:G173,G172)</f>
        <v>10</v>
      </c>
      <c r="AB172" s="21">
        <f t="shared" si="32"/>
        <v>44988</v>
      </c>
      <c r="AC172" s="21">
        <f t="shared" si="33"/>
        <v>45016</v>
      </c>
      <c r="AD172" s="5">
        <f>(Table1[[#This Row],[OrderDate]]-Table1[[#This Row],[Date of first order]])/30</f>
        <v>6.7333333333333334</v>
      </c>
      <c r="AE172" t="str">
        <f t="shared" si="34"/>
        <v>Poor</v>
      </c>
      <c r="AF172">
        <f>COUNTIF(AE$2:AE173,AE172)</f>
        <v>122</v>
      </c>
      <c r="AG172" t="str">
        <f t="shared" si="35"/>
        <v>False</v>
      </c>
      <c r="AH172" s="7">
        <f>Table1[[#This Row],[UnitPrice]]*(1-Table1[[#This Row],[Disc Scenario]])*Table1[[#This Row],[Quantity]]</f>
        <v>8928.9795999999988</v>
      </c>
      <c r="AI172">
        <f>ROUNDDOWN((Table1[[#This Row],[Quantity]]*(1+20%)),0)</f>
        <v>6</v>
      </c>
      <c r="AJ172" s="7">
        <f>Table1[[#This Row],[Quantity increase by 20%]]*Table1[[#This Row],[UnitPrice]]</f>
        <v>12372.72</v>
      </c>
      <c r="AK172">
        <f>ROUNDDOWN(Table1[[#This Row],[Quantity]]*(1+20%),0)</f>
        <v>6</v>
      </c>
      <c r="AL172" s="7">
        <f>Table1[[#This Row],[UnitCost]]*(1+15%)</f>
        <v>972.47449999999992</v>
      </c>
      <c r="AM172" s="9">
        <f>Table1[[#This Row],[Quantity]]*Table1[[#This Row],[Cost of unit by inflation 15%]]</f>
        <v>4862.3724999999995</v>
      </c>
      <c r="AN172" s="21" cm="1">
        <f t="array" ref="AN172">_xlfn.UNIQUE(AC172)</f>
        <v>45016</v>
      </c>
    </row>
    <row r="173" spans="1:40" x14ac:dyDescent="0.35">
      <c r="A173" t="s">
        <v>381</v>
      </c>
      <c r="B173" s="21">
        <v>45194</v>
      </c>
      <c r="C173" s="10">
        <v>45208</v>
      </c>
      <c r="D173" s="3">
        <f t="shared" si="24"/>
        <v>14</v>
      </c>
      <c r="E173" s="10" t="str">
        <f t="shared" si="25"/>
        <v>Q3-2023</v>
      </c>
      <c r="F173" t="s">
        <v>647</v>
      </c>
      <c r="G173" t="s">
        <v>659</v>
      </c>
      <c r="H173" t="s">
        <v>699</v>
      </c>
      <c r="I173" t="s">
        <v>704</v>
      </c>
      <c r="J173" t="s">
        <v>708</v>
      </c>
      <c r="K173" t="s">
        <v>712</v>
      </c>
      <c r="L173" t="s">
        <v>730</v>
      </c>
      <c r="M173" t="s">
        <v>1099</v>
      </c>
      <c r="N173" s="3">
        <v>1279.56</v>
      </c>
      <c r="O173" s="3">
        <v>3083.8</v>
      </c>
      <c r="P173" s="6">
        <v>0.106</v>
      </c>
      <c r="Q173" s="6">
        <f>IF(Table1[[#This Row],[DiscountPct]]&gt;25%,25%,Table1[[#This Row],[DiscountPct]])</f>
        <v>0.106</v>
      </c>
      <c r="R173" s="5">
        <v>5</v>
      </c>
      <c r="S173" s="6">
        <f t="shared" si="26"/>
        <v>1.4100472037262812</v>
      </c>
      <c r="T173" s="8">
        <f t="shared" si="27"/>
        <v>13784.586000000001</v>
      </c>
      <c r="U173" s="8">
        <f t="shared" si="28"/>
        <v>6397.7999999999993</v>
      </c>
      <c r="V173" s="9">
        <f t="shared" si="29"/>
        <v>7386.7860000000019</v>
      </c>
      <c r="W173" s="6">
        <f t="shared" si="30"/>
        <v>0.53587289455047848</v>
      </c>
      <c r="X173" t="str" cm="1">
        <f t="array" ref="X173">_xlfn.IFS(S173&lt;=25%, "Low", S173&lt;=75%, "Medium", S173&gt;75%, "High")</f>
        <v>High</v>
      </c>
      <c r="Y173" s="8">
        <f>Table1[[#This Row],[Quantity]]*(Table1[[#This Row],[UnitPrice]]*(1-Table1[[#This Row],[DiscountPct]]))</f>
        <v>13784.586000000001</v>
      </c>
      <c r="Z173" s="9">
        <f t="shared" si="31"/>
        <v>7386.7860000000019</v>
      </c>
      <c r="AA173">
        <f>COUNTIF($G$2:G174,G173)</f>
        <v>17</v>
      </c>
      <c r="AB173" s="21">
        <f t="shared" si="32"/>
        <v>44988</v>
      </c>
      <c r="AC173" s="21">
        <f t="shared" si="33"/>
        <v>45016</v>
      </c>
      <c r="AD173" s="5">
        <f>(Table1[[#This Row],[OrderDate]]-Table1[[#This Row],[Date of first order]])/30</f>
        <v>6.8666666666666663</v>
      </c>
      <c r="AE173" t="str">
        <f t="shared" si="34"/>
        <v>Poor</v>
      </c>
      <c r="AF173">
        <f>COUNTIF(AE$2:AE174,AE173)</f>
        <v>122</v>
      </c>
      <c r="AG173" t="str">
        <f t="shared" si="35"/>
        <v>False</v>
      </c>
      <c r="AH173" s="7">
        <f>Table1[[#This Row],[UnitPrice]]*(1-Table1[[#This Row],[Disc Scenario]])*Table1[[#This Row],[Quantity]]</f>
        <v>13784.586000000001</v>
      </c>
      <c r="AI173">
        <f>ROUNDDOWN((Table1[[#This Row],[Quantity]]*(1+20%)),0)</f>
        <v>6</v>
      </c>
      <c r="AJ173" s="7">
        <f>Table1[[#This Row],[Quantity increase by 20%]]*Table1[[#This Row],[UnitPrice]]</f>
        <v>18502.800000000003</v>
      </c>
      <c r="AK173">
        <f>ROUNDDOWN(Table1[[#This Row],[Quantity]]*(1+20%),0)</f>
        <v>6</v>
      </c>
      <c r="AL173" s="7">
        <f>Table1[[#This Row],[UnitCost]]*(1+15%)</f>
        <v>1471.4939999999999</v>
      </c>
      <c r="AM173" s="9">
        <f>Table1[[#This Row],[Quantity]]*Table1[[#This Row],[Cost of unit by inflation 15%]]</f>
        <v>7357.4699999999993</v>
      </c>
      <c r="AN173" s="21" cm="1">
        <f t="array" ref="AN173">_xlfn.UNIQUE(AC173)</f>
        <v>45016</v>
      </c>
    </row>
    <row r="174" spans="1:40" x14ac:dyDescent="0.35">
      <c r="A174" t="s">
        <v>234</v>
      </c>
      <c r="B174" s="21">
        <v>45194</v>
      </c>
      <c r="C174" s="10">
        <v>45201</v>
      </c>
      <c r="D174" s="3">
        <f t="shared" si="24"/>
        <v>7</v>
      </c>
      <c r="E174" s="10" t="str">
        <f t="shared" si="25"/>
        <v>Q3-2023</v>
      </c>
      <c r="F174" t="s">
        <v>647</v>
      </c>
      <c r="G174" t="s">
        <v>659</v>
      </c>
      <c r="H174" t="s">
        <v>699</v>
      </c>
      <c r="I174" t="s">
        <v>701</v>
      </c>
      <c r="J174" t="s">
        <v>708</v>
      </c>
      <c r="K174" t="s">
        <v>713</v>
      </c>
      <c r="L174" t="s">
        <v>732</v>
      </c>
      <c r="M174" t="s">
        <v>952</v>
      </c>
      <c r="N174" s="3">
        <v>145.58000000000001</v>
      </c>
      <c r="O174" s="3">
        <v>228.15</v>
      </c>
      <c r="P174" s="6">
        <v>0.20399999999999999</v>
      </c>
      <c r="Q174" s="6">
        <f>IF(Table1[[#This Row],[DiscountPct]]&gt;25%,25%,Table1[[#This Row],[DiscountPct]])</f>
        <v>0.20399999999999999</v>
      </c>
      <c r="R174" s="5">
        <v>5</v>
      </c>
      <c r="S174" s="6">
        <f t="shared" si="26"/>
        <v>0.56717955763154271</v>
      </c>
      <c r="T174" s="8">
        <f t="shared" si="27"/>
        <v>908.03700000000003</v>
      </c>
      <c r="U174" s="8">
        <f t="shared" si="28"/>
        <v>727.90000000000009</v>
      </c>
      <c r="V174" s="9">
        <f t="shared" si="29"/>
        <v>180.13699999999994</v>
      </c>
      <c r="W174" s="6">
        <f t="shared" si="30"/>
        <v>0.19838068272548359</v>
      </c>
      <c r="X174" t="str" cm="1">
        <f t="array" ref="X174">_xlfn.IFS(S174&lt;=25%, "Low", S174&lt;=75%, "Medium", S174&gt;75%, "High")</f>
        <v>Medium</v>
      </c>
      <c r="Y174" s="8">
        <f>Table1[[#This Row],[Quantity]]*(Table1[[#This Row],[UnitPrice]]*(1-Table1[[#This Row],[DiscountPct]]))</f>
        <v>908.03700000000003</v>
      </c>
      <c r="Z174" s="9">
        <f t="shared" si="31"/>
        <v>180.13699999999994</v>
      </c>
      <c r="AA174">
        <f>COUNTIF($G$2:G175,G174)</f>
        <v>17</v>
      </c>
      <c r="AB174" s="21">
        <f t="shared" si="32"/>
        <v>44988</v>
      </c>
      <c r="AC174" s="21">
        <f t="shared" si="33"/>
        <v>45016</v>
      </c>
      <c r="AD174" s="5">
        <f>(Table1[[#This Row],[OrderDate]]-Table1[[#This Row],[Date of first order]])/30</f>
        <v>6.8666666666666663</v>
      </c>
      <c r="AE174" t="str">
        <f t="shared" si="34"/>
        <v>Good</v>
      </c>
      <c r="AF174">
        <f>COUNTIF(AE$2:AE175,AE174)</f>
        <v>52</v>
      </c>
      <c r="AG174" t="str">
        <f t="shared" si="35"/>
        <v>True</v>
      </c>
      <c r="AH174" s="7">
        <f>Table1[[#This Row],[UnitPrice]]*(1-Table1[[#This Row],[Disc Scenario]])*Table1[[#This Row],[Quantity]]</f>
        <v>908.03700000000003</v>
      </c>
      <c r="AI174">
        <f>ROUNDDOWN((Table1[[#This Row],[Quantity]]*(1+20%)),0)</f>
        <v>6</v>
      </c>
      <c r="AJ174" s="7">
        <f>Table1[[#This Row],[Quantity increase by 20%]]*Table1[[#This Row],[UnitPrice]]</f>
        <v>1368.9</v>
      </c>
      <c r="AK174">
        <f>ROUNDDOWN(Table1[[#This Row],[Quantity]]*(1+20%),0)</f>
        <v>6</v>
      </c>
      <c r="AL174" s="7">
        <f>Table1[[#This Row],[UnitCost]]*(1+15%)</f>
        <v>167.417</v>
      </c>
      <c r="AM174" s="9">
        <f>Table1[[#This Row],[Quantity]]*Table1[[#This Row],[Cost of unit by inflation 15%]]</f>
        <v>837.08500000000004</v>
      </c>
      <c r="AN174" s="21" cm="1">
        <f t="array" ref="AN174">_xlfn.UNIQUE(AC174)</f>
        <v>45016</v>
      </c>
    </row>
    <row r="175" spans="1:40" x14ac:dyDescent="0.35">
      <c r="A175" t="s">
        <v>401</v>
      </c>
      <c r="B175" s="21">
        <v>45199</v>
      </c>
      <c r="C175" s="10">
        <v>45202</v>
      </c>
      <c r="D175" s="3">
        <f t="shared" si="24"/>
        <v>3</v>
      </c>
      <c r="E175" s="10" t="str">
        <f t="shared" si="25"/>
        <v>Q3-2023</v>
      </c>
      <c r="F175" t="s">
        <v>646</v>
      </c>
      <c r="G175" t="s">
        <v>658</v>
      </c>
      <c r="H175" t="s">
        <v>698</v>
      </c>
      <c r="I175" t="s">
        <v>702</v>
      </c>
      <c r="J175" t="s">
        <v>706</v>
      </c>
      <c r="K175" t="s">
        <v>712</v>
      </c>
      <c r="L175" t="s">
        <v>730</v>
      </c>
      <c r="M175" t="s">
        <v>1118</v>
      </c>
      <c r="N175" s="3">
        <v>1019.36</v>
      </c>
      <c r="O175" s="3">
        <v>1763.4928</v>
      </c>
      <c r="P175" s="6">
        <v>0.14699999999999999</v>
      </c>
      <c r="Q175" s="6">
        <f>IF(Table1[[#This Row],[DiscountPct]]&gt;25%,25%,Table1[[#This Row],[DiscountPct]])</f>
        <v>0.14699999999999999</v>
      </c>
      <c r="R175" s="5">
        <v>17</v>
      </c>
      <c r="S175" s="6">
        <f t="shared" si="26"/>
        <v>0.73</v>
      </c>
      <c r="T175" s="8">
        <f t="shared" si="27"/>
        <v>25572.409092800001</v>
      </c>
      <c r="U175" s="8">
        <f t="shared" si="28"/>
        <v>17329.12</v>
      </c>
      <c r="V175" s="9">
        <f t="shared" si="29"/>
        <v>8243.2890928000015</v>
      </c>
      <c r="W175" s="6">
        <f t="shared" si="30"/>
        <v>0.32235090025682905</v>
      </c>
      <c r="X175" t="str" cm="1">
        <f t="array" ref="X175">_xlfn.IFS(S175&lt;=25%, "Low", S175&lt;=75%, "Medium", S175&gt;75%, "High")</f>
        <v>Medium</v>
      </c>
      <c r="Y175" s="8">
        <f>Table1[[#This Row],[Quantity]]*(Table1[[#This Row],[UnitPrice]]*(1-Table1[[#This Row],[DiscountPct]]))</f>
        <v>25572.409092799997</v>
      </c>
      <c r="Z175" s="9">
        <f t="shared" si="31"/>
        <v>8243.2890927999979</v>
      </c>
      <c r="AA175">
        <f>COUNTIF($G$2:G176,G175)</f>
        <v>14</v>
      </c>
      <c r="AB175" s="21">
        <f t="shared" si="32"/>
        <v>44988</v>
      </c>
      <c r="AC175" s="21">
        <f t="shared" si="33"/>
        <v>45016</v>
      </c>
      <c r="AD175" s="5">
        <f>(Table1[[#This Row],[OrderDate]]-Table1[[#This Row],[Date of first order]])/30</f>
        <v>7.0333333333333332</v>
      </c>
      <c r="AE175" t="str">
        <f t="shared" si="34"/>
        <v>Good</v>
      </c>
      <c r="AF175">
        <f>COUNTIF(AE$2:AE176,AE175)</f>
        <v>52</v>
      </c>
      <c r="AG175" t="str">
        <f t="shared" si="35"/>
        <v>False</v>
      </c>
      <c r="AH175" s="7">
        <f>Table1[[#This Row],[UnitPrice]]*(1-Table1[[#This Row],[Disc Scenario]])*Table1[[#This Row],[Quantity]]</f>
        <v>25572.409092799997</v>
      </c>
      <c r="AI175">
        <f>ROUNDDOWN((Table1[[#This Row],[Quantity]]*(1+20%)),0)</f>
        <v>20</v>
      </c>
      <c r="AJ175" s="7">
        <f>Table1[[#This Row],[Quantity increase by 20%]]*Table1[[#This Row],[UnitPrice]]</f>
        <v>35269.856</v>
      </c>
      <c r="AK175">
        <f>ROUNDDOWN(Table1[[#This Row],[Quantity]]*(1+20%),0)</f>
        <v>20</v>
      </c>
      <c r="AL175" s="7">
        <f>Table1[[#This Row],[UnitCost]]*(1+15%)</f>
        <v>1172.2639999999999</v>
      </c>
      <c r="AM175" s="9">
        <f>Table1[[#This Row],[Quantity]]*Table1[[#This Row],[Cost of unit by inflation 15%]]</f>
        <v>19928.487999999998</v>
      </c>
      <c r="AN175" s="21" cm="1">
        <f t="array" ref="AN175">_xlfn.UNIQUE(AC175)</f>
        <v>45016</v>
      </c>
    </row>
    <row r="176" spans="1:40" x14ac:dyDescent="0.35">
      <c r="A176" t="s">
        <v>529</v>
      </c>
      <c r="B176" s="21">
        <v>45199</v>
      </c>
      <c r="C176" s="10">
        <v>45229</v>
      </c>
      <c r="D176" s="3">
        <f t="shared" si="24"/>
        <v>30</v>
      </c>
      <c r="E176" s="10" t="str">
        <f t="shared" si="25"/>
        <v>Q3-2023</v>
      </c>
      <c r="F176" t="s">
        <v>646</v>
      </c>
      <c r="G176" t="s">
        <v>651</v>
      </c>
      <c r="H176" t="s">
        <v>688</v>
      </c>
      <c r="I176" t="s">
        <v>705</v>
      </c>
      <c r="J176" t="s">
        <v>707</v>
      </c>
      <c r="K176" t="s">
        <v>725</v>
      </c>
      <c r="L176" t="s">
        <v>727</v>
      </c>
      <c r="M176" t="s">
        <v>1246</v>
      </c>
      <c r="N176" s="3">
        <v>649.13</v>
      </c>
      <c r="O176" s="3">
        <v>975.43</v>
      </c>
      <c r="P176" s="6">
        <v>0.157</v>
      </c>
      <c r="Q176" s="6">
        <f>IF(Table1[[#This Row],[DiscountPct]]&gt;25%,25%,Table1[[#This Row],[DiscountPct]])</f>
        <v>0.157</v>
      </c>
      <c r="R176" s="5">
        <v>27</v>
      </c>
      <c r="S176" s="6">
        <f t="shared" si="26"/>
        <v>0.50267280822023319</v>
      </c>
      <c r="T176" s="8">
        <f t="shared" si="27"/>
        <v>22201.762229999997</v>
      </c>
      <c r="U176" s="8">
        <f t="shared" si="28"/>
        <v>17526.509999999998</v>
      </c>
      <c r="V176" s="9">
        <f t="shared" si="29"/>
        <v>4675.2522299999982</v>
      </c>
      <c r="W176" s="6">
        <f t="shared" si="30"/>
        <v>0.21058023149543473</v>
      </c>
      <c r="X176" t="str" cm="1">
        <f t="array" ref="X176">_xlfn.IFS(S176&lt;=25%, "Low", S176&lt;=75%, "Medium", S176&gt;75%, "High")</f>
        <v>Medium</v>
      </c>
      <c r="Y176" s="8">
        <f>Table1[[#This Row],[Quantity]]*(Table1[[#This Row],[UnitPrice]]*(1-Table1[[#This Row],[DiscountPct]]))</f>
        <v>22201.762229999997</v>
      </c>
      <c r="Z176" s="9">
        <f t="shared" si="31"/>
        <v>4675.2522299999982</v>
      </c>
      <c r="AA176">
        <f>COUNTIF($G$2:G177,G176)</f>
        <v>11</v>
      </c>
      <c r="AB176" s="21">
        <f t="shared" si="32"/>
        <v>44988</v>
      </c>
      <c r="AC176" s="21">
        <f t="shared" si="33"/>
        <v>45016</v>
      </c>
      <c r="AD176" s="5">
        <f>(Table1[[#This Row],[OrderDate]]-Table1[[#This Row],[Date of first order]])/30</f>
        <v>7.0333333333333332</v>
      </c>
      <c r="AE176" t="str">
        <f t="shared" si="34"/>
        <v>Poor</v>
      </c>
      <c r="AF176">
        <f>COUNTIF(AE$2:AE177,AE176)</f>
        <v>124</v>
      </c>
      <c r="AG176" t="str">
        <f t="shared" si="35"/>
        <v>False</v>
      </c>
      <c r="AH176" s="7">
        <f>Table1[[#This Row],[UnitPrice]]*(1-Table1[[#This Row],[Disc Scenario]])*Table1[[#This Row],[Quantity]]</f>
        <v>22201.762229999997</v>
      </c>
      <c r="AI176">
        <f>ROUNDDOWN((Table1[[#This Row],[Quantity]]*(1+20%)),0)</f>
        <v>32</v>
      </c>
      <c r="AJ176" s="7">
        <f>Table1[[#This Row],[Quantity increase by 20%]]*Table1[[#This Row],[UnitPrice]]</f>
        <v>31213.759999999998</v>
      </c>
      <c r="AK176">
        <f>ROUNDDOWN(Table1[[#This Row],[Quantity]]*(1+20%),0)</f>
        <v>32</v>
      </c>
      <c r="AL176" s="7">
        <f>Table1[[#This Row],[UnitCost]]*(1+15%)</f>
        <v>746.4994999999999</v>
      </c>
      <c r="AM176" s="9">
        <f>Table1[[#This Row],[Quantity]]*Table1[[#This Row],[Cost of unit by inflation 15%]]</f>
        <v>20155.486499999999</v>
      </c>
      <c r="AN176" s="21" cm="1">
        <f t="array" ref="AN176">_xlfn.UNIQUE(AC176)</f>
        <v>45016</v>
      </c>
    </row>
    <row r="177" spans="1:40" x14ac:dyDescent="0.35">
      <c r="A177" t="s">
        <v>240</v>
      </c>
      <c r="B177" s="21">
        <v>45203</v>
      </c>
      <c r="C177" s="10">
        <v>45228</v>
      </c>
      <c r="D177" s="3">
        <f t="shared" si="24"/>
        <v>25</v>
      </c>
      <c r="E177" s="10" t="str">
        <f t="shared" si="25"/>
        <v>Q4-2023</v>
      </c>
      <c r="F177" t="s">
        <v>647</v>
      </c>
      <c r="G177" t="s">
        <v>659</v>
      </c>
      <c r="H177" t="s">
        <v>685</v>
      </c>
      <c r="I177" t="s">
        <v>704</v>
      </c>
      <c r="J177" t="s">
        <v>709</v>
      </c>
      <c r="K177" t="s">
        <v>718</v>
      </c>
      <c r="L177" t="s">
        <v>732</v>
      </c>
      <c r="M177" t="s">
        <v>958</v>
      </c>
      <c r="N177" s="3">
        <v>1239.8399999999999</v>
      </c>
      <c r="O177" s="3">
        <v>1482.75</v>
      </c>
      <c r="P177" s="6">
        <v>6.7000000000000004E-2</v>
      </c>
      <c r="Q177" s="6">
        <f>IF(Table1[[#This Row],[DiscountPct]]&gt;25%,25%,Table1[[#This Row],[DiscountPct]])</f>
        <v>6.7000000000000004E-2</v>
      </c>
      <c r="R177" s="5">
        <v>4</v>
      </c>
      <c r="S177" s="6">
        <f t="shared" si="26"/>
        <v>0.19592044134727069</v>
      </c>
      <c r="T177" s="8">
        <f t="shared" si="27"/>
        <v>5533.6230000000005</v>
      </c>
      <c r="U177" s="8">
        <f t="shared" si="28"/>
        <v>4959.3599999999997</v>
      </c>
      <c r="V177" s="9">
        <f t="shared" si="29"/>
        <v>574.26300000000083</v>
      </c>
      <c r="W177" s="6">
        <f t="shared" si="30"/>
        <v>0.10377703721413634</v>
      </c>
      <c r="X177" t="str" cm="1">
        <f t="array" ref="X177">_xlfn.IFS(S177&lt;=25%, "Low", S177&lt;=75%, "Medium", S177&gt;75%, "High")</f>
        <v>Low</v>
      </c>
      <c r="Y177" s="8">
        <f>Table1[[#This Row],[Quantity]]*(Table1[[#This Row],[UnitPrice]]*(1-Table1[[#This Row],[DiscountPct]]))</f>
        <v>5533.6230000000005</v>
      </c>
      <c r="Z177" s="9">
        <f t="shared" si="31"/>
        <v>574.26300000000083</v>
      </c>
      <c r="AA177">
        <f>COUNTIF($G$2:G178,G177)</f>
        <v>18</v>
      </c>
      <c r="AB177" s="21">
        <f t="shared" si="32"/>
        <v>44988</v>
      </c>
      <c r="AC177" s="21">
        <f t="shared" si="33"/>
        <v>45016</v>
      </c>
      <c r="AD177" s="5">
        <f>(Table1[[#This Row],[OrderDate]]-Table1[[#This Row],[Date of first order]])/30</f>
        <v>7.166666666666667</v>
      </c>
      <c r="AE177" t="str">
        <f t="shared" si="34"/>
        <v>Poor</v>
      </c>
      <c r="AF177">
        <f>COUNTIF(AE$2:AE178,AE177)</f>
        <v>124</v>
      </c>
      <c r="AG177" t="str">
        <f t="shared" si="35"/>
        <v>False</v>
      </c>
      <c r="AH177" s="7">
        <f>Table1[[#This Row],[UnitPrice]]*(1-Table1[[#This Row],[Disc Scenario]])*Table1[[#This Row],[Quantity]]</f>
        <v>5533.6230000000005</v>
      </c>
      <c r="AI177">
        <f>ROUNDDOWN((Table1[[#This Row],[Quantity]]*(1+20%)),0)</f>
        <v>4</v>
      </c>
      <c r="AJ177" s="7">
        <f>Table1[[#This Row],[Quantity increase by 20%]]*Table1[[#This Row],[UnitPrice]]</f>
        <v>5931</v>
      </c>
      <c r="AK177">
        <f>ROUNDDOWN(Table1[[#This Row],[Quantity]]*(1+20%),0)</f>
        <v>4</v>
      </c>
      <c r="AL177" s="7">
        <f>Table1[[#This Row],[UnitCost]]*(1+15%)</f>
        <v>1425.8159999999998</v>
      </c>
      <c r="AM177" s="9">
        <f>Table1[[#This Row],[Quantity]]*Table1[[#This Row],[Cost of unit by inflation 15%]]</f>
        <v>5703.2639999999992</v>
      </c>
      <c r="AN177" s="21" cm="1">
        <f t="array" ref="AN177">_xlfn.UNIQUE(AC177)</f>
        <v>45016</v>
      </c>
    </row>
    <row r="178" spans="1:40" x14ac:dyDescent="0.35">
      <c r="A178" t="s">
        <v>269</v>
      </c>
      <c r="B178" s="21">
        <v>45204</v>
      </c>
      <c r="C178" s="10">
        <v>45205</v>
      </c>
      <c r="D178" s="3">
        <f t="shared" si="24"/>
        <v>1</v>
      </c>
      <c r="E178" s="10" t="str">
        <f t="shared" si="25"/>
        <v>Q4-2023</v>
      </c>
      <c r="F178" t="s">
        <v>646</v>
      </c>
      <c r="G178" t="s">
        <v>653</v>
      </c>
      <c r="H178" t="s">
        <v>667</v>
      </c>
      <c r="I178" t="s">
        <v>702</v>
      </c>
      <c r="J178" t="s">
        <v>707</v>
      </c>
      <c r="K178" t="s">
        <v>713</v>
      </c>
      <c r="L178" t="s">
        <v>726</v>
      </c>
      <c r="M178" t="s">
        <v>987</v>
      </c>
      <c r="N178" s="3">
        <v>1470.26</v>
      </c>
      <c r="O178" s="3">
        <v>2562.5500000000002</v>
      </c>
      <c r="P178" s="6">
        <v>0.17299999999999999</v>
      </c>
      <c r="Q178" s="6">
        <f>IF(Table1[[#This Row],[DiscountPct]]&gt;25%,25%,Table1[[#This Row],[DiscountPct]])</f>
        <v>0.17299999999999999</v>
      </c>
      <c r="R178" s="5">
        <v>9</v>
      </c>
      <c r="S178" s="6">
        <f t="shared" si="26"/>
        <v>0.7429230204181575</v>
      </c>
      <c r="T178" s="8">
        <f t="shared" si="27"/>
        <v>19073.059649999999</v>
      </c>
      <c r="U178" s="8">
        <f t="shared" si="28"/>
        <v>13232.34</v>
      </c>
      <c r="V178" s="9">
        <f t="shared" si="29"/>
        <v>5840.7196499999991</v>
      </c>
      <c r="W178" s="6">
        <f t="shared" si="30"/>
        <v>0.30622877279157462</v>
      </c>
      <c r="X178" t="str" cm="1">
        <f t="array" ref="X178">_xlfn.IFS(S178&lt;=25%, "Low", S178&lt;=75%, "Medium", S178&gt;75%, "High")</f>
        <v>Medium</v>
      </c>
      <c r="Y178" s="8">
        <f>Table1[[#This Row],[Quantity]]*(Table1[[#This Row],[UnitPrice]]*(1-Table1[[#This Row],[DiscountPct]]))</f>
        <v>19073.059649999999</v>
      </c>
      <c r="Z178" s="9">
        <f t="shared" si="31"/>
        <v>5840.7196499999991</v>
      </c>
      <c r="AA178">
        <f>COUNTIF($G$2:G179,G178)</f>
        <v>16</v>
      </c>
      <c r="AB178" s="21">
        <f t="shared" si="32"/>
        <v>44988</v>
      </c>
      <c r="AC178" s="21">
        <f t="shared" si="33"/>
        <v>45016</v>
      </c>
      <c r="AD178" s="5">
        <f>(Table1[[#This Row],[OrderDate]]-Table1[[#This Row],[Date of first order]])/30</f>
        <v>7.2</v>
      </c>
      <c r="AE178" t="str">
        <f t="shared" si="34"/>
        <v>Good</v>
      </c>
      <c r="AF178">
        <f>COUNTIF(AE$2:AE179,AE178)</f>
        <v>53</v>
      </c>
      <c r="AG178" t="str">
        <f t="shared" si="35"/>
        <v>False</v>
      </c>
      <c r="AH178" s="7">
        <f>Table1[[#This Row],[UnitPrice]]*(1-Table1[[#This Row],[Disc Scenario]])*Table1[[#This Row],[Quantity]]</f>
        <v>19073.059649999999</v>
      </c>
      <c r="AI178">
        <f>ROUNDDOWN((Table1[[#This Row],[Quantity]]*(1+20%)),0)</f>
        <v>10</v>
      </c>
      <c r="AJ178" s="7">
        <f>Table1[[#This Row],[Quantity increase by 20%]]*Table1[[#This Row],[UnitPrice]]</f>
        <v>25625.5</v>
      </c>
      <c r="AK178">
        <f>ROUNDDOWN(Table1[[#This Row],[Quantity]]*(1+20%),0)</f>
        <v>10</v>
      </c>
      <c r="AL178" s="7">
        <f>Table1[[#This Row],[UnitCost]]*(1+15%)</f>
        <v>1690.7989999999998</v>
      </c>
      <c r="AM178" s="9">
        <f>Table1[[#This Row],[Quantity]]*Table1[[#This Row],[Cost of unit by inflation 15%]]</f>
        <v>15217.190999999997</v>
      </c>
      <c r="AN178" s="21" cm="1">
        <f t="array" ref="AN178">_xlfn.UNIQUE(AC178)</f>
        <v>45016</v>
      </c>
    </row>
    <row r="179" spans="1:40" x14ac:dyDescent="0.35">
      <c r="A179" t="s">
        <v>314</v>
      </c>
      <c r="B179" s="21">
        <v>45204</v>
      </c>
      <c r="C179" s="10">
        <v>45230</v>
      </c>
      <c r="D179" s="3">
        <f t="shared" si="24"/>
        <v>26</v>
      </c>
      <c r="E179" s="10" t="str">
        <f t="shared" si="25"/>
        <v>Q4-2023</v>
      </c>
      <c r="F179" t="s">
        <v>646</v>
      </c>
      <c r="G179" t="s">
        <v>658</v>
      </c>
      <c r="H179" t="s">
        <v>684</v>
      </c>
      <c r="I179" t="s">
        <v>703</v>
      </c>
      <c r="J179" t="s">
        <v>708</v>
      </c>
      <c r="K179" t="s">
        <v>712</v>
      </c>
      <c r="L179" t="s">
        <v>727</v>
      </c>
      <c r="M179" t="s">
        <v>1032</v>
      </c>
      <c r="N179" s="3">
        <v>649.91</v>
      </c>
      <c r="O179" s="3">
        <v>1360.12</v>
      </c>
      <c r="P179" s="6">
        <v>0.19400000000000001</v>
      </c>
      <c r="Q179" s="6">
        <f>IF(Table1[[#This Row],[DiscountPct]]&gt;25%,25%,Table1[[#This Row],[DiscountPct]])</f>
        <v>0.19400000000000001</v>
      </c>
      <c r="R179" s="5">
        <v>9</v>
      </c>
      <c r="S179" s="6">
        <f t="shared" si="26"/>
        <v>1.0927820775184256</v>
      </c>
      <c r="T179" s="8">
        <f t="shared" si="27"/>
        <v>9866.3104799999983</v>
      </c>
      <c r="U179" s="8">
        <f t="shared" si="28"/>
        <v>5849.19</v>
      </c>
      <c r="V179" s="9">
        <f t="shared" si="29"/>
        <v>4017.1204799999987</v>
      </c>
      <c r="W179" s="6">
        <f t="shared" si="30"/>
        <v>0.40715528749506769</v>
      </c>
      <c r="X179" t="str" cm="1">
        <f t="array" ref="X179">_xlfn.IFS(S179&lt;=25%, "Low", S179&lt;=75%, "Medium", S179&gt;75%, "High")</f>
        <v>High</v>
      </c>
      <c r="Y179" s="8">
        <f>Table1[[#This Row],[Quantity]]*(Table1[[#This Row],[UnitPrice]]*(1-Table1[[#This Row],[DiscountPct]]))</f>
        <v>9866.3104800000001</v>
      </c>
      <c r="Z179" s="9">
        <f t="shared" si="31"/>
        <v>4017.1204800000005</v>
      </c>
      <c r="AA179">
        <f>COUNTIF($G$2:G180,G179)</f>
        <v>15</v>
      </c>
      <c r="AB179" s="21">
        <f t="shared" si="32"/>
        <v>44988</v>
      </c>
      <c r="AC179" s="21">
        <f t="shared" si="33"/>
        <v>45016</v>
      </c>
      <c r="AD179" s="5">
        <f>(Table1[[#This Row],[OrderDate]]-Table1[[#This Row],[Date of first order]])/30</f>
        <v>7.2</v>
      </c>
      <c r="AE179" t="str">
        <f t="shared" si="34"/>
        <v>Poor</v>
      </c>
      <c r="AF179">
        <f>COUNTIF(AE$2:AE180,AE179)</f>
        <v>126</v>
      </c>
      <c r="AG179" t="str">
        <f t="shared" si="35"/>
        <v>False</v>
      </c>
      <c r="AH179" s="7">
        <f>Table1[[#This Row],[UnitPrice]]*(1-Table1[[#This Row],[Disc Scenario]])*Table1[[#This Row],[Quantity]]</f>
        <v>9866.3104800000001</v>
      </c>
      <c r="AI179">
        <f>ROUNDDOWN((Table1[[#This Row],[Quantity]]*(1+20%)),0)</f>
        <v>10</v>
      </c>
      <c r="AJ179" s="7">
        <f>Table1[[#This Row],[Quantity increase by 20%]]*Table1[[#This Row],[UnitPrice]]</f>
        <v>13601.199999999999</v>
      </c>
      <c r="AK179">
        <f>ROUNDDOWN(Table1[[#This Row],[Quantity]]*(1+20%),0)</f>
        <v>10</v>
      </c>
      <c r="AL179" s="7">
        <f>Table1[[#This Row],[UnitCost]]*(1+15%)</f>
        <v>747.39649999999995</v>
      </c>
      <c r="AM179" s="9">
        <f>Table1[[#This Row],[Quantity]]*Table1[[#This Row],[Cost of unit by inflation 15%]]</f>
        <v>6726.5684999999994</v>
      </c>
      <c r="AN179" s="21" cm="1">
        <f t="array" ref="AN179">_xlfn.UNIQUE(AC179)</f>
        <v>45016</v>
      </c>
    </row>
    <row r="180" spans="1:40" x14ac:dyDescent="0.35">
      <c r="A180" t="s">
        <v>182</v>
      </c>
      <c r="B180" s="21">
        <v>45206</v>
      </c>
      <c r="C180" s="10">
        <v>45222</v>
      </c>
      <c r="D180" s="3">
        <f t="shared" si="24"/>
        <v>16</v>
      </c>
      <c r="E180" s="10" t="str">
        <f t="shared" si="25"/>
        <v>Q4-2023</v>
      </c>
      <c r="F180" t="s">
        <v>646</v>
      </c>
      <c r="G180" t="s">
        <v>653</v>
      </c>
      <c r="H180" t="s">
        <v>695</v>
      </c>
      <c r="I180" t="s">
        <v>703</v>
      </c>
      <c r="J180" t="s">
        <v>706</v>
      </c>
      <c r="K180" t="s">
        <v>714</v>
      </c>
      <c r="L180" t="s">
        <v>731</v>
      </c>
      <c r="M180" t="s">
        <v>900</v>
      </c>
      <c r="N180" s="3">
        <v>906.81</v>
      </c>
      <c r="O180" s="3">
        <v>1395.56</v>
      </c>
      <c r="P180" s="6">
        <v>0.185</v>
      </c>
      <c r="Q180" s="6">
        <f>IF(Table1[[#This Row],[DiscountPct]]&gt;25%,25%,Table1[[#This Row],[DiscountPct]])</f>
        <v>0.185</v>
      </c>
      <c r="R180" s="5">
        <v>6</v>
      </c>
      <c r="S180" s="6">
        <f t="shared" si="26"/>
        <v>0.53897729403072314</v>
      </c>
      <c r="T180" s="8">
        <f t="shared" si="27"/>
        <v>6824.2884000000004</v>
      </c>
      <c r="U180" s="8">
        <f t="shared" si="28"/>
        <v>5440.86</v>
      </c>
      <c r="V180" s="9">
        <f t="shared" si="29"/>
        <v>1383.4284000000007</v>
      </c>
      <c r="W180" s="6">
        <f t="shared" si="30"/>
        <v>0.20272126834498974</v>
      </c>
      <c r="X180" t="str" cm="1">
        <f t="array" ref="X180">_xlfn.IFS(S180&lt;=25%, "Low", S180&lt;=75%, "Medium", S180&gt;75%, "High")</f>
        <v>Medium</v>
      </c>
      <c r="Y180" s="8">
        <f>Table1[[#This Row],[Quantity]]*(Table1[[#This Row],[UnitPrice]]*(1-Table1[[#This Row],[DiscountPct]]))</f>
        <v>6824.2883999999995</v>
      </c>
      <c r="Z180" s="9">
        <f t="shared" si="31"/>
        <v>1383.4283999999998</v>
      </c>
      <c r="AA180">
        <f>COUNTIF($G$2:G181,G180)</f>
        <v>17</v>
      </c>
      <c r="AB180" s="21">
        <f t="shared" si="32"/>
        <v>44988</v>
      </c>
      <c r="AC180" s="21">
        <f t="shared" si="33"/>
        <v>45016</v>
      </c>
      <c r="AD180" s="5">
        <f>(Table1[[#This Row],[OrderDate]]-Table1[[#This Row],[Date of first order]])/30</f>
        <v>7.2666666666666666</v>
      </c>
      <c r="AE180" t="str">
        <f t="shared" si="34"/>
        <v>Poor</v>
      </c>
      <c r="AF180">
        <f>COUNTIF(AE$2:AE181,AE180)</f>
        <v>127</v>
      </c>
      <c r="AG180" t="str">
        <f t="shared" si="35"/>
        <v>False</v>
      </c>
      <c r="AH180" s="7">
        <f>Table1[[#This Row],[UnitPrice]]*(1-Table1[[#This Row],[Disc Scenario]])*Table1[[#This Row],[Quantity]]</f>
        <v>6824.2883999999995</v>
      </c>
      <c r="AI180">
        <f>ROUNDDOWN((Table1[[#This Row],[Quantity]]*(1+20%)),0)</f>
        <v>7</v>
      </c>
      <c r="AJ180" s="7">
        <f>Table1[[#This Row],[Quantity increase by 20%]]*Table1[[#This Row],[UnitPrice]]</f>
        <v>9768.92</v>
      </c>
      <c r="AK180">
        <f>ROUNDDOWN(Table1[[#This Row],[Quantity]]*(1+20%),0)</f>
        <v>7</v>
      </c>
      <c r="AL180" s="7">
        <f>Table1[[#This Row],[UnitCost]]*(1+15%)</f>
        <v>1042.8314999999998</v>
      </c>
      <c r="AM180" s="9">
        <f>Table1[[#This Row],[Quantity]]*Table1[[#This Row],[Cost of unit by inflation 15%]]</f>
        <v>6256.9889999999987</v>
      </c>
      <c r="AN180" s="21" cm="1">
        <f t="array" ref="AN180">_xlfn.UNIQUE(AC180)</f>
        <v>45016</v>
      </c>
    </row>
    <row r="181" spans="1:40" x14ac:dyDescent="0.35">
      <c r="A181" t="s">
        <v>405</v>
      </c>
      <c r="B181" s="21">
        <v>45208</v>
      </c>
      <c r="C181" s="10">
        <v>45225</v>
      </c>
      <c r="D181" s="3">
        <f t="shared" si="24"/>
        <v>17</v>
      </c>
      <c r="E181" s="10" t="str">
        <f t="shared" si="25"/>
        <v>Q4-2023</v>
      </c>
      <c r="F181" t="s">
        <v>646</v>
      </c>
      <c r="G181" t="s">
        <v>658</v>
      </c>
      <c r="H181" t="s">
        <v>684</v>
      </c>
      <c r="I181" t="s">
        <v>703</v>
      </c>
      <c r="J181" t="s">
        <v>708</v>
      </c>
      <c r="K181" t="s">
        <v>711</v>
      </c>
      <c r="L181" t="s">
        <v>726</v>
      </c>
      <c r="M181" t="s">
        <v>1122</v>
      </c>
      <c r="N181" s="3">
        <v>1132.03</v>
      </c>
      <c r="O181" s="3">
        <v>2137.21</v>
      </c>
      <c r="P181" s="6">
        <v>0.08</v>
      </c>
      <c r="Q181" s="6">
        <f>IF(Table1[[#This Row],[DiscountPct]]&gt;25%,25%,Table1[[#This Row],[DiscountPct]])</f>
        <v>0.08</v>
      </c>
      <c r="R181" s="5">
        <v>35</v>
      </c>
      <c r="S181" s="6">
        <f t="shared" si="26"/>
        <v>0.88794466577740883</v>
      </c>
      <c r="T181" s="8">
        <f t="shared" si="27"/>
        <v>68818.162000000011</v>
      </c>
      <c r="U181" s="8">
        <f t="shared" si="28"/>
        <v>39621.049999999996</v>
      </c>
      <c r="V181" s="9">
        <f t="shared" si="29"/>
        <v>29197.112000000016</v>
      </c>
      <c r="W181" s="6">
        <f t="shared" si="30"/>
        <v>0.42426462944476795</v>
      </c>
      <c r="X181" t="str" cm="1">
        <f t="array" ref="X181">_xlfn.IFS(S181&lt;=25%, "Low", S181&lt;=75%, "Medium", S181&gt;75%, "High")</f>
        <v>High</v>
      </c>
      <c r="Y181" s="8">
        <f>Table1[[#This Row],[Quantity]]*(Table1[[#This Row],[UnitPrice]]*(1-Table1[[#This Row],[DiscountPct]]))</f>
        <v>68818.162000000011</v>
      </c>
      <c r="Z181" s="9">
        <f t="shared" si="31"/>
        <v>29197.112000000016</v>
      </c>
      <c r="AA181">
        <f>COUNTIF($G$2:G182,G181)</f>
        <v>16</v>
      </c>
      <c r="AB181" s="21">
        <f t="shared" si="32"/>
        <v>44988</v>
      </c>
      <c r="AC181" s="21">
        <f t="shared" si="33"/>
        <v>45016</v>
      </c>
      <c r="AD181" s="5">
        <f>(Table1[[#This Row],[OrderDate]]-Table1[[#This Row],[Date of first order]])/30</f>
        <v>7.333333333333333</v>
      </c>
      <c r="AE181" t="str">
        <f t="shared" si="34"/>
        <v>Poor</v>
      </c>
      <c r="AF181">
        <f>COUNTIF(AE$2:AE182,AE181)</f>
        <v>127</v>
      </c>
      <c r="AG181" t="str">
        <f t="shared" si="35"/>
        <v>False</v>
      </c>
      <c r="AH181" s="7">
        <f>Table1[[#This Row],[UnitPrice]]*(1-Table1[[#This Row],[Disc Scenario]])*Table1[[#This Row],[Quantity]]</f>
        <v>68818.162000000011</v>
      </c>
      <c r="AI181">
        <f>ROUNDDOWN((Table1[[#This Row],[Quantity]]*(1+20%)),0)</f>
        <v>42</v>
      </c>
      <c r="AJ181" s="7">
        <f>Table1[[#This Row],[Quantity increase by 20%]]*Table1[[#This Row],[UnitPrice]]</f>
        <v>89762.82</v>
      </c>
      <c r="AK181">
        <f>ROUNDDOWN(Table1[[#This Row],[Quantity]]*(1+20%),0)</f>
        <v>42</v>
      </c>
      <c r="AL181" s="7">
        <f>Table1[[#This Row],[UnitCost]]*(1+15%)</f>
        <v>1301.8344999999999</v>
      </c>
      <c r="AM181" s="9">
        <f>Table1[[#This Row],[Quantity]]*Table1[[#This Row],[Cost of unit by inflation 15%]]</f>
        <v>45564.207499999997</v>
      </c>
      <c r="AN181" s="21" cm="1">
        <f t="array" ref="AN181">_xlfn.UNIQUE(AC181)</f>
        <v>45016</v>
      </c>
    </row>
    <row r="182" spans="1:40" x14ac:dyDescent="0.35">
      <c r="A182" t="s">
        <v>629</v>
      </c>
      <c r="B182" s="21">
        <v>45208</v>
      </c>
      <c r="C182" s="10">
        <v>45210</v>
      </c>
      <c r="D182" s="3">
        <f t="shared" si="24"/>
        <v>2</v>
      </c>
      <c r="E182" s="10" t="str">
        <f t="shared" si="25"/>
        <v>Q4-2023</v>
      </c>
      <c r="F182" t="s">
        <v>645</v>
      </c>
      <c r="G182" t="s">
        <v>650</v>
      </c>
      <c r="H182" t="s">
        <v>662</v>
      </c>
      <c r="I182" t="s">
        <v>701</v>
      </c>
      <c r="J182" t="s">
        <v>708</v>
      </c>
      <c r="K182" t="s">
        <v>722</v>
      </c>
      <c r="L182" t="s">
        <v>728</v>
      </c>
      <c r="M182" t="s">
        <v>1345</v>
      </c>
      <c r="N182" s="3">
        <v>391.16</v>
      </c>
      <c r="O182" s="3">
        <v>902.47</v>
      </c>
      <c r="P182" s="6">
        <v>4.0000000000000001E-3</v>
      </c>
      <c r="Q182" s="6">
        <f>IF(Table1[[#This Row],[DiscountPct]]&gt;25%,25%,Table1[[#This Row],[DiscountPct]])</f>
        <v>4.0000000000000001E-3</v>
      </c>
      <c r="R182" s="5">
        <v>12</v>
      </c>
      <c r="S182" s="6">
        <f t="shared" si="26"/>
        <v>1.3071633091318129</v>
      </c>
      <c r="T182" s="8">
        <f t="shared" si="27"/>
        <v>10786.32144</v>
      </c>
      <c r="U182" s="8">
        <f t="shared" si="28"/>
        <v>4693.92</v>
      </c>
      <c r="V182" s="9">
        <f t="shared" si="29"/>
        <v>6092.4014399999996</v>
      </c>
      <c r="W182" s="6">
        <f t="shared" si="30"/>
        <v>0.56482661618139207</v>
      </c>
      <c r="X182" t="str" cm="1">
        <f t="array" ref="X182">_xlfn.IFS(S182&lt;=25%, "Low", S182&lt;=75%, "Medium", S182&gt;75%, "High")</f>
        <v>High</v>
      </c>
      <c r="Y182" s="8">
        <f>Table1[[#This Row],[Quantity]]*(Table1[[#This Row],[UnitPrice]]*(1-Table1[[#This Row],[DiscountPct]]))</f>
        <v>10786.32144</v>
      </c>
      <c r="Z182" s="9">
        <f t="shared" si="31"/>
        <v>6092.4014399999996</v>
      </c>
      <c r="AA182">
        <f>COUNTIF($G$2:G183,G182)</f>
        <v>14</v>
      </c>
      <c r="AB182" s="21">
        <f t="shared" si="32"/>
        <v>44988</v>
      </c>
      <c r="AC182" s="21">
        <f t="shared" si="33"/>
        <v>45016</v>
      </c>
      <c r="AD182" s="5">
        <f>(Table1[[#This Row],[OrderDate]]-Table1[[#This Row],[Date of first order]])/30</f>
        <v>7.333333333333333</v>
      </c>
      <c r="AE182" t="str">
        <f t="shared" si="34"/>
        <v>Good</v>
      </c>
      <c r="AF182">
        <f>COUNTIF(AE$2:AE183,AE182)</f>
        <v>55</v>
      </c>
      <c r="AG182" t="str">
        <f t="shared" si="35"/>
        <v>False</v>
      </c>
      <c r="AH182" s="7">
        <f>Table1[[#This Row],[UnitPrice]]*(1-Table1[[#This Row],[Disc Scenario]])*Table1[[#This Row],[Quantity]]</f>
        <v>10786.32144</v>
      </c>
      <c r="AI182">
        <f>ROUNDDOWN((Table1[[#This Row],[Quantity]]*(1+20%)),0)</f>
        <v>14</v>
      </c>
      <c r="AJ182" s="7">
        <f>Table1[[#This Row],[Quantity increase by 20%]]*Table1[[#This Row],[UnitPrice]]</f>
        <v>12634.58</v>
      </c>
      <c r="AK182">
        <f>ROUNDDOWN(Table1[[#This Row],[Quantity]]*(1+20%),0)</f>
        <v>14</v>
      </c>
      <c r="AL182" s="7">
        <f>Table1[[#This Row],[UnitCost]]*(1+15%)</f>
        <v>449.834</v>
      </c>
      <c r="AM182" s="9">
        <f>Table1[[#This Row],[Quantity]]*Table1[[#This Row],[Cost of unit by inflation 15%]]</f>
        <v>5398.0079999999998</v>
      </c>
      <c r="AN182" s="21" cm="1">
        <f t="array" ref="AN182">_xlfn.UNIQUE(AC182)</f>
        <v>45016</v>
      </c>
    </row>
    <row r="183" spans="1:40" x14ac:dyDescent="0.35">
      <c r="A183" t="s">
        <v>272</v>
      </c>
      <c r="B183" s="21">
        <v>45210</v>
      </c>
      <c r="C183" s="10">
        <v>45212</v>
      </c>
      <c r="D183" s="3">
        <f t="shared" si="24"/>
        <v>2</v>
      </c>
      <c r="E183" s="10" t="str">
        <f t="shared" si="25"/>
        <v>Q4-2023</v>
      </c>
      <c r="F183" t="s">
        <v>647</v>
      </c>
      <c r="G183" t="s">
        <v>654</v>
      </c>
      <c r="H183" t="s">
        <v>671</v>
      </c>
      <c r="I183" t="s">
        <v>703</v>
      </c>
      <c r="J183" t="s">
        <v>709</v>
      </c>
      <c r="K183" t="s">
        <v>719</v>
      </c>
      <c r="L183" t="s">
        <v>732</v>
      </c>
      <c r="M183" t="s">
        <v>990</v>
      </c>
      <c r="N183" s="3">
        <v>715.94</v>
      </c>
      <c r="O183" s="3">
        <v>1331.6484</v>
      </c>
      <c r="P183" s="6">
        <v>0.14000000000000001</v>
      </c>
      <c r="Q183" s="6">
        <f>IF(Table1[[#This Row],[DiscountPct]]&gt;25%,25%,Table1[[#This Row],[DiscountPct]])</f>
        <v>0.14000000000000001</v>
      </c>
      <c r="R183" s="5">
        <v>16</v>
      </c>
      <c r="S183" s="6">
        <f t="shared" si="26"/>
        <v>0.85999999999999988</v>
      </c>
      <c r="T183" s="8">
        <f t="shared" si="27"/>
        <v>18323.481984000002</v>
      </c>
      <c r="U183" s="8">
        <f t="shared" si="28"/>
        <v>11455.04</v>
      </c>
      <c r="V183" s="9">
        <f t="shared" si="29"/>
        <v>6868.441984000001</v>
      </c>
      <c r="W183" s="6">
        <f t="shared" si="30"/>
        <v>0.37484371092773194</v>
      </c>
      <c r="X183" t="str" cm="1">
        <f t="array" ref="X183">_xlfn.IFS(S183&lt;=25%, "Low", S183&lt;=75%, "Medium", S183&gt;75%, "High")</f>
        <v>High</v>
      </c>
      <c r="Y183" s="8">
        <f>Table1[[#This Row],[Quantity]]*(Table1[[#This Row],[UnitPrice]]*(1-Table1[[#This Row],[DiscountPct]]))</f>
        <v>18323.481984000002</v>
      </c>
      <c r="Z183" s="9">
        <f t="shared" si="31"/>
        <v>6868.441984000001</v>
      </c>
      <c r="AA183">
        <f>COUNTIF($G$2:G184,G183)</f>
        <v>16</v>
      </c>
      <c r="AB183" s="21">
        <f t="shared" si="32"/>
        <v>44988</v>
      </c>
      <c r="AC183" s="21">
        <f t="shared" si="33"/>
        <v>45016</v>
      </c>
      <c r="AD183" s="5">
        <f>(Table1[[#This Row],[OrderDate]]-Table1[[#This Row],[Date of first order]])/30</f>
        <v>7.4</v>
      </c>
      <c r="AE183" t="str">
        <f t="shared" si="34"/>
        <v>Good</v>
      </c>
      <c r="AF183">
        <f>COUNTIF(AE$2:AE184,AE183)</f>
        <v>55</v>
      </c>
      <c r="AG183" t="str">
        <f t="shared" si="35"/>
        <v>False</v>
      </c>
      <c r="AH183" s="7">
        <f>Table1[[#This Row],[UnitPrice]]*(1-Table1[[#This Row],[Disc Scenario]])*Table1[[#This Row],[Quantity]]</f>
        <v>18323.481984000002</v>
      </c>
      <c r="AI183">
        <f>ROUNDDOWN((Table1[[#This Row],[Quantity]]*(1+20%)),0)</f>
        <v>19</v>
      </c>
      <c r="AJ183" s="7">
        <f>Table1[[#This Row],[Quantity increase by 20%]]*Table1[[#This Row],[UnitPrice]]</f>
        <v>25301.319600000003</v>
      </c>
      <c r="AK183">
        <f>ROUNDDOWN(Table1[[#This Row],[Quantity]]*(1+20%),0)</f>
        <v>19</v>
      </c>
      <c r="AL183" s="7">
        <f>Table1[[#This Row],[UnitCost]]*(1+15%)</f>
        <v>823.33100000000002</v>
      </c>
      <c r="AM183" s="9">
        <f>Table1[[#This Row],[Quantity]]*Table1[[#This Row],[Cost of unit by inflation 15%]]</f>
        <v>13173.296</v>
      </c>
      <c r="AN183" s="21" cm="1">
        <f t="array" ref="AN183">_xlfn.UNIQUE(AC183)</f>
        <v>45016</v>
      </c>
    </row>
    <row r="184" spans="1:40" x14ac:dyDescent="0.35">
      <c r="A184" t="s">
        <v>433</v>
      </c>
      <c r="B184" s="21">
        <v>45211</v>
      </c>
      <c r="C184" s="10">
        <v>45228</v>
      </c>
      <c r="D184" s="3">
        <f t="shared" si="24"/>
        <v>17</v>
      </c>
      <c r="E184" s="10" t="str">
        <f t="shared" si="25"/>
        <v>Q4-2023</v>
      </c>
      <c r="F184" t="s">
        <v>646</v>
      </c>
      <c r="G184" t="s">
        <v>651</v>
      </c>
      <c r="H184" t="s">
        <v>693</v>
      </c>
      <c r="I184" t="s">
        <v>702</v>
      </c>
      <c r="J184" t="s">
        <v>710</v>
      </c>
      <c r="K184" t="s">
        <v>721</v>
      </c>
      <c r="L184" t="s">
        <v>729</v>
      </c>
      <c r="M184" t="s">
        <v>1150</v>
      </c>
      <c r="N184" s="3">
        <v>1102.19</v>
      </c>
      <c r="O184" s="3">
        <v>1711.16</v>
      </c>
      <c r="P184" s="6">
        <v>0.151</v>
      </c>
      <c r="Q184" s="6">
        <f>IF(Table1[[#This Row],[DiscountPct]]&gt;25%,25%,Table1[[#This Row],[DiscountPct]])</f>
        <v>0.151</v>
      </c>
      <c r="R184" s="5">
        <v>10</v>
      </c>
      <c r="S184" s="6">
        <f t="shared" si="26"/>
        <v>0.55250909552799421</v>
      </c>
      <c r="T184" s="8">
        <f t="shared" si="27"/>
        <v>14527.748400000002</v>
      </c>
      <c r="U184" s="8">
        <f t="shared" si="28"/>
        <v>11021.900000000001</v>
      </c>
      <c r="V184" s="9">
        <f t="shared" si="29"/>
        <v>3505.8484000000008</v>
      </c>
      <c r="W184" s="6">
        <f t="shared" si="30"/>
        <v>0.24132083675127525</v>
      </c>
      <c r="X184" t="str" cm="1">
        <f t="array" ref="X184">_xlfn.IFS(S184&lt;=25%, "Low", S184&lt;=75%, "Medium", S184&gt;75%, "High")</f>
        <v>Medium</v>
      </c>
      <c r="Y184" s="8">
        <f>Table1[[#This Row],[Quantity]]*(Table1[[#This Row],[UnitPrice]]*(1-Table1[[#This Row],[DiscountPct]]))</f>
        <v>14527.7484</v>
      </c>
      <c r="Z184" s="9">
        <f t="shared" si="31"/>
        <v>3505.8483999999989</v>
      </c>
      <c r="AA184">
        <f>COUNTIF($G$2:G185,G184)</f>
        <v>12</v>
      </c>
      <c r="AB184" s="21">
        <f t="shared" si="32"/>
        <v>44988</v>
      </c>
      <c r="AC184" s="21">
        <f t="shared" si="33"/>
        <v>45016</v>
      </c>
      <c r="AD184" s="5">
        <f>(Table1[[#This Row],[OrderDate]]-Table1[[#This Row],[Date of first order]])/30</f>
        <v>7.4333333333333336</v>
      </c>
      <c r="AE184" t="str">
        <f t="shared" si="34"/>
        <v>Poor</v>
      </c>
      <c r="AF184">
        <f>COUNTIF(AE$2:AE185,AE184)</f>
        <v>129</v>
      </c>
      <c r="AG184" t="str">
        <f t="shared" si="35"/>
        <v>False</v>
      </c>
      <c r="AH184" s="7">
        <f>Table1[[#This Row],[UnitPrice]]*(1-Table1[[#This Row],[Disc Scenario]])*Table1[[#This Row],[Quantity]]</f>
        <v>14527.7484</v>
      </c>
      <c r="AI184">
        <f>ROUNDDOWN((Table1[[#This Row],[Quantity]]*(1+20%)),0)</f>
        <v>12</v>
      </c>
      <c r="AJ184" s="7">
        <f>Table1[[#This Row],[Quantity increase by 20%]]*Table1[[#This Row],[UnitPrice]]</f>
        <v>20533.920000000002</v>
      </c>
      <c r="AK184">
        <f>ROUNDDOWN(Table1[[#This Row],[Quantity]]*(1+20%),0)</f>
        <v>12</v>
      </c>
      <c r="AL184" s="7">
        <f>Table1[[#This Row],[UnitCost]]*(1+15%)</f>
        <v>1267.5184999999999</v>
      </c>
      <c r="AM184" s="9">
        <f>Table1[[#This Row],[Quantity]]*Table1[[#This Row],[Cost of unit by inflation 15%]]</f>
        <v>12675.184999999999</v>
      </c>
      <c r="AN184" s="21" cm="1">
        <f t="array" ref="AN184">_xlfn.UNIQUE(AC184)</f>
        <v>45016</v>
      </c>
    </row>
    <row r="185" spans="1:40" x14ac:dyDescent="0.35">
      <c r="A185" t="s">
        <v>206</v>
      </c>
      <c r="B185" s="21">
        <v>45214</v>
      </c>
      <c r="C185" s="10">
        <v>45243</v>
      </c>
      <c r="D185" s="3">
        <f t="shared" si="24"/>
        <v>29</v>
      </c>
      <c r="E185" s="10" t="str">
        <f t="shared" si="25"/>
        <v>Q4-2023</v>
      </c>
      <c r="F185" t="s">
        <v>646</v>
      </c>
      <c r="G185" t="s">
        <v>658</v>
      </c>
      <c r="H185" t="s">
        <v>675</v>
      </c>
      <c r="I185" t="s">
        <v>702</v>
      </c>
      <c r="J185" t="s">
        <v>709</v>
      </c>
      <c r="K185" t="s">
        <v>712</v>
      </c>
      <c r="L185" t="s">
        <v>727</v>
      </c>
      <c r="M185" t="s">
        <v>924</v>
      </c>
      <c r="N185" s="3">
        <v>986.44</v>
      </c>
      <c r="O185" s="3">
        <v>1696.6768</v>
      </c>
      <c r="P185" s="6">
        <v>7.1999999999999995E-2</v>
      </c>
      <c r="Q185" s="6">
        <f>IF(Table1[[#This Row],[DiscountPct]]&gt;25%,25%,Table1[[#This Row],[DiscountPct]])</f>
        <v>7.1999999999999995E-2</v>
      </c>
      <c r="R185" s="5">
        <v>6</v>
      </c>
      <c r="S185" s="6">
        <f t="shared" si="26"/>
        <v>0.71999999999999986</v>
      </c>
      <c r="T185" s="8">
        <f t="shared" si="27"/>
        <v>9447.0964223999999</v>
      </c>
      <c r="U185" s="8">
        <f t="shared" si="28"/>
        <v>5918.64</v>
      </c>
      <c r="V185" s="9">
        <f t="shared" si="29"/>
        <v>3528.4564223999996</v>
      </c>
      <c r="W185" s="6">
        <f t="shared" si="30"/>
        <v>0.37349639133921408</v>
      </c>
      <c r="X185" t="str" cm="1">
        <f t="array" ref="X185">_xlfn.IFS(S185&lt;=25%, "Low", S185&lt;=75%, "Medium", S185&gt;75%, "High")</f>
        <v>Medium</v>
      </c>
      <c r="Y185" s="8">
        <f>Table1[[#This Row],[Quantity]]*(Table1[[#This Row],[UnitPrice]]*(1-Table1[[#This Row],[DiscountPct]]))</f>
        <v>9447.0964223999999</v>
      </c>
      <c r="Z185" s="9">
        <f t="shared" si="31"/>
        <v>3528.4564223999996</v>
      </c>
      <c r="AA185">
        <f>COUNTIF($G$2:G186,G185)</f>
        <v>17</v>
      </c>
      <c r="AB185" s="21">
        <f t="shared" si="32"/>
        <v>44988</v>
      </c>
      <c r="AC185" s="21">
        <f t="shared" si="33"/>
        <v>45016</v>
      </c>
      <c r="AD185" s="5">
        <f>(Table1[[#This Row],[OrderDate]]-Table1[[#This Row],[Date of first order]])/30</f>
        <v>7.5333333333333332</v>
      </c>
      <c r="AE185" t="str">
        <f t="shared" si="34"/>
        <v>Poor</v>
      </c>
      <c r="AF185">
        <f>COUNTIF(AE$2:AE186,AE185)</f>
        <v>129</v>
      </c>
      <c r="AG185" t="str">
        <f t="shared" si="35"/>
        <v>False</v>
      </c>
      <c r="AH185" s="7">
        <f>Table1[[#This Row],[UnitPrice]]*(1-Table1[[#This Row],[Disc Scenario]])*Table1[[#This Row],[Quantity]]</f>
        <v>9447.0964223999999</v>
      </c>
      <c r="AI185">
        <f>ROUNDDOWN((Table1[[#This Row],[Quantity]]*(1+20%)),0)</f>
        <v>7</v>
      </c>
      <c r="AJ185" s="7">
        <f>Table1[[#This Row],[Quantity increase by 20%]]*Table1[[#This Row],[UnitPrice]]</f>
        <v>11876.7376</v>
      </c>
      <c r="AK185">
        <f>ROUNDDOWN(Table1[[#This Row],[Quantity]]*(1+20%),0)</f>
        <v>7</v>
      </c>
      <c r="AL185" s="7">
        <f>Table1[[#This Row],[UnitCost]]*(1+15%)</f>
        <v>1134.4059999999999</v>
      </c>
      <c r="AM185" s="9">
        <f>Table1[[#This Row],[Quantity]]*Table1[[#This Row],[Cost of unit by inflation 15%]]</f>
        <v>6806.4359999999997</v>
      </c>
      <c r="AN185" s="21" cm="1">
        <f t="array" ref="AN185">_xlfn.UNIQUE(AC185)</f>
        <v>45016</v>
      </c>
    </row>
    <row r="186" spans="1:40" x14ac:dyDescent="0.35">
      <c r="A186" t="s">
        <v>448</v>
      </c>
      <c r="B186" s="21">
        <v>45217</v>
      </c>
      <c r="C186" s="10">
        <v>45219</v>
      </c>
      <c r="D186" s="3">
        <f t="shared" si="24"/>
        <v>2</v>
      </c>
      <c r="E186" s="10" t="str">
        <f t="shared" si="25"/>
        <v>Q4-2023</v>
      </c>
      <c r="F186" t="s">
        <v>645</v>
      </c>
      <c r="G186" t="s">
        <v>649</v>
      </c>
      <c r="H186" t="s">
        <v>661</v>
      </c>
      <c r="I186" t="s">
        <v>703</v>
      </c>
      <c r="J186" t="s">
        <v>706</v>
      </c>
      <c r="K186" t="s">
        <v>712</v>
      </c>
      <c r="L186" t="s">
        <v>729</v>
      </c>
      <c r="M186" t="s">
        <v>1165</v>
      </c>
      <c r="N186" s="3">
        <v>774.12</v>
      </c>
      <c r="O186" s="3">
        <v>908.3</v>
      </c>
      <c r="P186" s="6">
        <v>0</v>
      </c>
      <c r="Q186" s="6">
        <f>IF(Table1[[#This Row],[DiscountPct]]&gt;25%,25%,Table1[[#This Row],[DiscountPct]])</f>
        <v>0</v>
      </c>
      <c r="R186" s="5">
        <v>30</v>
      </c>
      <c r="S186" s="6">
        <f t="shared" si="26"/>
        <v>0.17333229990182394</v>
      </c>
      <c r="T186" s="8">
        <f t="shared" si="27"/>
        <v>27249</v>
      </c>
      <c r="U186" s="8">
        <f t="shared" si="28"/>
        <v>23223.599999999999</v>
      </c>
      <c r="V186" s="9">
        <f t="shared" si="29"/>
        <v>4025.4000000000015</v>
      </c>
      <c r="W186" s="6">
        <f t="shared" si="30"/>
        <v>0.14772652207420461</v>
      </c>
      <c r="X186" t="str" cm="1">
        <f t="array" ref="X186">_xlfn.IFS(S186&lt;=25%, "Low", S186&lt;=75%, "Medium", S186&gt;75%, "High")</f>
        <v>Low</v>
      </c>
      <c r="Y186" s="8">
        <f>Table1[[#This Row],[Quantity]]*(Table1[[#This Row],[UnitPrice]]*(1-Table1[[#This Row],[DiscountPct]]))</f>
        <v>27249</v>
      </c>
      <c r="Z186" s="9">
        <f t="shared" si="31"/>
        <v>4025.4000000000015</v>
      </c>
      <c r="AA186">
        <f>COUNTIF($G$2:G187,G186)</f>
        <v>17</v>
      </c>
      <c r="AB186" s="21">
        <f t="shared" si="32"/>
        <v>44988</v>
      </c>
      <c r="AC186" s="21">
        <f t="shared" si="33"/>
        <v>45016</v>
      </c>
      <c r="AD186" s="5">
        <f>(Table1[[#This Row],[OrderDate]]-Table1[[#This Row],[Date of first order]])/30</f>
        <v>7.6333333333333337</v>
      </c>
      <c r="AE186" t="str">
        <f t="shared" si="34"/>
        <v>Good</v>
      </c>
      <c r="AF186">
        <f>COUNTIF(AE$2:AE187,AE186)</f>
        <v>56</v>
      </c>
      <c r="AG186" t="str">
        <f t="shared" si="35"/>
        <v>False</v>
      </c>
      <c r="AH186" s="7">
        <f>Table1[[#This Row],[UnitPrice]]*(1-Table1[[#This Row],[Disc Scenario]])*Table1[[#This Row],[Quantity]]</f>
        <v>27249</v>
      </c>
      <c r="AI186">
        <f>ROUNDDOWN((Table1[[#This Row],[Quantity]]*(1+20%)),0)</f>
        <v>36</v>
      </c>
      <c r="AJ186" s="7">
        <f>Table1[[#This Row],[Quantity increase by 20%]]*Table1[[#This Row],[UnitPrice]]</f>
        <v>32698.799999999999</v>
      </c>
      <c r="AK186">
        <f>ROUNDDOWN(Table1[[#This Row],[Quantity]]*(1+20%),0)</f>
        <v>36</v>
      </c>
      <c r="AL186" s="7">
        <f>Table1[[#This Row],[UnitCost]]*(1+15%)</f>
        <v>890.23799999999994</v>
      </c>
      <c r="AM186" s="9">
        <f>Table1[[#This Row],[Quantity]]*Table1[[#This Row],[Cost of unit by inflation 15%]]</f>
        <v>26707.14</v>
      </c>
      <c r="AN186" s="21" cm="1">
        <f t="array" ref="AN186">_xlfn.UNIQUE(AC186)</f>
        <v>45016</v>
      </c>
    </row>
    <row r="187" spans="1:40" x14ac:dyDescent="0.35">
      <c r="A187" t="s">
        <v>305</v>
      </c>
      <c r="B187" s="21">
        <v>45220</v>
      </c>
      <c r="C187" s="10">
        <v>45239</v>
      </c>
      <c r="D187" s="3">
        <f t="shared" si="24"/>
        <v>19</v>
      </c>
      <c r="E187" s="10" t="str">
        <f t="shared" si="25"/>
        <v>Q4-2023</v>
      </c>
      <c r="F187" t="s">
        <v>648</v>
      </c>
      <c r="G187" t="s">
        <v>657</v>
      </c>
      <c r="H187" t="s">
        <v>682</v>
      </c>
      <c r="I187" t="s">
        <v>702</v>
      </c>
      <c r="J187" t="s">
        <v>710</v>
      </c>
      <c r="K187" t="s">
        <v>719</v>
      </c>
      <c r="L187" t="s">
        <v>732</v>
      </c>
      <c r="M187" t="s">
        <v>1023</v>
      </c>
      <c r="N187" s="3">
        <v>1142.48</v>
      </c>
      <c r="O187" s="3">
        <v>2105.5300000000002</v>
      </c>
      <c r="P187" s="6">
        <v>0.20699999999999999</v>
      </c>
      <c r="Q187" s="6">
        <f>IF(Table1[[#This Row],[DiscountPct]]&gt;25%,25%,Table1[[#This Row],[DiscountPct]])</f>
        <v>0.20699999999999999</v>
      </c>
      <c r="R187" s="5">
        <v>14</v>
      </c>
      <c r="S187" s="6">
        <f t="shared" si="26"/>
        <v>0.84294692248442005</v>
      </c>
      <c r="T187" s="8">
        <f t="shared" si="27"/>
        <v>23375.594060000003</v>
      </c>
      <c r="U187" s="8">
        <f t="shared" si="28"/>
        <v>15994.720000000001</v>
      </c>
      <c r="V187" s="9">
        <f t="shared" si="29"/>
        <v>7380.8740600000019</v>
      </c>
      <c r="W187" s="6">
        <f t="shared" si="30"/>
        <v>0.31575129346680658</v>
      </c>
      <c r="X187" t="str" cm="1">
        <f t="array" ref="X187">_xlfn.IFS(S187&lt;=25%, "Low", S187&lt;=75%, "Medium", S187&gt;75%, "High")</f>
        <v>High</v>
      </c>
      <c r="Y187" s="8">
        <f>Table1[[#This Row],[Quantity]]*(Table1[[#This Row],[UnitPrice]]*(1-Table1[[#This Row],[DiscountPct]]))</f>
        <v>23375.594060000003</v>
      </c>
      <c r="Z187" s="9">
        <f t="shared" si="31"/>
        <v>7380.8740600000019</v>
      </c>
      <c r="AA187">
        <f>COUNTIF($G$2:G188,G187)</f>
        <v>19</v>
      </c>
      <c r="AB187" s="21">
        <f t="shared" si="32"/>
        <v>44988</v>
      </c>
      <c r="AC187" s="21">
        <f t="shared" si="33"/>
        <v>45016</v>
      </c>
      <c r="AD187" s="5">
        <f>(Table1[[#This Row],[OrderDate]]-Table1[[#This Row],[Date of first order]])/30</f>
        <v>7.7333333333333334</v>
      </c>
      <c r="AE187" t="str">
        <f t="shared" si="34"/>
        <v>Poor</v>
      </c>
      <c r="AF187">
        <f>COUNTIF(AE$2:AE188,AE187)</f>
        <v>130</v>
      </c>
      <c r="AG187" t="str">
        <f t="shared" si="35"/>
        <v>True</v>
      </c>
      <c r="AH187" s="7">
        <f>Table1[[#This Row],[UnitPrice]]*(1-Table1[[#This Row],[Disc Scenario]])*Table1[[#This Row],[Quantity]]</f>
        <v>23375.594060000003</v>
      </c>
      <c r="AI187">
        <f>ROUNDDOWN((Table1[[#This Row],[Quantity]]*(1+20%)),0)</f>
        <v>16</v>
      </c>
      <c r="AJ187" s="7">
        <f>Table1[[#This Row],[Quantity increase by 20%]]*Table1[[#This Row],[UnitPrice]]</f>
        <v>33688.480000000003</v>
      </c>
      <c r="AK187">
        <f>ROUNDDOWN(Table1[[#This Row],[Quantity]]*(1+20%),0)</f>
        <v>16</v>
      </c>
      <c r="AL187" s="7">
        <f>Table1[[#This Row],[UnitCost]]*(1+15%)</f>
        <v>1313.8519999999999</v>
      </c>
      <c r="AM187" s="9">
        <f>Table1[[#This Row],[Quantity]]*Table1[[#This Row],[Cost of unit by inflation 15%]]</f>
        <v>18393.928</v>
      </c>
      <c r="AN187" s="21" cm="1">
        <f t="array" ref="AN187">_xlfn.UNIQUE(AC187)</f>
        <v>45016</v>
      </c>
    </row>
    <row r="188" spans="1:40" x14ac:dyDescent="0.35">
      <c r="A188" t="s">
        <v>445</v>
      </c>
      <c r="B188" s="21">
        <v>45220</v>
      </c>
      <c r="C188" s="10">
        <v>45220</v>
      </c>
      <c r="D188" s="3">
        <f t="shared" si="24"/>
        <v>0</v>
      </c>
      <c r="E188" s="10" t="str">
        <f t="shared" si="25"/>
        <v>Q4-2023</v>
      </c>
      <c r="F188" t="s">
        <v>648</v>
      </c>
      <c r="G188" t="s">
        <v>657</v>
      </c>
      <c r="H188" t="s">
        <v>692</v>
      </c>
      <c r="I188" t="s">
        <v>705</v>
      </c>
      <c r="J188" t="s">
        <v>709</v>
      </c>
      <c r="K188" t="s">
        <v>712</v>
      </c>
      <c r="L188" t="s">
        <v>731</v>
      </c>
      <c r="M188" t="s">
        <v>1162</v>
      </c>
      <c r="N188" s="3">
        <v>384.19</v>
      </c>
      <c r="O188" s="3">
        <v>860.58560000000011</v>
      </c>
      <c r="P188" s="6">
        <v>5.6000000000000001E-2</v>
      </c>
      <c r="Q188" s="6">
        <f>IF(Table1[[#This Row],[DiscountPct]]&gt;25%,25%,Table1[[#This Row],[DiscountPct]])</f>
        <v>5.6000000000000001E-2</v>
      </c>
      <c r="R188" s="5">
        <v>10</v>
      </c>
      <c r="S188" s="6">
        <f t="shared" si="26"/>
        <v>1.2400000000000002</v>
      </c>
      <c r="T188" s="8">
        <f t="shared" si="27"/>
        <v>8123.9280640000006</v>
      </c>
      <c r="U188" s="8">
        <f t="shared" si="28"/>
        <v>3841.9</v>
      </c>
      <c r="V188" s="9">
        <f t="shared" si="29"/>
        <v>4282.0280640000001</v>
      </c>
      <c r="W188" s="6">
        <f t="shared" si="30"/>
        <v>0.52708837772397088</v>
      </c>
      <c r="X188" t="str" cm="1">
        <f t="array" ref="X188">_xlfn.IFS(S188&lt;=25%, "Low", S188&lt;=75%, "Medium", S188&gt;75%, "High")</f>
        <v>High</v>
      </c>
      <c r="Y188" s="8">
        <f>Table1[[#This Row],[Quantity]]*(Table1[[#This Row],[UnitPrice]]*(1-Table1[[#This Row],[DiscountPct]]))</f>
        <v>8123.9280640000006</v>
      </c>
      <c r="Z188" s="9">
        <f t="shared" si="31"/>
        <v>4282.0280640000001</v>
      </c>
      <c r="AA188">
        <f>COUNTIF($G$2:G189,G188)</f>
        <v>19</v>
      </c>
      <c r="AB188" s="21">
        <f t="shared" si="32"/>
        <v>44988</v>
      </c>
      <c r="AC188" s="21">
        <f t="shared" si="33"/>
        <v>45016</v>
      </c>
      <c r="AD188" s="5">
        <f>(Table1[[#This Row],[OrderDate]]-Table1[[#This Row],[Date of first order]])/30</f>
        <v>7.7333333333333334</v>
      </c>
      <c r="AE188" t="str">
        <f t="shared" si="34"/>
        <v>Good</v>
      </c>
      <c r="AF188">
        <f>COUNTIF(AE$2:AE189,AE188)</f>
        <v>57</v>
      </c>
      <c r="AG188" t="str">
        <f t="shared" si="35"/>
        <v>False</v>
      </c>
      <c r="AH188" s="7">
        <f>Table1[[#This Row],[UnitPrice]]*(1-Table1[[#This Row],[Disc Scenario]])*Table1[[#This Row],[Quantity]]</f>
        <v>8123.9280640000006</v>
      </c>
      <c r="AI188">
        <f>ROUNDDOWN((Table1[[#This Row],[Quantity]]*(1+20%)),0)</f>
        <v>12</v>
      </c>
      <c r="AJ188" s="7">
        <f>Table1[[#This Row],[Quantity increase by 20%]]*Table1[[#This Row],[UnitPrice]]</f>
        <v>10327.0272</v>
      </c>
      <c r="AK188">
        <f>ROUNDDOWN(Table1[[#This Row],[Quantity]]*(1+20%),0)</f>
        <v>12</v>
      </c>
      <c r="AL188" s="7">
        <f>Table1[[#This Row],[UnitCost]]*(1+15%)</f>
        <v>441.81849999999997</v>
      </c>
      <c r="AM188" s="9">
        <f>Table1[[#This Row],[Quantity]]*Table1[[#This Row],[Cost of unit by inflation 15%]]</f>
        <v>4418.1849999999995</v>
      </c>
      <c r="AN188" s="21" cm="1">
        <f t="array" ref="AN188">_xlfn.UNIQUE(AC188)</f>
        <v>45016</v>
      </c>
    </row>
    <row r="189" spans="1:40" x14ac:dyDescent="0.35">
      <c r="A189" t="s">
        <v>342</v>
      </c>
      <c r="B189" s="21">
        <v>45221</v>
      </c>
      <c r="C189" s="10">
        <v>45246</v>
      </c>
      <c r="D189" s="3">
        <f t="shared" si="24"/>
        <v>25</v>
      </c>
      <c r="E189" s="10" t="str">
        <f t="shared" si="25"/>
        <v>Q4-2023</v>
      </c>
      <c r="F189" t="s">
        <v>647</v>
      </c>
      <c r="G189" t="s">
        <v>652</v>
      </c>
      <c r="H189" t="s">
        <v>666</v>
      </c>
      <c r="I189" t="s">
        <v>704</v>
      </c>
      <c r="J189" t="s">
        <v>708</v>
      </c>
      <c r="K189" t="s">
        <v>713</v>
      </c>
      <c r="L189" t="s">
        <v>730</v>
      </c>
      <c r="M189" t="s">
        <v>1060</v>
      </c>
      <c r="N189" s="3">
        <v>1373.31</v>
      </c>
      <c r="O189" s="3">
        <v>3154.14</v>
      </c>
      <c r="P189" s="6">
        <v>0.2</v>
      </c>
      <c r="Q189" s="6">
        <f>IF(Table1[[#This Row],[DiscountPct]]&gt;25%,25%,Table1[[#This Row],[DiscountPct]])</f>
        <v>0.2</v>
      </c>
      <c r="R189" s="5">
        <v>11</v>
      </c>
      <c r="S189" s="6">
        <f t="shared" si="26"/>
        <v>1.2967429058260698</v>
      </c>
      <c r="T189" s="8">
        <f t="shared" si="27"/>
        <v>27756.432000000001</v>
      </c>
      <c r="U189" s="8">
        <f t="shared" si="28"/>
        <v>15106.41</v>
      </c>
      <c r="V189" s="9">
        <f t="shared" si="29"/>
        <v>12650.022000000001</v>
      </c>
      <c r="W189" s="6">
        <f t="shared" si="30"/>
        <v>0.45575101295440279</v>
      </c>
      <c r="X189" t="str" cm="1">
        <f t="array" ref="X189">_xlfn.IFS(S189&lt;=25%, "Low", S189&lt;=75%, "Medium", S189&gt;75%, "High")</f>
        <v>High</v>
      </c>
      <c r="Y189" s="8">
        <f>Table1[[#This Row],[Quantity]]*(Table1[[#This Row],[UnitPrice]]*(1-Table1[[#This Row],[DiscountPct]]))</f>
        <v>27756.432000000001</v>
      </c>
      <c r="Z189" s="9">
        <f t="shared" si="31"/>
        <v>12650.022000000001</v>
      </c>
      <c r="AA189">
        <f>COUNTIF($G$2:G190,G189)</f>
        <v>15</v>
      </c>
      <c r="AB189" s="21">
        <f t="shared" si="32"/>
        <v>44988</v>
      </c>
      <c r="AC189" s="21">
        <f t="shared" si="33"/>
        <v>45016</v>
      </c>
      <c r="AD189" s="5">
        <f>(Table1[[#This Row],[OrderDate]]-Table1[[#This Row],[Date of first order]])/30</f>
        <v>7.7666666666666666</v>
      </c>
      <c r="AE189" t="str">
        <f t="shared" si="34"/>
        <v>Poor</v>
      </c>
      <c r="AF189">
        <f>COUNTIF(AE$2:AE190,AE189)</f>
        <v>131</v>
      </c>
      <c r="AG189" t="str">
        <f t="shared" si="35"/>
        <v>False</v>
      </c>
      <c r="AH189" s="7">
        <f>Table1[[#This Row],[UnitPrice]]*(1-Table1[[#This Row],[Disc Scenario]])*Table1[[#This Row],[Quantity]]</f>
        <v>27756.432000000001</v>
      </c>
      <c r="AI189">
        <f>ROUNDDOWN((Table1[[#This Row],[Quantity]]*(1+20%)),0)</f>
        <v>13</v>
      </c>
      <c r="AJ189" s="7">
        <f>Table1[[#This Row],[Quantity increase by 20%]]*Table1[[#This Row],[UnitPrice]]</f>
        <v>41003.82</v>
      </c>
      <c r="AK189">
        <f>ROUNDDOWN(Table1[[#This Row],[Quantity]]*(1+20%),0)</f>
        <v>13</v>
      </c>
      <c r="AL189" s="7">
        <f>Table1[[#This Row],[UnitCost]]*(1+15%)</f>
        <v>1579.3064999999999</v>
      </c>
      <c r="AM189" s="9">
        <f>Table1[[#This Row],[Quantity]]*Table1[[#This Row],[Cost of unit by inflation 15%]]</f>
        <v>17372.371499999997</v>
      </c>
      <c r="AN189" s="21" cm="1">
        <f t="array" ref="AN189">_xlfn.UNIQUE(AC189)</f>
        <v>45016</v>
      </c>
    </row>
    <row r="190" spans="1:40" x14ac:dyDescent="0.35">
      <c r="A190" t="s">
        <v>511</v>
      </c>
      <c r="B190" s="21">
        <v>45224</v>
      </c>
      <c r="C190" s="10">
        <v>45227</v>
      </c>
      <c r="D190" s="3">
        <f t="shared" si="24"/>
        <v>3</v>
      </c>
      <c r="E190" s="10" t="str">
        <f t="shared" si="25"/>
        <v>Q4-2023</v>
      </c>
      <c r="F190" t="s">
        <v>647</v>
      </c>
      <c r="G190" t="s">
        <v>654</v>
      </c>
      <c r="H190" t="s">
        <v>671</v>
      </c>
      <c r="I190" t="s">
        <v>700</v>
      </c>
      <c r="J190" t="s">
        <v>709</v>
      </c>
      <c r="K190" t="s">
        <v>715</v>
      </c>
      <c r="L190" t="s">
        <v>732</v>
      </c>
      <c r="M190" t="s">
        <v>1228</v>
      </c>
      <c r="N190" s="3">
        <v>509.31</v>
      </c>
      <c r="O190" s="3">
        <v>1145.9000000000001</v>
      </c>
      <c r="P190" s="6">
        <v>5.7000000000000002E-2</v>
      </c>
      <c r="Q190" s="6">
        <f>IF(Table1[[#This Row],[DiscountPct]]&gt;25%,25%,Table1[[#This Row],[DiscountPct]])</f>
        <v>5.7000000000000002E-2</v>
      </c>
      <c r="R190" s="5">
        <v>8</v>
      </c>
      <c r="S190" s="6">
        <f t="shared" si="26"/>
        <v>1.2499067365651571</v>
      </c>
      <c r="T190" s="8">
        <f t="shared" si="27"/>
        <v>8644.6696000000011</v>
      </c>
      <c r="U190" s="8">
        <f t="shared" si="28"/>
        <v>4074.48</v>
      </c>
      <c r="V190" s="9">
        <f t="shared" si="29"/>
        <v>4570.1896000000015</v>
      </c>
      <c r="W190" s="6">
        <f t="shared" si="30"/>
        <v>0.52867140231709964</v>
      </c>
      <c r="X190" t="str" cm="1">
        <f t="array" ref="X190">_xlfn.IFS(S190&lt;=25%, "Low", S190&lt;=75%, "Medium", S190&gt;75%, "High")</f>
        <v>High</v>
      </c>
      <c r="Y190" s="8">
        <f>Table1[[#This Row],[Quantity]]*(Table1[[#This Row],[UnitPrice]]*(1-Table1[[#This Row],[DiscountPct]]))</f>
        <v>8644.6696000000011</v>
      </c>
      <c r="Z190" s="9">
        <f t="shared" si="31"/>
        <v>4570.1896000000015</v>
      </c>
      <c r="AA190">
        <f>COUNTIF($G$2:G191,G190)</f>
        <v>17</v>
      </c>
      <c r="AB190" s="21">
        <f t="shared" si="32"/>
        <v>44988</v>
      </c>
      <c r="AC190" s="21">
        <f t="shared" si="33"/>
        <v>45016</v>
      </c>
      <c r="AD190" s="5">
        <f>(Table1[[#This Row],[OrderDate]]-Table1[[#This Row],[Date of first order]])/30</f>
        <v>7.8666666666666663</v>
      </c>
      <c r="AE190" t="str">
        <f t="shared" si="34"/>
        <v>Good</v>
      </c>
      <c r="AF190">
        <f>COUNTIF(AE$2:AE191,AE190)</f>
        <v>58</v>
      </c>
      <c r="AG190" t="str">
        <f t="shared" si="35"/>
        <v>False</v>
      </c>
      <c r="AH190" s="7">
        <f>Table1[[#This Row],[UnitPrice]]*(1-Table1[[#This Row],[Disc Scenario]])*Table1[[#This Row],[Quantity]]</f>
        <v>8644.6696000000011</v>
      </c>
      <c r="AI190">
        <f>ROUNDDOWN((Table1[[#This Row],[Quantity]]*(1+20%)),0)</f>
        <v>9</v>
      </c>
      <c r="AJ190" s="7">
        <f>Table1[[#This Row],[Quantity increase by 20%]]*Table1[[#This Row],[UnitPrice]]</f>
        <v>10313.1</v>
      </c>
      <c r="AK190">
        <f>ROUNDDOWN(Table1[[#This Row],[Quantity]]*(1+20%),0)</f>
        <v>9</v>
      </c>
      <c r="AL190" s="7">
        <f>Table1[[#This Row],[UnitCost]]*(1+15%)</f>
        <v>585.70650000000001</v>
      </c>
      <c r="AM190" s="9">
        <f>Table1[[#This Row],[Quantity]]*Table1[[#This Row],[Cost of unit by inflation 15%]]</f>
        <v>4685.652</v>
      </c>
      <c r="AN190" s="21" cm="1">
        <f t="array" ref="AN190">_xlfn.UNIQUE(AC190)</f>
        <v>45016</v>
      </c>
    </row>
    <row r="191" spans="1:40" x14ac:dyDescent="0.35">
      <c r="A191" t="s">
        <v>499</v>
      </c>
      <c r="B191" s="21">
        <v>45224</v>
      </c>
      <c r="C191" s="10">
        <v>45254</v>
      </c>
      <c r="D191" s="3">
        <f t="shared" si="24"/>
        <v>30</v>
      </c>
      <c r="E191" s="10" t="str">
        <f t="shared" si="25"/>
        <v>Q4-2023</v>
      </c>
      <c r="F191" t="s">
        <v>648</v>
      </c>
      <c r="G191" t="s">
        <v>656</v>
      </c>
      <c r="H191" t="s">
        <v>689</v>
      </c>
      <c r="I191" t="s">
        <v>705</v>
      </c>
      <c r="J191" t="s">
        <v>709</v>
      </c>
      <c r="K191" t="s">
        <v>711</v>
      </c>
      <c r="L191" t="s">
        <v>729</v>
      </c>
      <c r="M191" t="s">
        <v>1216</v>
      </c>
      <c r="N191" s="3">
        <v>287.85000000000002</v>
      </c>
      <c r="O191" s="3">
        <v>602.91999999999996</v>
      </c>
      <c r="P191" s="6">
        <v>0.222</v>
      </c>
      <c r="Q191" s="6">
        <f>IF(Table1[[#This Row],[DiscountPct]]&gt;25%,25%,Table1[[#This Row],[DiscountPct]])</f>
        <v>0.222</v>
      </c>
      <c r="R191" s="5">
        <v>11</v>
      </c>
      <c r="S191" s="6">
        <f t="shared" si="26"/>
        <v>1.0945631405245784</v>
      </c>
      <c r="T191" s="8">
        <f t="shared" si="27"/>
        <v>5159.7893599999998</v>
      </c>
      <c r="U191" s="8">
        <f t="shared" si="28"/>
        <v>3166.3500000000004</v>
      </c>
      <c r="V191" s="9">
        <f t="shared" si="29"/>
        <v>1993.4393599999994</v>
      </c>
      <c r="W191" s="6">
        <f t="shared" si="30"/>
        <v>0.38634122847216373</v>
      </c>
      <c r="X191" t="str" cm="1">
        <f t="array" ref="X191">_xlfn.IFS(S191&lt;=25%, "Low", S191&lt;=75%, "Medium", S191&gt;75%, "High")</f>
        <v>High</v>
      </c>
      <c r="Y191" s="8">
        <f>Table1[[#This Row],[Quantity]]*(Table1[[#This Row],[UnitPrice]]*(1-Table1[[#This Row],[DiscountPct]]))</f>
        <v>5159.7893599999998</v>
      </c>
      <c r="Z191" s="9">
        <f t="shared" si="31"/>
        <v>1993.4393599999994</v>
      </c>
      <c r="AA191">
        <f>COUNTIF($G$2:G192,G191)</f>
        <v>13</v>
      </c>
      <c r="AB191" s="21">
        <f t="shared" si="32"/>
        <v>44988</v>
      </c>
      <c r="AC191" s="21">
        <f t="shared" si="33"/>
        <v>45016</v>
      </c>
      <c r="AD191" s="5">
        <f>(Table1[[#This Row],[OrderDate]]-Table1[[#This Row],[Date of first order]])/30</f>
        <v>7.8666666666666663</v>
      </c>
      <c r="AE191" t="str">
        <f t="shared" si="34"/>
        <v>Poor</v>
      </c>
      <c r="AF191">
        <f>COUNTIF(AE$2:AE192,AE191)</f>
        <v>133</v>
      </c>
      <c r="AG191" t="str">
        <f t="shared" si="35"/>
        <v>True</v>
      </c>
      <c r="AH191" s="7">
        <f>Table1[[#This Row],[UnitPrice]]*(1-Table1[[#This Row],[Disc Scenario]])*Table1[[#This Row],[Quantity]]</f>
        <v>5159.7893599999998</v>
      </c>
      <c r="AI191">
        <f>ROUNDDOWN((Table1[[#This Row],[Quantity]]*(1+20%)),0)</f>
        <v>13</v>
      </c>
      <c r="AJ191" s="7">
        <f>Table1[[#This Row],[Quantity increase by 20%]]*Table1[[#This Row],[UnitPrice]]</f>
        <v>7837.9599999999991</v>
      </c>
      <c r="AK191">
        <f>ROUNDDOWN(Table1[[#This Row],[Quantity]]*(1+20%),0)</f>
        <v>13</v>
      </c>
      <c r="AL191" s="7">
        <f>Table1[[#This Row],[UnitCost]]*(1+15%)</f>
        <v>331.02749999999997</v>
      </c>
      <c r="AM191" s="9">
        <f>Table1[[#This Row],[Quantity]]*Table1[[#This Row],[Cost of unit by inflation 15%]]</f>
        <v>3641.3024999999998</v>
      </c>
      <c r="AN191" s="21" cm="1">
        <f t="array" ref="AN191">_xlfn.UNIQUE(AC191)</f>
        <v>45016</v>
      </c>
    </row>
    <row r="192" spans="1:40" x14ac:dyDescent="0.35">
      <c r="A192" t="s">
        <v>402</v>
      </c>
      <c r="B192" s="21">
        <v>45225</v>
      </c>
      <c r="C192" s="10">
        <v>45235</v>
      </c>
      <c r="D192" s="3">
        <f t="shared" si="24"/>
        <v>10</v>
      </c>
      <c r="E192" s="10" t="str">
        <f t="shared" si="25"/>
        <v>Q4-2023</v>
      </c>
      <c r="F192" t="s">
        <v>645</v>
      </c>
      <c r="G192" t="s">
        <v>660</v>
      </c>
      <c r="H192" t="s">
        <v>694</v>
      </c>
      <c r="I192" t="s">
        <v>702</v>
      </c>
      <c r="J192" t="s">
        <v>707</v>
      </c>
      <c r="K192" t="s">
        <v>713</v>
      </c>
      <c r="L192" t="s">
        <v>730</v>
      </c>
      <c r="M192" t="s">
        <v>1119</v>
      </c>
      <c r="N192" s="3">
        <v>20.38</v>
      </c>
      <c r="O192" s="3">
        <v>42.56</v>
      </c>
      <c r="P192" s="6">
        <v>7.1999999999999995E-2</v>
      </c>
      <c r="Q192" s="6">
        <f>IF(Table1[[#This Row],[DiscountPct]]&gt;25%,25%,Table1[[#This Row],[DiscountPct]])</f>
        <v>7.1999999999999995E-2</v>
      </c>
      <c r="R192" s="5">
        <v>11</v>
      </c>
      <c r="S192" s="6">
        <f t="shared" si="26"/>
        <v>1.0883218842001965</v>
      </c>
      <c r="T192" s="8">
        <f t="shared" si="27"/>
        <v>434.45248000000004</v>
      </c>
      <c r="U192" s="8">
        <f t="shared" si="28"/>
        <v>224.17999999999998</v>
      </c>
      <c r="V192" s="9">
        <f t="shared" si="29"/>
        <v>210.27248000000006</v>
      </c>
      <c r="W192" s="6">
        <f t="shared" si="30"/>
        <v>0.48399419885921713</v>
      </c>
      <c r="X192" t="str" cm="1">
        <f t="array" ref="X192">_xlfn.IFS(S192&lt;=25%, "Low", S192&lt;=75%, "Medium", S192&gt;75%, "High")</f>
        <v>High</v>
      </c>
      <c r="Y192" s="8">
        <f>Table1[[#This Row],[Quantity]]*(Table1[[#This Row],[UnitPrice]]*(1-Table1[[#This Row],[DiscountPct]]))</f>
        <v>434.45248000000009</v>
      </c>
      <c r="Z192" s="9">
        <f t="shared" si="31"/>
        <v>210.27248000000012</v>
      </c>
      <c r="AA192">
        <f>COUNTIF($G$2:G193,G192)</f>
        <v>17</v>
      </c>
      <c r="AB192" s="21">
        <f t="shared" si="32"/>
        <v>44988</v>
      </c>
      <c r="AC192" s="21">
        <f t="shared" si="33"/>
        <v>45016</v>
      </c>
      <c r="AD192" s="5">
        <f>(Table1[[#This Row],[OrderDate]]-Table1[[#This Row],[Date of first order]])/30</f>
        <v>7.9</v>
      </c>
      <c r="AE192" t="str">
        <f t="shared" si="34"/>
        <v>Poor</v>
      </c>
      <c r="AF192">
        <f>COUNTIF(AE$2:AE193,AE192)</f>
        <v>134</v>
      </c>
      <c r="AG192" t="str">
        <f t="shared" si="35"/>
        <v>False</v>
      </c>
      <c r="AH192" s="7">
        <f>Table1[[#This Row],[UnitPrice]]*(1-Table1[[#This Row],[Disc Scenario]])*Table1[[#This Row],[Quantity]]</f>
        <v>434.45248000000009</v>
      </c>
      <c r="AI192">
        <f>ROUNDDOWN((Table1[[#This Row],[Quantity]]*(1+20%)),0)</f>
        <v>13</v>
      </c>
      <c r="AJ192" s="7">
        <f>Table1[[#This Row],[Quantity increase by 20%]]*Table1[[#This Row],[UnitPrice]]</f>
        <v>553.28</v>
      </c>
      <c r="AK192">
        <f>ROUNDDOWN(Table1[[#This Row],[Quantity]]*(1+20%),0)</f>
        <v>13</v>
      </c>
      <c r="AL192" s="7">
        <f>Table1[[#This Row],[UnitCost]]*(1+15%)</f>
        <v>23.436999999999998</v>
      </c>
      <c r="AM192" s="9">
        <f>Table1[[#This Row],[Quantity]]*Table1[[#This Row],[Cost of unit by inflation 15%]]</f>
        <v>257.80699999999996</v>
      </c>
      <c r="AN192" s="21" cm="1">
        <f t="array" ref="AN192">_xlfn.UNIQUE(AC192)</f>
        <v>45016</v>
      </c>
    </row>
    <row r="193" spans="1:40" x14ac:dyDescent="0.35">
      <c r="A193" t="s">
        <v>292</v>
      </c>
      <c r="B193" s="21">
        <v>45229</v>
      </c>
      <c r="C193" s="10">
        <v>45244</v>
      </c>
      <c r="D193" s="3">
        <f t="shared" si="24"/>
        <v>15</v>
      </c>
      <c r="E193" s="10" t="str">
        <f t="shared" si="25"/>
        <v>Q4-2023</v>
      </c>
      <c r="F193" t="s">
        <v>646</v>
      </c>
      <c r="G193" t="s">
        <v>653</v>
      </c>
      <c r="H193" t="s">
        <v>667</v>
      </c>
      <c r="I193" t="s">
        <v>700</v>
      </c>
      <c r="J193" t="s">
        <v>707</v>
      </c>
      <c r="K193" t="s">
        <v>720</v>
      </c>
      <c r="L193" t="s">
        <v>730</v>
      </c>
      <c r="M193" t="s">
        <v>1010</v>
      </c>
      <c r="N193" s="3">
        <v>953.46</v>
      </c>
      <c r="O193" s="3">
        <v>2066.75</v>
      </c>
      <c r="P193" s="6">
        <v>0.13800000000000001</v>
      </c>
      <c r="Q193" s="6">
        <f>IF(Table1[[#This Row],[DiscountPct]]&gt;25%,25%,Table1[[#This Row],[DiscountPct]])</f>
        <v>0.13800000000000001</v>
      </c>
      <c r="R193" s="5">
        <v>5</v>
      </c>
      <c r="S193" s="6">
        <f t="shared" si="26"/>
        <v>1.1676315734273068</v>
      </c>
      <c r="T193" s="8">
        <f t="shared" si="27"/>
        <v>8907.6924999999992</v>
      </c>
      <c r="U193" s="8">
        <f t="shared" si="28"/>
        <v>4767.3</v>
      </c>
      <c r="V193" s="9">
        <f t="shared" si="29"/>
        <v>4140.392499999999</v>
      </c>
      <c r="W193" s="6">
        <f t="shared" si="30"/>
        <v>0.46481089238318446</v>
      </c>
      <c r="X193" t="str" cm="1">
        <f t="array" ref="X193">_xlfn.IFS(S193&lt;=25%, "Low", S193&lt;=75%, "Medium", S193&gt;75%, "High")</f>
        <v>High</v>
      </c>
      <c r="Y193" s="8">
        <f>Table1[[#This Row],[Quantity]]*(Table1[[#This Row],[UnitPrice]]*(1-Table1[[#This Row],[DiscountPct]]))</f>
        <v>8907.6924999999992</v>
      </c>
      <c r="Z193" s="9">
        <f t="shared" si="31"/>
        <v>4140.392499999999</v>
      </c>
      <c r="AA193">
        <f>COUNTIF($G$2:G194,G193)</f>
        <v>18</v>
      </c>
      <c r="AB193" s="21">
        <f t="shared" si="32"/>
        <v>44988</v>
      </c>
      <c r="AC193" s="21">
        <f t="shared" si="33"/>
        <v>45016</v>
      </c>
      <c r="AD193" s="5">
        <f>(Table1[[#This Row],[OrderDate]]-Table1[[#This Row],[Date of first order]])/30</f>
        <v>8.0333333333333332</v>
      </c>
      <c r="AE193" t="str">
        <f t="shared" si="34"/>
        <v>Poor</v>
      </c>
      <c r="AF193">
        <f>COUNTIF(AE$2:AE194,AE193)</f>
        <v>134</v>
      </c>
      <c r="AG193" t="str">
        <f t="shared" si="35"/>
        <v>False</v>
      </c>
      <c r="AH193" s="7">
        <f>Table1[[#This Row],[UnitPrice]]*(1-Table1[[#This Row],[Disc Scenario]])*Table1[[#This Row],[Quantity]]</f>
        <v>8907.6924999999992</v>
      </c>
      <c r="AI193">
        <f>ROUNDDOWN((Table1[[#This Row],[Quantity]]*(1+20%)),0)</f>
        <v>6</v>
      </c>
      <c r="AJ193" s="7">
        <f>Table1[[#This Row],[Quantity increase by 20%]]*Table1[[#This Row],[UnitPrice]]</f>
        <v>12400.5</v>
      </c>
      <c r="AK193">
        <f>ROUNDDOWN(Table1[[#This Row],[Quantity]]*(1+20%),0)</f>
        <v>6</v>
      </c>
      <c r="AL193" s="7">
        <f>Table1[[#This Row],[UnitCost]]*(1+15%)</f>
        <v>1096.479</v>
      </c>
      <c r="AM193" s="9">
        <f>Table1[[#This Row],[Quantity]]*Table1[[#This Row],[Cost of unit by inflation 15%]]</f>
        <v>5482.3950000000004</v>
      </c>
      <c r="AN193" s="21" cm="1">
        <f t="array" ref="AN193">_xlfn.UNIQUE(AC193)</f>
        <v>45016</v>
      </c>
    </row>
    <row r="194" spans="1:40" x14ac:dyDescent="0.35">
      <c r="A194" t="s">
        <v>168</v>
      </c>
      <c r="B194" s="21">
        <v>45230</v>
      </c>
      <c r="C194" s="10">
        <v>45232</v>
      </c>
      <c r="D194" s="3">
        <f t="shared" ref="D194:D257" si="36">DATEDIF(B194,C194,"d")</f>
        <v>2</v>
      </c>
      <c r="E194" s="10" t="str">
        <f t="shared" ref="E194:E257" si="37">"Q"&amp;ROUNDUP(MONTH(B194)/3,0)&amp; "-" &amp;YEAR(B194)</f>
        <v>Q4-2023</v>
      </c>
      <c r="F194" t="s">
        <v>645</v>
      </c>
      <c r="G194" t="s">
        <v>649</v>
      </c>
      <c r="H194" t="s">
        <v>661</v>
      </c>
      <c r="I194" t="s">
        <v>701</v>
      </c>
      <c r="J194" t="s">
        <v>706</v>
      </c>
      <c r="K194" t="s">
        <v>718</v>
      </c>
      <c r="L194" t="s">
        <v>732</v>
      </c>
      <c r="M194" t="s">
        <v>886</v>
      </c>
      <c r="N194" s="3">
        <v>867.89</v>
      </c>
      <c r="O194" s="3">
        <v>1349.94</v>
      </c>
      <c r="P194" s="6">
        <v>0.184</v>
      </c>
      <c r="Q194" s="6">
        <f>IF(Table1[[#This Row],[DiscountPct]]&gt;25%,25%,Table1[[#This Row],[DiscountPct]])</f>
        <v>0.184</v>
      </c>
      <c r="R194" s="5">
        <v>10</v>
      </c>
      <c r="S194" s="6">
        <f t="shared" ref="S194:S257" si="38">(O194-N194)/N194</f>
        <v>0.55542753113873888</v>
      </c>
      <c r="T194" s="8">
        <f t="shared" ref="T194:T257" si="39">O194*R194*(1-P194)</f>
        <v>11015.510400000003</v>
      </c>
      <c r="U194" s="8">
        <f t="shared" ref="U194:U257" si="40">N194*R194</f>
        <v>8678.9</v>
      </c>
      <c r="V194" s="9">
        <f t="shared" ref="V194:V257" si="41">T194-U194</f>
        <v>2336.6104000000032</v>
      </c>
      <c r="W194" s="6">
        <f t="shared" ref="W194:W257" si="42">V194/T194</f>
        <v>0.21212003031652557</v>
      </c>
      <c r="X194" t="str" cm="1">
        <f t="array" ref="X194">_xlfn.IFS(S194&lt;=25%, "Low", S194&lt;=75%, "Medium", S194&gt;75%, "High")</f>
        <v>Medium</v>
      </c>
      <c r="Y194" s="8">
        <f>Table1[[#This Row],[Quantity]]*(Table1[[#This Row],[UnitPrice]]*(1-Table1[[#This Row],[DiscountPct]]))</f>
        <v>11015.510400000001</v>
      </c>
      <c r="Z194" s="9">
        <f t="shared" ref="Z194:Z257" si="43">Y194-(N194*R194)</f>
        <v>2336.6104000000014</v>
      </c>
      <c r="AA194">
        <f>COUNTIF($G$2:G195,G194)</f>
        <v>18</v>
      </c>
      <c r="AB194" s="21">
        <f t="shared" ref="AB194:AB257" si="44">IF(AA194=1,B194,AB193)</f>
        <v>44988</v>
      </c>
      <c r="AC194" s="21">
        <f t="shared" ref="AC194:AC257" si="45">EOMONTH(AB194,0)</f>
        <v>45016</v>
      </c>
      <c r="AD194" s="5">
        <f>(Table1[[#This Row],[OrderDate]]-Table1[[#This Row],[Date of first order]])/30</f>
        <v>8.0666666666666664</v>
      </c>
      <c r="AE194" t="str">
        <f t="shared" ref="AE194:AE257" si="46">IF(D194&lt;=7,"Good","Poor")</f>
        <v>Good</v>
      </c>
      <c r="AF194">
        <f>COUNTIF(AE$2:AE195,AE194)</f>
        <v>59</v>
      </c>
      <c r="AG194" t="str">
        <f t="shared" ref="AG194:AG257" si="47">IF(P194&gt;20%,"True","False")</f>
        <v>False</v>
      </c>
      <c r="AH194" s="7">
        <f>Table1[[#This Row],[UnitPrice]]*(1-Table1[[#This Row],[Disc Scenario]])*Table1[[#This Row],[Quantity]]</f>
        <v>11015.510400000001</v>
      </c>
      <c r="AI194">
        <f>ROUNDDOWN((Table1[[#This Row],[Quantity]]*(1+20%)),0)</f>
        <v>12</v>
      </c>
      <c r="AJ194" s="7">
        <f>Table1[[#This Row],[Quantity increase by 20%]]*Table1[[#This Row],[UnitPrice]]</f>
        <v>16199.28</v>
      </c>
      <c r="AK194">
        <f>ROUNDDOWN(Table1[[#This Row],[Quantity]]*(1+20%),0)</f>
        <v>12</v>
      </c>
      <c r="AL194" s="7">
        <f>Table1[[#This Row],[UnitCost]]*(1+15%)</f>
        <v>998.07349999999985</v>
      </c>
      <c r="AM194" s="9">
        <f>Table1[[#This Row],[Quantity]]*Table1[[#This Row],[Cost of unit by inflation 15%]]</f>
        <v>9980.7349999999988</v>
      </c>
      <c r="AN194" s="21" cm="1">
        <f t="array" ref="AN194">_xlfn.UNIQUE(AC194)</f>
        <v>45016</v>
      </c>
    </row>
    <row r="195" spans="1:40" x14ac:dyDescent="0.35">
      <c r="A195" t="s">
        <v>227</v>
      </c>
      <c r="B195" s="21">
        <v>45240</v>
      </c>
      <c r="C195" s="10">
        <v>45258</v>
      </c>
      <c r="D195" s="3">
        <f t="shared" si="36"/>
        <v>18</v>
      </c>
      <c r="E195" s="10" t="str">
        <f t="shared" si="37"/>
        <v>Q4-2023</v>
      </c>
      <c r="F195" t="s">
        <v>647</v>
      </c>
      <c r="G195" t="s">
        <v>654</v>
      </c>
      <c r="H195" t="s">
        <v>671</v>
      </c>
      <c r="I195" t="s">
        <v>701</v>
      </c>
      <c r="J195" t="s">
        <v>708</v>
      </c>
      <c r="K195" t="s">
        <v>715</v>
      </c>
      <c r="L195" t="s">
        <v>732</v>
      </c>
      <c r="M195" t="s">
        <v>945</v>
      </c>
      <c r="N195" s="3">
        <v>388.51</v>
      </c>
      <c r="O195" s="3">
        <v>776.46</v>
      </c>
      <c r="P195" s="6">
        <v>0.157</v>
      </c>
      <c r="Q195" s="6">
        <f>IF(Table1[[#This Row],[DiscountPct]]&gt;25%,25%,Table1[[#This Row],[DiscountPct]])</f>
        <v>0.157</v>
      </c>
      <c r="R195" s="5">
        <v>12</v>
      </c>
      <c r="S195" s="6">
        <f t="shared" si="38"/>
        <v>0.99855859566034355</v>
      </c>
      <c r="T195" s="8">
        <f t="shared" si="39"/>
        <v>7854.6693599999999</v>
      </c>
      <c r="U195" s="8">
        <f t="shared" si="40"/>
        <v>4662.12</v>
      </c>
      <c r="V195" s="9">
        <f t="shared" si="41"/>
        <v>3192.54936</v>
      </c>
      <c r="W195" s="6">
        <f t="shared" si="42"/>
        <v>0.40645241876864946</v>
      </c>
      <c r="X195" t="str" cm="1">
        <f t="array" ref="X195">_xlfn.IFS(S195&lt;=25%, "Low", S195&lt;=75%, "Medium", S195&gt;75%, "High")</f>
        <v>High</v>
      </c>
      <c r="Y195" s="8">
        <f>Table1[[#This Row],[Quantity]]*(Table1[[#This Row],[UnitPrice]]*(1-Table1[[#This Row],[DiscountPct]]))</f>
        <v>7854.6693599999999</v>
      </c>
      <c r="Z195" s="9">
        <f t="shared" si="43"/>
        <v>3192.54936</v>
      </c>
      <c r="AA195">
        <f>COUNTIF($G$2:G196,G195)</f>
        <v>19</v>
      </c>
      <c r="AB195" s="21">
        <f t="shared" si="44"/>
        <v>44988</v>
      </c>
      <c r="AC195" s="21">
        <f t="shared" si="45"/>
        <v>45016</v>
      </c>
      <c r="AD195" s="5">
        <f>(Table1[[#This Row],[OrderDate]]-Table1[[#This Row],[Date of first order]])/30</f>
        <v>8.4</v>
      </c>
      <c r="AE195" t="str">
        <f t="shared" si="46"/>
        <v>Poor</v>
      </c>
      <c r="AF195">
        <f>COUNTIF(AE$2:AE196,AE195)</f>
        <v>136</v>
      </c>
      <c r="AG195" t="str">
        <f t="shared" si="47"/>
        <v>False</v>
      </c>
      <c r="AH195" s="7">
        <f>Table1[[#This Row],[UnitPrice]]*(1-Table1[[#This Row],[Disc Scenario]])*Table1[[#This Row],[Quantity]]</f>
        <v>7854.6693599999999</v>
      </c>
      <c r="AI195">
        <f>ROUNDDOWN((Table1[[#This Row],[Quantity]]*(1+20%)),0)</f>
        <v>14</v>
      </c>
      <c r="AJ195" s="7">
        <f>Table1[[#This Row],[Quantity increase by 20%]]*Table1[[#This Row],[UnitPrice]]</f>
        <v>10870.44</v>
      </c>
      <c r="AK195">
        <f>ROUNDDOWN(Table1[[#This Row],[Quantity]]*(1+20%),0)</f>
        <v>14</v>
      </c>
      <c r="AL195" s="7">
        <f>Table1[[#This Row],[UnitCost]]*(1+15%)</f>
        <v>446.78649999999993</v>
      </c>
      <c r="AM195" s="9">
        <f>Table1[[#This Row],[Quantity]]*Table1[[#This Row],[Cost of unit by inflation 15%]]</f>
        <v>5361.4379999999992</v>
      </c>
      <c r="AN195" s="21" cm="1">
        <f t="array" ref="AN195">_xlfn.UNIQUE(AC195)</f>
        <v>45016</v>
      </c>
    </row>
    <row r="196" spans="1:40" x14ac:dyDescent="0.35">
      <c r="A196" t="s">
        <v>330</v>
      </c>
      <c r="B196" s="21">
        <v>45244</v>
      </c>
      <c r="C196" s="10">
        <v>45260</v>
      </c>
      <c r="D196" s="3">
        <f t="shared" si="36"/>
        <v>16</v>
      </c>
      <c r="E196" s="10" t="str">
        <f t="shared" si="37"/>
        <v>Q4-2023</v>
      </c>
      <c r="F196" t="s">
        <v>647</v>
      </c>
      <c r="G196" t="s">
        <v>654</v>
      </c>
      <c r="H196" t="s">
        <v>669</v>
      </c>
      <c r="I196" t="s">
        <v>705</v>
      </c>
      <c r="J196" t="s">
        <v>710</v>
      </c>
      <c r="K196" t="s">
        <v>722</v>
      </c>
      <c r="L196" t="s">
        <v>728</v>
      </c>
      <c r="M196" t="s">
        <v>1048</v>
      </c>
      <c r="N196" s="3">
        <v>1017.92</v>
      </c>
      <c r="O196" s="3">
        <v>1175.25</v>
      </c>
      <c r="P196" s="6">
        <v>7.4999999999999997E-2</v>
      </c>
      <c r="Q196" s="6">
        <f>IF(Table1[[#This Row],[DiscountPct]]&gt;25%,25%,Table1[[#This Row],[DiscountPct]])</f>
        <v>7.4999999999999997E-2</v>
      </c>
      <c r="R196" s="5">
        <v>15</v>
      </c>
      <c r="S196" s="6">
        <f t="shared" si="38"/>
        <v>0.1545602797862308</v>
      </c>
      <c r="T196" s="8">
        <f t="shared" si="39"/>
        <v>16306.59375</v>
      </c>
      <c r="U196" s="8">
        <f t="shared" si="40"/>
        <v>15268.8</v>
      </c>
      <c r="V196" s="9">
        <f t="shared" si="41"/>
        <v>1037.7937500000007</v>
      </c>
      <c r="W196" s="6">
        <f t="shared" si="42"/>
        <v>6.3642583234159542E-2</v>
      </c>
      <c r="X196" t="str" cm="1">
        <f t="array" ref="X196">_xlfn.IFS(S196&lt;=25%, "Low", S196&lt;=75%, "Medium", S196&gt;75%, "High")</f>
        <v>Low</v>
      </c>
      <c r="Y196" s="8">
        <f>Table1[[#This Row],[Quantity]]*(Table1[[#This Row],[UnitPrice]]*(1-Table1[[#This Row],[DiscountPct]]))</f>
        <v>16306.59375</v>
      </c>
      <c r="Z196" s="9">
        <f t="shared" si="43"/>
        <v>1037.7937500000007</v>
      </c>
      <c r="AA196">
        <f>COUNTIF($G$2:G197,G196)</f>
        <v>19</v>
      </c>
      <c r="AB196" s="21">
        <f t="shared" si="44"/>
        <v>44988</v>
      </c>
      <c r="AC196" s="21">
        <f t="shared" si="45"/>
        <v>45016</v>
      </c>
      <c r="AD196" s="5">
        <f>(Table1[[#This Row],[OrderDate]]-Table1[[#This Row],[Date of first order]])/30</f>
        <v>8.5333333333333332</v>
      </c>
      <c r="AE196" t="str">
        <f t="shared" si="46"/>
        <v>Poor</v>
      </c>
      <c r="AF196">
        <f>COUNTIF(AE$2:AE197,AE196)</f>
        <v>137</v>
      </c>
      <c r="AG196" t="str">
        <f t="shared" si="47"/>
        <v>False</v>
      </c>
      <c r="AH196" s="7">
        <f>Table1[[#This Row],[UnitPrice]]*(1-Table1[[#This Row],[Disc Scenario]])*Table1[[#This Row],[Quantity]]</f>
        <v>16306.59375</v>
      </c>
      <c r="AI196">
        <f>ROUNDDOWN((Table1[[#This Row],[Quantity]]*(1+20%)),0)</f>
        <v>18</v>
      </c>
      <c r="AJ196" s="7">
        <f>Table1[[#This Row],[Quantity increase by 20%]]*Table1[[#This Row],[UnitPrice]]</f>
        <v>21154.5</v>
      </c>
      <c r="AK196">
        <f>ROUNDDOWN(Table1[[#This Row],[Quantity]]*(1+20%),0)</f>
        <v>18</v>
      </c>
      <c r="AL196" s="7">
        <f>Table1[[#This Row],[UnitCost]]*(1+15%)</f>
        <v>1170.6079999999999</v>
      </c>
      <c r="AM196" s="9">
        <f>Table1[[#This Row],[Quantity]]*Table1[[#This Row],[Cost of unit by inflation 15%]]</f>
        <v>17559.12</v>
      </c>
      <c r="AN196" s="21" cm="1">
        <f t="array" ref="AN196">_xlfn.UNIQUE(AC196)</f>
        <v>45016</v>
      </c>
    </row>
    <row r="197" spans="1:40" x14ac:dyDescent="0.35">
      <c r="A197" t="s">
        <v>346</v>
      </c>
      <c r="B197" s="21">
        <v>45245</v>
      </c>
      <c r="C197" s="10">
        <v>45266</v>
      </c>
      <c r="D197" s="3">
        <f t="shared" si="36"/>
        <v>21</v>
      </c>
      <c r="E197" s="10" t="str">
        <f t="shared" si="37"/>
        <v>Q4-2023</v>
      </c>
      <c r="F197" t="s">
        <v>648</v>
      </c>
      <c r="G197" t="s">
        <v>657</v>
      </c>
      <c r="H197" t="s">
        <v>692</v>
      </c>
      <c r="I197" t="s">
        <v>701</v>
      </c>
      <c r="J197" t="s">
        <v>710</v>
      </c>
      <c r="K197" t="s">
        <v>721</v>
      </c>
      <c r="L197" t="s">
        <v>732</v>
      </c>
      <c r="M197" t="s">
        <v>1064</v>
      </c>
      <c r="N197" s="3">
        <v>1184.99</v>
      </c>
      <c r="O197" s="3">
        <v>2215.9313000000002</v>
      </c>
      <c r="P197" s="6">
        <v>2.8000000000000001E-2</v>
      </c>
      <c r="Q197" s="6">
        <f>IF(Table1[[#This Row],[DiscountPct]]&gt;25%,25%,Table1[[#This Row],[DiscountPct]])</f>
        <v>2.8000000000000001E-2</v>
      </c>
      <c r="R197" s="5">
        <v>5</v>
      </c>
      <c r="S197" s="6">
        <f t="shared" si="38"/>
        <v>0.87000000000000011</v>
      </c>
      <c r="T197" s="8">
        <f t="shared" si="39"/>
        <v>10769.426118000001</v>
      </c>
      <c r="U197" s="8">
        <f t="shared" si="40"/>
        <v>5924.95</v>
      </c>
      <c r="V197" s="9">
        <f t="shared" si="41"/>
        <v>4844.4761180000014</v>
      </c>
      <c r="W197" s="6">
        <f t="shared" si="42"/>
        <v>0.44983605114324077</v>
      </c>
      <c r="X197" t="str" cm="1">
        <f t="array" ref="X197">_xlfn.IFS(S197&lt;=25%, "Low", S197&lt;=75%, "Medium", S197&gt;75%, "High")</f>
        <v>High</v>
      </c>
      <c r="Y197" s="8">
        <f>Table1[[#This Row],[Quantity]]*(Table1[[#This Row],[UnitPrice]]*(1-Table1[[#This Row],[DiscountPct]]))</f>
        <v>10769.426118000001</v>
      </c>
      <c r="Z197" s="9">
        <f t="shared" si="43"/>
        <v>4844.4761180000014</v>
      </c>
      <c r="AA197">
        <f>COUNTIF($G$2:G198,G197)</f>
        <v>20</v>
      </c>
      <c r="AB197" s="21">
        <f t="shared" si="44"/>
        <v>44988</v>
      </c>
      <c r="AC197" s="21">
        <f t="shared" si="45"/>
        <v>45016</v>
      </c>
      <c r="AD197" s="5">
        <f>(Table1[[#This Row],[OrderDate]]-Table1[[#This Row],[Date of first order]])/30</f>
        <v>8.5666666666666664</v>
      </c>
      <c r="AE197" t="str">
        <f t="shared" si="46"/>
        <v>Poor</v>
      </c>
      <c r="AF197">
        <f>COUNTIF(AE$2:AE198,AE197)</f>
        <v>138</v>
      </c>
      <c r="AG197" t="str">
        <f t="shared" si="47"/>
        <v>False</v>
      </c>
      <c r="AH197" s="7">
        <f>Table1[[#This Row],[UnitPrice]]*(1-Table1[[#This Row],[Disc Scenario]])*Table1[[#This Row],[Quantity]]</f>
        <v>10769.426118000001</v>
      </c>
      <c r="AI197">
        <f>ROUNDDOWN((Table1[[#This Row],[Quantity]]*(1+20%)),0)</f>
        <v>6</v>
      </c>
      <c r="AJ197" s="7">
        <f>Table1[[#This Row],[Quantity increase by 20%]]*Table1[[#This Row],[UnitPrice]]</f>
        <v>13295.587800000001</v>
      </c>
      <c r="AK197">
        <f>ROUNDDOWN(Table1[[#This Row],[Quantity]]*(1+20%),0)</f>
        <v>6</v>
      </c>
      <c r="AL197" s="7">
        <f>Table1[[#This Row],[UnitCost]]*(1+15%)</f>
        <v>1362.7384999999999</v>
      </c>
      <c r="AM197" s="9">
        <f>Table1[[#This Row],[Quantity]]*Table1[[#This Row],[Cost of unit by inflation 15%]]</f>
        <v>6813.6924999999992</v>
      </c>
      <c r="AN197" s="21" cm="1">
        <f t="array" ref="AN197">_xlfn.UNIQUE(AC197)</f>
        <v>45016</v>
      </c>
    </row>
    <row r="198" spans="1:40" x14ac:dyDescent="0.35">
      <c r="A198" t="s">
        <v>638</v>
      </c>
      <c r="B198" s="21">
        <v>45249</v>
      </c>
      <c r="C198" s="10">
        <v>45272</v>
      </c>
      <c r="D198" s="3">
        <f t="shared" si="36"/>
        <v>23</v>
      </c>
      <c r="E198" s="10" t="str">
        <f t="shared" si="37"/>
        <v>Q4-2023</v>
      </c>
      <c r="F198" t="s">
        <v>646</v>
      </c>
      <c r="G198" t="s">
        <v>653</v>
      </c>
      <c r="H198" t="s">
        <v>679</v>
      </c>
      <c r="I198" t="s">
        <v>704</v>
      </c>
      <c r="J198" t="s">
        <v>710</v>
      </c>
      <c r="K198" t="s">
        <v>711</v>
      </c>
      <c r="L198" t="s">
        <v>728</v>
      </c>
      <c r="M198" t="s">
        <v>1354</v>
      </c>
      <c r="N198" s="3">
        <v>1349.04</v>
      </c>
      <c r="O198" s="3">
        <v>2636.6</v>
      </c>
      <c r="P198" s="6">
        <v>0.114</v>
      </c>
      <c r="Q198" s="6">
        <f>IF(Table1[[#This Row],[DiscountPct]]&gt;25%,25%,Table1[[#This Row],[DiscountPct]])</f>
        <v>0.114</v>
      </c>
      <c r="R198" s="5">
        <v>14</v>
      </c>
      <c r="S198" s="6">
        <f t="shared" si="38"/>
        <v>0.9544268516871256</v>
      </c>
      <c r="T198" s="8">
        <f t="shared" si="39"/>
        <v>32704.386400000003</v>
      </c>
      <c r="U198" s="8">
        <f t="shared" si="40"/>
        <v>18886.559999999998</v>
      </c>
      <c r="V198" s="9">
        <f t="shared" si="41"/>
        <v>13817.826400000005</v>
      </c>
      <c r="W198" s="6">
        <f t="shared" si="42"/>
        <v>0.42250682312143928</v>
      </c>
      <c r="X198" t="str" cm="1">
        <f t="array" ref="X198">_xlfn.IFS(S198&lt;=25%, "Low", S198&lt;=75%, "Medium", S198&gt;75%, "High")</f>
        <v>High</v>
      </c>
      <c r="Y198" s="8">
        <f>Table1[[#This Row],[Quantity]]*(Table1[[#This Row],[UnitPrice]]*(1-Table1[[#This Row],[DiscountPct]]))</f>
        <v>32704.386399999999</v>
      </c>
      <c r="Z198" s="9">
        <f t="shared" si="43"/>
        <v>13817.826400000002</v>
      </c>
      <c r="AA198">
        <f>COUNTIF($G$2:G199,G198)</f>
        <v>19</v>
      </c>
      <c r="AB198" s="21">
        <f t="shared" si="44"/>
        <v>44988</v>
      </c>
      <c r="AC198" s="21">
        <f t="shared" si="45"/>
        <v>45016</v>
      </c>
      <c r="AD198" s="5">
        <f>(Table1[[#This Row],[OrderDate]]-Table1[[#This Row],[Date of first order]])/30</f>
        <v>8.6999999999999993</v>
      </c>
      <c r="AE198" t="str">
        <f t="shared" si="46"/>
        <v>Poor</v>
      </c>
      <c r="AF198">
        <f>COUNTIF(AE$2:AE199,AE198)</f>
        <v>139</v>
      </c>
      <c r="AG198" t="str">
        <f t="shared" si="47"/>
        <v>False</v>
      </c>
      <c r="AH198" s="7">
        <f>Table1[[#This Row],[UnitPrice]]*(1-Table1[[#This Row],[Disc Scenario]])*Table1[[#This Row],[Quantity]]</f>
        <v>32704.386399999999</v>
      </c>
      <c r="AI198">
        <f>ROUNDDOWN((Table1[[#This Row],[Quantity]]*(1+20%)),0)</f>
        <v>16</v>
      </c>
      <c r="AJ198" s="7">
        <f>Table1[[#This Row],[Quantity increase by 20%]]*Table1[[#This Row],[UnitPrice]]</f>
        <v>42185.599999999999</v>
      </c>
      <c r="AK198">
        <f>ROUNDDOWN(Table1[[#This Row],[Quantity]]*(1+20%),0)</f>
        <v>16</v>
      </c>
      <c r="AL198" s="7">
        <f>Table1[[#This Row],[UnitCost]]*(1+15%)</f>
        <v>1551.3959999999997</v>
      </c>
      <c r="AM198" s="9">
        <f>Table1[[#This Row],[Quantity]]*Table1[[#This Row],[Cost of unit by inflation 15%]]</f>
        <v>21719.543999999994</v>
      </c>
      <c r="AN198" s="21" cm="1">
        <f t="array" ref="AN198">_xlfn.UNIQUE(AC198)</f>
        <v>45016</v>
      </c>
    </row>
    <row r="199" spans="1:40" x14ac:dyDescent="0.35">
      <c r="A199" t="s">
        <v>136</v>
      </c>
      <c r="B199" s="21">
        <v>45249</v>
      </c>
      <c r="C199" s="10">
        <v>45273</v>
      </c>
      <c r="D199" s="3">
        <f t="shared" si="36"/>
        <v>24</v>
      </c>
      <c r="E199" s="10" t="str">
        <f t="shared" si="37"/>
        <v>Q4-2023</v>
      </c>
      <c r="F199" t="s">
        <v>648</v>
      </c>
      <c r="G199" t="s">
        <v>656</v>
      </c>
      <c r="H199" t="s">
        <v>678</v>
      </c>
      <c r="I199" t="s">
        <v>702</v>
      </c>
      <c r="J199" t="s">
        <v>710</v>
      </c>
      <c r="K199" t="s">
        <v>721</v>
      </c>
      <c r="L199" t="s">
        <v>731</v>
      </c>
      <c r="M199" t="s">
        <v>854</v>
      </c>
      <c r="N199" s="3">
        <v>1297.42</v>
      </c>
      <c r="O199" s="3">
        <v>2742.97</v>
      </c>
      <c r="P199" s="6">
        <v>6.9000000000000006E-2</v>
      </c>
      <c r="Q199" s="6">
        <f>IF(Table1[[#This Row],[DiscountPct]]&gt;25%,25%,Table1[[#This Row],[DiscountPct]])</f>
        <v>6.9000000000000006E-2</v>
      </c>
      <c r="R199" s="5">
        <v>9</v>
      </c>
      <c r="S199" s="6">
        <f t="shared" si="38"/>
        <v>1.1141727428280739</v>
      </c>
      <c r="T199" s="8">
        <f t="shared" si="39"/>
        <v>22983.34563</v>
      </c>
      <c r="U199" s="8">
        <f t="shared" si="40"/>
        <v>11676.78</v>
      </c>
      <c r="V199" s="9">
        <f t="shared" si="41"/>
        <v>11306.565629999999</v>
      </c>
      <c r="W199" s="6">
        <f t="shared" si="42"/>
        <v>0.49194602961727291</v>
      </c>
      <c r="X199" t="str" cm="1">
        <f t="array" ref="X199">_xlfn.IFS(S199&lt;=25%, "Low", S199&lt;=75%, "Medium", S199&gt;75%, "High")</f>
        <v>High</v>
      </c>
      <c r="Y199" s="8">
        <f>Table1[[#This Row],[Quantity]]*(Table1[[#This Row],[UnitPrice]]*(1-Table1[[#This Row],[DiscountPct]]))</f>
        <v>22983.34563</v>
      </c>
      <c r="Z199" s="9">
        <f t="shared" si="43"/>
        <v>11306.565629999999</v>
      </c>
      <c r="AA199">
        <f>COUNTIF($G$2:G200,G199)</f>
        <v>14</v>
      </c>
      <c r="AB199" s="21">
        <f t="shared" si="44"/>
        <v>44988</v>
      </c>
      <c r="AC199" s="21">
        <f t="shared" si="45"/>
        <v>45016</v>
      </c>
      <c r="AD199" s="5">
        <f>(Table1[[#This Row],[OrderDate]]-Table1[[#This Row],[Date of first order]])/30</f>
        <v>8.6999999999999993</v>
      </c>
      <c r="AE199" t="str">
        <f t="shared" si="46"/>
        <v>Poor</v>
      </c>
      <c r="AF199">
        <f>COUNTIF(AE$2:AE200,AE199)</f>
        <v>140</v>
      </c>
      <c r="AG199" t="str">
        <f t="shared" si="47"/>
        <v>False</v>
      </c>
      <c r="AH199" s="7">
        <f>Table1[[#This Row],[UnitPrice]]*(1-Table1[[#This Row],[Disc Scenario]])*Table1[[#This Row],[Quantity]]</f>
        <v>22983.34563</v>
      </c>
      <c r="AI199">
        <f>ROUNDDOWN((Table1[[#This Row],[Quantity]]*(1+20%)),0)</f>
        <v>10</v>
      </c>
      <c r="AJ199" s="7">
        <f>Table1[[#This Row],[Quantity increase by 20%]]*Table1[[#This Row],[UnitPrice]]</f>
        <v>27429.699999999997</v>
      </c>
      <c r="AK199">
        <f>ROUNDDOWN(Table1[[#This Row],[Quantity]]*(1+20%),0)</f>
        <v>10</v>
      </c>
      <c r="AL199" s="7">
        <f>Table1[[#This Row],[UnitCost]]*(1+15%)</f>
        <v>1492.0329999999999</v>
      </c>
      <c r="AM199" s="9">
        <f>Table1[[#This Row],[Quantity]]*Table1[[#This Row],[Cost of unit by inflation 15%]]</f>
        <v>13428.296999999999</v>
      </c>
      <c r="AN199" s="21" cm="1">
        <f t="array" ref="AN199">_xlfn.UNIQUE(AC199)</f>
        <v>45016</v>
      </c>
    </row>
    <row r="200" spans="1:40" x14ac:dyDescent="0.35">
      <c r="A200" t="s">
        <v>643</v>
      </c>
      <c r="B200" s="21">
        <v>45249</v>
      </c>
      <c r="C200" s="10">
        <v>45279</v>
      </c>
      <c r="D200" s="3">
        <f t="shared" si="36"/>
        <v>30</v>
      </c>
      <c r="E200" s="10" t="str">
        <f t="shared" si="37"/>
        <v>Q4-2023</v>
      </c>
      <c r="F200" t="s">
        <v>646</v>
      </c>
      <c r="G200" t="s">
        <v>651</v>
      </c>
      <c r="H200" t="s">
        <v>693</v>
      </c>
      <c r="I200" t="s">
        <v>703</v>
      </c>
      <c r="J200" t="s">
        <v>706</v>
      </c>
      <c r="K200" t="s">
        <v>715</v>
      </c>
      <c r="L200" t="s">
        <v>729</v>
      </c>
      <c r="M200" t="s">
        <v>1359</v>
      </c>
      <c r="N200" s="3">
        <v>807.11</v>
      </c>
      <c r="O200" s="3">
        <v>1853.86</v>
      </c>
      <c r="P200" s="6">
        <v>0.13900000000000001</v>
      </c>
      <c r="Q200" s="6">
        <f>IF(Table1[[#This Row],[DiscountPct]]&gt;25%,25%,Table1[[#This Row],[DiscountPct]])</f>
        <v>0.13900000000000001</v>
      </c>
      <c r="R200" s="5">
        <v>8</v>
      </c>
      <c r="S200" s="6">
        <f t="shared" si="38"/>
        <v>1.2969112016949362</v>
      </c>
      <c r="T200" s="8">
        <f t="shared" si="39"/>
        <v>12769.38768</v>
      </c>
      <c r="U200" s="8">
        <f t="shared" si="40"/>
        <v>6456.88</v>
      </c>
      <c r="V200" s="9">
        <f t="shared" si="41"/>
        <v>6312.5076799999997</v>
      </c>
      <c r="W200" s="6">
        <f t="shared" si="42"/>
        <v>0.49434693645388639</v>
      </c>
      <c r="X200" t="str" cm="1">
        <f t="array" ref="X200">_xlfn.IFS(S200&lt;=25%, "Low", S200&lt;=75%, "Medium", S200&gt;75%, "High")</f>
        <v>High</v>
      </c>
      <c r="Y200" s="8">
        <f>Table1[[#This Row],[Quantity]]*(Table1[[#This Row],[UnitPrice]]*(1-Table1[[#This Row],[DiscountPct]]))</f>
        <v>12769.38768</v>
      </c>
      <c r="Z200" s="9">
        <f t="shared" si="43"/>
        <v>6312.5076799999997</v>
      </c>
      <c r="AA200">
        <f>COUNTIF($G$2:G201,G200)</f>
        <v>14</v>
      </c>
      <c r="AB200" s="21">
        <f t="shared" si="44"/>
        <v>44988</v>
      </c>
      <c r="AC200" s="21">
        <f t="shared" si="45"/>
        <v>45016</v>
      </c>
      <c r="AD200" s="5">
        <f>(Table1[[#This Row],[OrderDate]]-Table1[[#This Row],[Date of first order]])/30</f>
        <v>8.6999999999999993</v>
      </c>
      <c r="AE200" t="str">
        <f t="shared" si="46"/>
        <v>Poor</v>
      </c>
      <c r="AF200">
        <f>COUNTIF(AE$2:AE201,AE200)</f>
        <v>141</v>
      </c>
      <c r="AG200" t="str">
        <f t="shared" si="47"/>
        <v>False</v>
      </c>
      <c r="AH200" s="7">
        <f>Table1[[#This Row],[UnitPrice]]*(1-Table1[[#This Row],[Disc Scenario]])*Table1[[#This Row],[Quantity]]</f>
        <v>12769.38768</v>
      </c>
      <c r="AI200">
        <f>ROUNDDOWN((Table1[[#This Row],[Quantity]]*(1+20%)),0)</f>
        <v>9</v>
      </c>
      <c r="AJ200" s="7">
        <f>Table1[[#This Row],[Quantity increase by 20%]]*Table1[[#This Row],[UnitPrice]]</f>
        <v>16684.739999999998</v>
      </c>
      <c r="AK200">
        <f>ROUNDDOWN(Table1[[#This Row],[Quantity]]*(1+20%),0)</f>
        <v>9</v>
      </c>
      <c r="AL200" s="7">
        <f>Table1[[#This Row],[UnitCost]]*(1+15%)</f>
        <v>928.17649999999992</v>
      </c>
      <c r="AM200" s="9">
        <f>Table1[[#This Row],[Quantity]]*Table1[[#This Row],[Cost of unit by inflation 15%]]</f>
        <v>7425.4119999999994</v>
      </c>
      <c r="AN200" s="21" cm="1">
        <f t="array" ref="AN200">_xlfn.UNIQUE(AC200)</f>
        <v>45016</v>
      </c>
    </row>
    <row r="201" spans="1:40" x14ac:dyDescent="0.35">
      <c r="A201" t="s">
        <v>129</v>
      </c>
      <c r="B201" s="21">
        <v>45250</v>
      </c>
      <c r="C201" s="10">
        <v>45265</v>
      </c>
      <c r="D201" s="3">
        <f t="shared" si="36"/>
        <v>15</v>
      </c>
      <c r="E201" s="10" t="str">
        <f t="shared" si="37"/>
        <v>Q4-2023</v>
      </c>
      <c r="F201" t="s">
        <v>646</v>
      </c>
      <c r="G201" t="s">
        <v>651</v>
      </c>
      <c r="H201" t="s">
        <v>688</v>
      </c>
      <c r="I201" t="s">
        <v>705</v>
      </c>
      <c r="J201" t="s">
        <v>706</v>
      </c>
      <c r="K201" t="s">
        <v>715</v>
      </c>
      <c r="L201" t="s">
        <v>728</v>
      </c>
      <c r="M201" t="s">
        <v>847</v>
      </c>
      <c r="N201" s="3">
        <v>354.24</v>
      </c>
      <c r="O201" s="3">
        <v>648.25920000000008</v>
      </c>
      <c r="P201" s="6">
        <v>0</v>
      </c>
      <c r="Q201" s="6">
        <f>IF(Table1[[#This Row],[DiscountPct]]&gt;25%,25%,Table1[[#This Row],[DiscountPct]])</f>
        <v>0</v>
      </c>
      <c r="R201" s="5">
        <v>6</v>
      </c>
      <c r="S201" s="6">
        <f t="shared" si="38"/>
        <v>0.83000000000000018</v>
      </c>
      <c r="T201" s="8">
        <f t="shared" si="39"/>
        <v>3889.5552000000007</v>
      </c>
      <c r="U201" s="8">
        <f t="shared" si="40"/>
        <v>2125.44</v>
      </c>
      <c r="V201" s="9">
        <f t="shared" si="41"/>
        <v>1764.1152000000006</v>
      </c>
      <c r="W201" s="6">
        <f t="shared" si="42"/>
        <v>0.45355191256830607</v>
      </c>
      <c r="X201" t="str" cm="1">
        <f t="array" ref="X201">_xlfn.IFS(S201&lt;=25%, "Low", S201&lt;=75%, "Medium", S201&gt;75%, "High")</f>
        <v>High</v>
      </c>
      <c r="Y201" s="8">
        <f>Table1[[#This Row],[Quantity]]*(Table1[[#This Row],[UnitPrice]]*(1-Table1[[#This Row],[DiscountPct]]))</f>
        <v>3889.5552000000007</v>
      </c>
      <c r="Z201" s="9">
        <f t="shared" si="43"/>
        <v>1764.1152000000006</v>
      </c>
      <c r="AA201">
        <f>COUNTIF($G$2:G202,G201)</f>
        <v>14</v>
      </c>
      <c r="AB201" s="21">
        <f t="shared" si="44"/>
        <v>44988</v>
      </c>
      <c r="AC201" s="21">
        <f t="shared" si="45"/>
        <v>45016</v>
      </c>
      <c r="AD201" s="5">
        <f>(Table1[[#This Row],[OrderDate]]-Table1[[#This Row],[Date of first order]])/30</f>
        <v>8.7333333333333325</v>
      </c>
      <c r="AE201" t="str">
        <f t="shared" si="46"/>
        <v>Poor</v>
      </c>
      <c r="AF201">
        <f>COUNTIF(AE$2:AE202,AE201)</f>
        <v>142</v>
      </c>
      <c r="AG201" t="str">
        <f t="shared" si="47"/>
        <v>False</v>
      </c>
      <c r="AH201" s="7">
        <f>Table1[[#This Row],[UnitPrice]]*(1-Table1[[#This Row],[Disc Scenario]])*Table1[[#This Row],[Quantity]]</f>
        <v>3889.5552000000007</v>
      </c>
      <c r="AI201">
        <f>ROUNDDOWN((Table1[[#This Row],[Quantity]]*(1+20%)),0)</f>
        <v>7</v>
      </c>
      <c r="AJ201" s="7">
        <f>Table1[[#This Row],[Quantity increase by 20%]]*Table1[[#This Row],[UnitPrice]]</f>
        <v>4537.8144000000002</v>
      </c>
      <c r="AK201">
        <f>ROUNDDOWN(Table1[[#This Row],[Quantity]]*(1+20%),0)</f>
        <v>7</v>
      </c>
      <c r="AL201" s="7">
        <f>Table1[[#This Row],[UnitCost]]*(1+15%)</f>
        <v>407.37599999999998</v>
      </c>
      <c r="AM201" s="9">
        <f>Table1[[#This Row],[Quantity]]*Table1[[#This Row],[Cost of unit by inflation 15%]]</f>
        <v>2444.2559999999999</v>
      </c>
      <c r="AN201" s="21" cm="1">
        <f t="array" ref="AN201">_xlfn.UNIQUE(AC201)</f>
        <v>45016</v>
      </c>
    </row>
    <row r="202" spans="1:40" x14ac:dyDescent="0.35">
      <c r="A202" t="s">
        <v>251</v>
      </c>
      <c r="B202" s="21">
        <v>45258</v>
      </c>
      <c r="C202" s="10">
        <v>45267</v>
      </c>
      <c r="D202" s="3">
        <f t="shared" si="36"/>
        <v>9</v>
      </c>
      <c r="E202" s="10" t="str">
        <f t="shared" si="37"/>
        <v>Q4-2023</v>
      </c>
      <c r="F202" t="s">
        <v>646</v>
      </c>
      <c r="G202" t="s">
        <v>653</v>
      </c>
      <c r="H202" t="s">
        <v>679</v>
      </c>
      <c r="I202" t="s">
        <v>705</v>
      </c>
      <c r="J202" t="s">
        <v>708</v>
      </c>
      <c r="K202" t="s">
        <v>715</v>
      </c>
      <c r="L202" t="s">
        <v>729</v>
      </c>
      <c r="M202" t="s">
        <v>969</v>
      </c>
      <c r="N202" s="3">
        <v>699.33</v>
      </c>
      <c r="O202" s="3">
        <v>873.75</v>
      </c>
      <c r="P202" s="6">
        <v>0.23499999999999999</v>
      </c>
      <c r="Q202" s="6">
        <f>IF(Table1[[#This Row],[DiscountPct]]&gt;25%,25%,Table1[[#This Row],[DiscountPct]])</f>
        <v>0.23499999999999999</v>
      </c>
      <c r="R202" s="5">
        <v>10</v>
      </c>
      <c r="S202" s="6">
        <f t="shared" si="38"/>
        <v>0.24941014971472689</v>
      </c>
      <c r="T202" s="8">
        <f t="shared" si="39"/>
        <v>6684.1875</v>
      </c>
      <c r="U202" s="8">
        <f t="shared" si="40"/>
        <v>6993.3</v>
      </c>
      <c r="V202" s="9">
        <f t="shared" si="41"/>
        <v>-309.11250000000018</v>
      </c>
      <c r="W202" s="6">
        <f t="shared" si="42"/>
        <v>-4.6245336475076469E-2</v>
      </c>
      <c r="X202" t="str" cm="1">
        <f t="array" ref="X202">_xlfn.IFS(S202&lt;=25%, "Low", S202&lt;=75%, "Medium", S202&gt;75%, "High")</f>
        <v>Low</v>
      </c>
      <c r="Y202" s="8">
        <f>Table1[[#This Row],[Quantity]]*(Table1[[#This Row],[UnitPrice]]*(1-Table1[[#This Row],[DiscountPct]]))</f>
        <v>6684.1875</v>
      </c>
      <c r="Z202" s="9">
        <f t="shared" si="43"/>
        <v>-309.11250000000018</v>
      </c>
      <c r="AA202">
        <f>COUNTIF($G$2:G203,G202)</f>
        <v>20</v>
      </c>
      <c r="AB202" s="21">
        <f t="shared" si="44"/>
        <v>44988</v>
      </c>
      <c r="AC202" s="21">
        <f t="shared" si="45"/>
        <v>45016</v>
      </c>
      <c r="AD202" s="5">
        <f>(Table1[[#This Row],[OrderDate]]-Table1[[#This Row],[Date of first order]])/30</f>
        <v>9</v>
      </c>
      <c r="AE202" t="str">
        <f t="shared" si="46"/>
        <v>Poor</v>
      </c>
      <c r="AF202">
        <f>COUNTIF(AE$2:AE203,AE202)</f>
        <v>142</v>
      </c>
      <c r="AG202" t="str">
        <f t="shared" si="47"/>
        <v>True</v>
      </c>
      <c r="AH202" s="7">
        <f>Table1[[#This Row],[UnitPrice]]*(1-Table1[[#This Row],[Disc Scenario]])*Table1[[#This Row],[Quantity]]</f>
        <v>6684.1875</v>
      </c>
      <c r="AI202">
        <f>ROUNDDOWN((Table1[[#This Row],[Quantity]]*(1+20%)),0)</f>
        <v>12</v>
      </c>
      <c r="AJ202" s="7">
        <f>Table1[[#This Row],[Quantity increase by 20%]]*Table1[[#This Row],[UnitPrice]]</f>
        <v>10485</v>
      </c>
      <c r="AK202">
        <f>ROUNDDOWN(Table1[[#This Row],[Quantity]]*(1+20%),0)</f>
        <v>12</v>
      </c>
      <c r="AL202" s="7">
        <f>Table1[[#This Row],[UnitCost]]*(1+15%)</f>
        <v>804.22950000000003</v>
      </c>
      <c r="AM202" s="9">
        <f>Table1[[#This Row],[Quantity]]*Table1[[#This Row],[Cost of unit by inflation 15%]]</f>
        <v>8042.2950000000001</v>
      </c>
      <c r="AN202" s="21" cm="1">
        <f t="array" ref="AN202">_xlfn.UNIQUE(AC202)</f>
        <v>45016</v>
      </c>
    </row>
    <row r="203" spans="1:40" x14ac:dyDescent="0.35">
      <c r="A203" t="s">
        <v>159</v>
      </c>
      <c r="B203" s="21">
        <v>45259</v>
      </c>
      <c r="C203" s="10">
        <v>45260</v>
      </c>
      <c r="D203" s="3">
        <f t="shared" si="36"/>
        <v>1</v>
      </c>
      <c r="E203" s="10" t="str">
        <f t="shared" si="37"/>
        <v>Q4-2023</v>
      </c>
      <c r="F203" t="s">
        <v>645</v>
      </c>
      <c r="G203" t="s">
        <v>660</v>
      </c>
      <c r="H203" t="s">
        <v>686</v>
      </c>
      <c r="I203" t="s">
        <v>704</v>
      </c>
      <c r="J203" t="s">
        <v>708</v>
      </c>
      <c r="K203" t="s">
        <v>717</v>
      </c>
      <c r="L203" t="s">
        <v>730</v>
      </c>
      <c r="M203" t="s">
        <v>877</v>
      </c>
      <c r="N203" s="3">
        <v>275.56</v>
      </c>
      <c r="O203" s="3">
        <v>630.72</v>
      </c>
      <c r="P203" s="6">
        <v>0.107</v>
      </c>
      <c r="Q203" s="6">
        <f>IF(Table1[[#This Row],[DiscountPct]]&gt;25%,25%,Table1[[#This Row],[DiscountPct]])</f>
        <v>0.107</v>
      </c>
      <c r="R203" s="5">
        <v>23</v>
      </c>
      <c r="S203" s="6">
        <f t="shared" si="38"/>
        <v>1.2888663086079257</v>
      </c>
      <c r="T203" s="8">
        <f t="shared" si="39"/>
        <v>12954.358080000002</v>
      </c>
      <c r="U203" s="8">
        <f t="shared" si="40"/>
        <v>6337.88</v>
      </c>
      <c r="V203" s="9">
        <f t="shared" si="41"/>
        <v>6616.4780800000017</v>
      </c>
      <c r="W203" s="6">
        <f t="shared" si="42"/>
        <v>0.5107530638831933</v>
      </c>
      <c r="X203" t="str" cm="1">
        <f t="array" ref="X203">_xlfn.IFS(S203&lt;=25%, "Low", S203&lt;=75%, "Medium", S203&gt;75%, "High")</f>
        <v>High</v>
      </c>
      <c r="Y203" s="8">
        <f>Table1[[#This Row],[Quantity]]*(Table1[[#This Row],[UnitPrice]]*(1-Table1[[#This Row],[DiscountPct]]))</f>
        <v>12954.358080000002</v>
      </c>
      <c r="Z203" s="9">
        <f t="shared" si="43"/>
        <v>6616.4780800000017</v>
      </c>
      <c r="AA203">
        <f>COUNTIF($G$2:G204,G203)</f>
        <v>18</v>
      </c>
      <c r="AB203" s="21">
        <f t="shared" si="44"/>
        <v>44988</v>
      </c>
      <c r="AC203" s="21">
        <f t="shared" si="45"/>
        <v>45016</v>
      </c>
      <c r="AD203" s="5">
        <f>(Table1[[#This Row],[OrderDate]]-Table1[[#This Row],[Date of first order]])/30</f>
        <v>9.0333333333333332</v>
      </c>
      <c r="AE203" t="str">
        <f t="shared" si="46"/>
        <v>Good</v>
      </c>
      <c r="AF203">
        <f>COUNTIF(AE$2:AE204,AE203)</f>
        <v>60</v>
      </c>
      <c r="AG203" t="str">
        <f t="shared" si="47"/>
        <v>False</v>
      </c>
      <c r="AH203" s="7">
        <f>Table1[[#This Row],[UnitPrice]]*(1-Table1[[#This Row],[Disc Scenario]])*Table1[[#This Row],[Quantity]]</f>
        <v>12954.358080000002</v>
      </c>
      <c r="AI203">
        <f>ROUNDDOWN((Table1[[#This Row],[Quantity]]*(1+20%)),0)</f>
        <v>27</v>
      </c>
      <c r="AJ203" s="7">
        <f>Table1[[#This Row],[Quantity increase by 20%]]*Table1[[#This Row],[UnitPrice]]</f>
        <v>17029.440000000002</v>
      </c>
      <c r="AK203">
        <f>ROUNDDOWN(Table1[[#This Row],[Quantity]]*(1+20%),0)</f>
        <v>27</v>
      </c>
      <c r="AL203" s="7">
        <f>Table1[[#This Row],[UnitCost]]*(1+15%)</f>
        <v>316.89400000000001</v>
      </c>
      <c r="AM203" s="9">
        <f>Table1[[#This Row],[Quantity]]*Table1[[#This Row],[Cost of unit by inflation 15%]]</f>
        <v>7288.5619999999999</v>
      </c>
      <c r="AN203" s="21" cm="1">
        <f t="array" ref="AN203">_xlfn.UNIQUE(AC203)</f>
        <v>45016</v>
      </c>
    </row>
    <row r="204" spans="1:40" x14ac:dyDescent="0.35">
      <c r="A204" t="s">
        <v>471</v>
      </c>
      <c r="B204" s="21">
        <v>45260</v>
      </c>
      <c r="C204" s="10">
        <v>45270</v>
      </c>
      <c r="D204" s="3">
        <f t="shared" si="36"/>
        <v>10</v>
      </c>
      <c r="E204" s="10" t="str">
        <f t="shared" si="37"/>
        <v>Q4-2023</v>
      </c>
      <c r="F204" t="s">
        <v>648</v>
      </c>
      <c r="G204" t="s">
        <v>655</v>
      </c>
      <c r="H204" t="s">
        <v>683</v>
      </c>
      <c r="I204" t="s">
        <v>704</v>
      </c>
      <c r="J204" t="s">
        <v>710</v>
      </c>
      <c r="K204" t="s">
        <v>720</v>
      </c>
      <c r="L204" t="s">
        <v>730</v>
      </c>
      <c r="M204" t="s">
        <v>1188</v>
      </c>
      <c r="N204" s="3">
        <v>174.74</v>
      </c>
      <c r="O204" s="3">
        <v>415.96</v>
      </c>
      <c r="P204" s="6">
        <v>0.125</v>
      </c>
      <c r="Q204" s="6">
        <f>IF(Table1[[#This Row],[DiscountPct]]&gt;25%,25%,Table1[[#This Row],[DiscountPct]])</f>
        <v>0.125</v>
      </c>
      <c r="R204" s="5">
        <v>21</v>
      </c>
      <c r="S204" s="6">
        <f t="shared" si="38"/>
        <v>1.3804509557056195</v>
      </c>
      <c r="T204" s="8">
        <f t="shared" si="39"/>
        <v>7643.2649999999994</v>
      </c>
      <c r="U204" s="8">
        <f t="shared" si="40"/>
        <v>3669.54</v>
      </c>
      <c r="V204" s="9">
        <f t="shared" si="41"/>
        <v>3973.7249999999995</v>
      </c>
      <c r="W204" s="6">
        <f t="shared" si="42"/>
        <v>0.51989889137691803</v>
      </c>
      <c r="X204" t="str" cm="1">
        <f t="array" ref="X204">_xlfn.IFS(S204&lt;=25%, "Low", S204&lt;=75%, "Medium", S204&gt;75%, "High")</f>
        <v>High</v>
      </c>
      <c r="Y204" s="8">
        <f>Table1[[#This Row],[Quantity]]*(Table1[[#This Row],[UnitPrice]]*(1-Table1[[#This Row],[DiscountPct]]))</f>
        <v>7643.2649999999994</v>
      </c>
      <c r="Z204" s="9">
        <f t="shared" si="43"/>
        <v>3973.7249999999995</v>
      </c>
      <c r="AA204">
        <f>COUNTIF($G$2:G205,G204)</f>
        <v>16</v>
      </c>
      <c r="AB204" s="21">
        <f t="shared" si="44"/>
        <v>44988</v>
      </c>
      <c r="AC204" s="21">
        <f t="shared" si="45"/>
        <v>45016</v>
      </c>
      <c r="AD204" s="5">
        <f>(Table1[[#This Row],[OrderDate]]-Table1[[#This Row],[Date of first order]])/30</f>
        <v>9.0666666666666664</v>
      </c>
      <c r="AE204" t="str">
        <f t="shared" si="46"/>
        <v>Poor</v>
      </c>
      <c r="AF204">
        <f>COUNTIF(AE$2:AE205,AE204)</f>
        <v>144</v>
      </c>
      <c r="AG204" t="str">
        <f t="shared" si="47"/>
        <v>False</v>
      </c>
      <c r="AH204" s="7">
        <f>Table1[[#This Row],[UnitPrice]]*(1-Table1[[#This Row],[Disc Scenario]])*Table1[[#This Row],[Quantity]]</f>
        <v>7643.2649999999994</v>
      </c>
      <c r="AI204">
        <f>ROUNDDOWN((Table1[[#This Row],[Quantity]]*(1+20%)),0)</f>
        <v>25</v>
      </c>
      <c r="AJ204" s="7">
        <f>Table1[[#This Row],[Quantity increase by 20%]]*Table1[[#This Row],[UnitPrice]]</f>
        <v>10399</v>
      </c>
      <c r="AK204">
        <f>ROUNDDOWN(Table1[[#This Row],[Quantity]]*(1+20%),0)</f>
        <v>25</v>
      </c>
      <c r="AL204" s="7">
        <f>Table1[[#This Row],[UnitCost]]*(1+15%)</f>
        <v>200.95099999999999</v>
      </c>
      <c r="AM204" s="9">
        <f>Table1[[#This Row],[Quantity]]*Table1[[#This Row],[Cost of unit by inflation 15%]]</f>
        <v>4219.9709999999995</v>
      </c>
      <c r="AN204" s="21" cm="1">
        <f t="array" ref="AN204">_xlfn.UNIQUE(AC204)</f>
        <v>45016</v>
      </c>
    </row>
    <row r="205" spans="1:40" x14ac:dyDescent="0.35">
      <c r="A205" t="s">
        <v>358</v>
      </c>
      <c r="B205" s="21">
        <v>45261</v>
      </c>
      <c r="C205" s="10">
        <v>45278</v>
      </c>
      <c r="D205" s="3">
        <f t="shared" si="36"/>
        <v>17</v>
      </c>
      <c r="E205" s="10" t="str">
        <f t="shared" si="37"/>
        <v>Q4-2023</v>
      </c>
      <c r="F205" t="s">
        <v>646</v>
      </c>
      <c r="G205" t="s">
        <v>651</v>
      </c>
      <c r="H205" t="s">
        <v>693</v>
      </c>
      <c r="I205" t="s">
        <v>704</v>
      </c>
      <c r="J205" t="s">
        <v>710</v>
      </c>
      <c r="K205" t="s">
        <v>724</v>
      </c>
      <c r="L205" t="s">
        <v>730</v>
      </c>
      <c r="M205" t="s">
        <v>1076</v>
      </c>
      <c r="N205" s="3">
        <v>1495.79</v>
      </c>
      <c r="O205" s="3">
        <v>2783.12</v>
      </c>
      <c r="P205" s="6">
        <v>0.02</v>
      </c>
      <c r="Q205" s="6">
        <f>IF(Table1[[#This Row],[DiscountPct]]&gt;25%,25%,Table1[[#This Row],[DiscountPct]])</f>
        <v>0.02</v>
      </c>
      <c r="R205" s="5">
        <v>5</v>
      </c>
      <c r="S205" s="6">
        <f t="shared" si="38"/>
        <v>0.8606355170177632</v>
      </c>
      <c r="T205" s="8">
        <f t="shared" si="39"/>
        <v>13637.287999999999</v>
      </c>
      <c r="U205" s="8">
        <f t="shared" si="40"/>
        <v>7478.95</v>
      </c>
      <c r="V205" s="9">
        <f t="shared" si="41"/>
        <v>6158.3379999999988</v>
      </c>
      <c r="W205" s="6">
        <f t="shared" si="42"/>
        <v>0.45158084217331185</v>
      </c>
      <c r="X205" t="str" cm="1">
        <f t="array" ref="X205">_xlfn.IFS(S205&lt;=25%, "Low", S205&lt;=75%, "Medium", S205&gt;75%, "High")</f>
        <v>High</v>
      </c>
      <c r="Y205" s="8">
        <f>Table1[[#This Row],[Quantity]]*(Table1[[#This Row],[UnitPrice]]*(1-Table1[[#This Row],[DiscountPct]]))</f>
        <v>13637.287999999999</v>
      </c>
      <c r="Z205" s="9">
        <f t="shared" si="43"/>
        <v>6158.3379999999988</v>
      </c>
      <c r="AA205">
        <f>COUNTIF($G$2:G206,G205)</f>
        <v>15</v>
      </c>
      <c r="AB205" s="21">
        <f t="shared" si="44"/>
        <v>44988</v>
      </c>
      <c r="AC205" s="21">
        <f t="shared" si="45"/>
        <v>45016</v>
      </c>
      <c r="AD205" s="5">
        <f>(Table1[[#This Row],[OrderDate]]-Table1[[#This Row],[Date of first order]])/30</f>
        <v>9.1</v>
      </c>
      <c r="AE205" t="str">
        <f t="shared" si="46"/>
        <v>Poor</v>
      </c>
      <c r="AF205">
        <f>COUNTIF(AE$2:AE206,AE205)</f>
        <v>145</v>
      </c>
      <c r="AG205" t="str">
        <f t="shared" si="47"/>
        <v>False</v>
      </c>
      <c r="AH205" s="7">
        <f>Table1[[#This Row],[UnitPrice]]*(1-Table1[[#This Row],[Disc Scenario]])*Table1[[#This Row],[Quantity]]</f>
        <v>13637.287999999999</v>
      </c>
      <c r="AI205">
        <f>ROUNDDOWN((Table1[[#This Row],[Quantity]]*(1+20%)),0)</f>
        <v>6</v>
      </c>
      <c r="AJ205" s="7">
        <f>Table1[[#This Row],[Quantity increase by 20%]]*Table1[[#This Row],[UnitPrice]]</f>
        <v>16698.72</v>
      </c>
      <c r="AK205">
        <f>ROUNDDOWN(Table1[[#This Row],[Quantity]]*(1+20%),0)</f>
        <v>6</v>
      </c>
      <c r="AL205" s="7">
        <f>Table1[[#This Row],[UnitCost]]*(1+15%)</f>
        <v>1720.1584999999998</v>
      </c>
      <c r="AM205" s="9">
        <f>Table1[[#This Row],[Quantity]]*Table1[[#This Row],[Cost of unit by inflation 15%]]</f>
        <v>8600.7924999999996</v>
      </c>
      <c r="AN205" s="21" cm="1">
        <f t="array" ref="AN205">_xlfn.UNIQUE(AC205)</f>
        <v>45016</v>
      </c>
    </row>
    <row r="206" spans="1:40" x14ac:dyDescent="0.35">
      <c r="A206" t="s">
        <v>364</v>
      </c>
      <c r="B206" s="21">
        <v>45262</v>
      </c>
      <c r="C206" s="10">
        <v>45276</v>
      </c>
      <c r="D206" s="3">
        <f t="shared" si="36"/>
        <v>14</v>
      </c>
      <c r="E206" s="10" t="str">
        <f t="shared" si="37"/>
        <v>Q4-2023</v>
      </c>
      <c r="F206" t="s">
        <v>648</v>
      </c>
      <c r="G206" t="s">
        <v>655</v>
      </c>
      <c r="H206" t="s">
        <v>697</v>
      </c>
      <c r="I206" t="s">
        <v>701</v>
      </c>
      <c r="J206" t="s">
        <v>710</v>
      </c>
      <c r="K206" t="s">
        <v>724</v>
      </c>
      <c r="L206" t="s">
        <v>731</v>
      </c>
      <c r="M206" t="s">
        <v>1082</v>
      </c>
      <c r="N206" s="3">
        <v>879.08</v>
      </c>
      <c r="O206" s="3">
        <v>1093.3900000000001</v>
      </c>
      <c r="P206" s="6">
        <v>0.113</v>
      </c>
      <c r="Q206" s="6">
        <f>IF(Table1[[#This Row],[DiscountPct]]&gt;25%,25%,Table1[[#This Row],[DiscountPct]])</f>
        <v>0.113</v>
      </c>
      <c r="R206" s="5">
        <v>17</v>
      </c>
      <c r="S206" s="6">
        <f t="shared" si="38"/>
        <v>0.24378896118669524</v>
      </c>
      <c r="T206" s="8">
        <f t="shared" si="39"/>
        <v>16487.22781</v>
      </c>
      <c r="U206" s="8">
        <f t="shared" si="40"/>
        <v>14944.36</v>
      </c>
      <c r="V206" s="9">
        <f t="shared" si="41"/>
        <v>1542.8678099999997</v>
      </c>
      <c r="W206" s="6">
        <f t="shared" si="42"/>
        <v>9.3579577341935186E-2</v>
      </c>
      <c r="X206" t="str" cm="1">
        <f t="array" ref="X206">_xlfn.IFS(S206&lt;=25%, "Low", S206&lt;=75%, "Medium", S206&gt;75%, "High")</f>
        <v>Low</v>
      </c>
      <c r="Y206" s="8">
        <f>Table1[[#This Row],[Quantity]]*(Table1[[#This Row],[UnitPrice]]*(1-Table1[[#This Row],[DiscountPct]]))</f>
        <v>16487.22781</v>
      </c>
      <c r="Z206" s="9">
        <f t="shared" si="43"/>
        <v>1542.8678099999997</v>
      </c>
      <c r="AA206">
        <f>COUNTIF($G$2:G207,G206)</f>
        <v>17</v>
      </c>
      <c r="AB206" s="21">
        <f t="shared" si="44"/>
        <v>44988</v>
      </c>
      <c r="AC206" s="21">
        <f t="shared" si="45"/>
        <v>45016</v>
      </c>
      <c r="AD206" s="5">
        <f>(Table1[[#This Row],[OrderDate]]-Table1[[#This Row],[Date of first order]])/30</f>
        <v>9.1333333333333329</v>
      </c>
      <c r="AE206" t="str">
        <f t="shared" si="46"/>
        <v>Poor</v>
      </c>
      <c r="AF206">
        <f>COUNTIF(AE$2:AE207,AE206)</f>
        <v>146</v>
      </c>
      <c r="AG206" t="str">
        <f t="shared" si="47"/>
        <v>False</v>
      </c>
      <c r="AH206" s="7">
        <f>Table1[[#This Row],[UnitPrice]]*(1-Table1[[#This Row],[Disc Scenario]])*Table1[[#This Row],[Quantity]]</f>
        <v>16487.22781</v>
      </c>
      <c r="AI206">
        <f>ROUNDDOWN((Table1[[#This Row],[Quantity]]*(1+20%)),0)</f>
        <v>20</v>
      </c>
      <c r="AJ206" s="7">
        <f>Table1[[#This Row],[Quantity increase by 20%]]*Table1[[#This Row],[UnitPrice]]</f>
        <v>21867.800000000003</v>
      </c>
      <c r="AK206">
        <f>ROUNDDOWN(Table1[[#This Row],[Quantity]]*(1+20%),0)</f>
        <v>20</v>
      </c>
      <c r="AL206" s="7">
        <f>Table1[[#This Row],[UnitCost]]*(1+15%)</f>
        <v>1010.942</v>
      </c>
      <c r="AM206" s="9">
        <f>Table1[[#This Row],[Quantity]]*Table1[[#This Row],[Cost of unit by inflation 15%]]</f>
        <v>17186.013999999999</v>
      </c>
      <c r="AN206" s="21" cm="1">
        <f t="array" ref="AN206">_xlfn.UNIQUE(AC206)</f>
        <v>45016</v>
      </c>
    </row>
    <row r="207" spans="1:40" x14ac:dyDescent="0.35">
      <c r="A207" t="s">
        <v>80</v>
      </c>
      <c r="B207" s="21">
        <v>45263</v>
      </c>
      <c r="C207" s="10">
        <v>45286</v>
      </c>
      <c r="D207" s="3">
        <f t="shared" si="36"/>
        <v>23</v>
      </c>
      <c r="E207" s="10" t="str">
        <f t="shared" si="37"/>
        <v>Q4-2023</v>
      </c>
      <c r="F207" t="s">
        <v>647</v>
      </c>
      <c r="G207" t="s">
        <v>654</v>
      </c>
      <c r="H207" t="s">
        <v>691</v>
      </c>
      <c r="I207" t="s">
        <v>701</v>
      </c>
      <c r="J207" t="s">
        <v>706</v>
      </c>
      <c r="K207" t="s">
        <v>718</v>
      </c>
      <c r="L207" t="s">
        <v>729</v>
      </c>
      <c r="M207" t="s">
        <v>798</v>
      </c>
      <c r="N207" s="3">
        <v>1303.1099999999999</v>
      </c>
      <c r="O207" s="3">
        <v>2515.0023000000001</v>
      </c>
      <c r="P207" s="6">
        <v>0.184</v>
      </c>
      <c r="Q207" s="6">
        <f>IF(Table1[[#This Row],[DiscountPct]]&gt;25%,25%,Table1[[#This Row],[DiscountPct]])</f>
        <v>0.184</v>
      </c>
      <c r="R207" s="5">
        <v>13</v>
      </c>
      <c r="S207" s="6">
        <f t="shared" si="38"/>
        <v>0.93000000000000027</v>
      </c>
      <c r="T207" s="8">
        <f t="shared" si="39"/>
        <v>26679.144398400003</v>
      </c>
      <c r="U207" s="8">
        <f t="shared" si="40"/>
        <v>16940.43</v>
      </c>
      <c r="V207" s="9">
        <f t="shared" si="41"/>
        <v>9738.7143984000031</v>
      </c>
      <c r="W207" s="6">
        <f t="shared" si="42"/>
        <v>0.36503098648785948</v>
      </c>
      <c r="X207" t="str" cm="1">
        <f t="array" ref="X207">_xlfn.IFS(S207&lt;=25%, "Low", S207&lt;=75%, "Medium", S207&gt;75%, "High")</f>
        <v>High</v>
      </c>
      <c r="Y207" s="8">
        <f>Table1[[#This Row],[Quantity]]*(Table1[[#This Row],[UnitPrice]]*(1-Table1[[#This Row],[DiscountPct]]))</f>
        <v>26679.144398400003</v>
      </c>
      <c r="Z207" s="9">
        <f t="shared" si="43"/>
        <v>9738.7143984000031</v>
      </c>
      <c r="AA207">
        <f>COUNTIF($G$2:G208,G207)</f>
        <v>21</v>
      </c>
      <c r="AB207" s="21">
        <f t="shared" si="44"/>
        <v>44988</v>
      </c>
      <c r="AC207" s="21">
        <f t="shared" si="45"/>
        <v>45016</v>
      </c>
      <c r="AD207" s="5">
        <f>(Table1[[#This Row],[OrderDate]]-Table1[[#This Row],[Date of first order]])/30</f>
        <v>9.1666666666666661</v>
      </c>
      <c r="AE207" t="str">
        <f t="shared" si="46"/>
        <v>Poor</v>
      </c>
      <c r="AF207">
        <f>COUNTIF(AE$2:AE208,AE207)</f>
        <v>146</v>
      </c>
      <c r="AG207" t="str">
        <f t="shared" si="47"/>
        <v>False</v>
      </c>
      <c r="AH207" s="7">
        <f>Table1[[#This Row],[UnitPrice]]*(1-Table1[[#This Row],[Disc Scenario]])*Table1[[#This Row],[Quantity]]</f>
        <v>26679.144398400003</v>
      </c>
      <c r="AI207">
        <f>ROUNDDOWN((Table1[[#This Row],[Quantity]]*(1+20%)),0)</f>
        <v>15</v>
      </c>
      <c r="AJ207" s="7">
        <f>Table1[[#This Row],[Quantity increase by 20%]]*Table1[[#This Row],[UnitPrice]]</f>
        <v>37725.034500000002</v>
      </c>
      <c r="AK207">
        <f>ROUNDDOWN(Table1[[#This Row],[Quantity]]*(1+20%),0)</f>
        <v>15</v>
      </c>
      <c r="AL207" s="7">
        <f>Table1[[#This Row],[UnitCost]]*(1+15%)</f>
        <v>1498.5764999999997</v>
      </c>
      <c r="AM207" s="9">
        <f>Table1[[#This Row],[Quantity]]*Table1[[#This Row],[Cost of unit by inflation 15%]]</f>
        <v>19481.494499999997</v>
      </c>
      <c r="AN207" s="21" cm="1">
        <f t="array" ref="AN207">_xlfn.UNIQUE(AC207)</f>
        <v>45016</v>
      </c>
    </row>
    <row r="208" spans="1:40" x14ac:dyDescent="0.35">
      <c r="A208" t="s">
        <v>469</v>
      </c>
      <c r="B208" s="21">
        <v>45265</v>
      </c>
      <c r="C208" s="10">
        <v>45272</v>
      </c>
      <c r="D208" s="3">
        <f t="shared" si="36"/>
        <v>7</v>
      </c>
      <c r="E208" s="10" t="str">
        <f t="shared" si="37"/>
        <v>Q4-2023</v>
      </c>
      <c r="F208" t="s">
        <v>647</v>
      </c>
      <c r="G208" t="s">
        <v>654</v>
      </c>
      <c r="H208" t="s">
        <v>671</v>
      </c>
      <c r="I208" t="s">
        <v>700</v>
      </c>
      <c r="J208" t="s">
        <v>710</v>
      </c>
      <c r="K208" t="s">
        <v>720</v>
      </c>
      <c r="L208" t="s">
        <v>729</v>
      </c>
      <c r="M208" t="s">
        <v>1186</v>
      </c>
      <c r="N208" s="3">
        <v>307.43</v>
      </c>
      <c r="O208" s="3">
        <v>495.19</v>
      </c>
      <c r="P208" s="6">
        <v>0</v>
      </c>
      <c r="Q208" s="6">
        <f>IF(Table1[[#This Row],[DiscountPct]]&gt;25%,25%,Table1[[#This Row],[DiscountPct]])</f>
        <v>0</v>
      </c>
      <c r="R208" s="5">
        <v>42</v>
      </c>
      <c r="S208" s="6">
        <f t="shared" si="38"/>
        <v>0.61074065640958908</v>
      </c>
      <c r="T208" s="8">
        <f t="shared" si="39"/>
        <v>20797.98</v>
      </c>
      <c r="U208" s="8">
        <f t="shared" si="40"/>
        <v>12912.06</v>
      </c>
      <c r="V208" s="9">
        <f t="shared" si="41"/>
        <v>7885.92</v>
      </c>
      <c r="W208" s="6">
        <f t="shared" si="42"/>
        <v>0.37916759223732305</v>
      </c>
      <c r="X208" t="str" cm="1">
        <f t="array" ref="X208">_xlfn.IFS(S208&lt;=25%, "Low", S208&lt;=75%, "Medium", S208&gt;75%, "High")</f>
        <v>Medium</v>
      </c>
      <c r="Y208" s="8">
        <f>Table1[[#This Row],[Quantity]]*(Table1[[#This Row],[UnitPrice]]*(1-Table1[[#This Row],[DiscountPct]]))</f>
        <v>20797.98</v>
      </c>
      <c r="Z208" s="9">
        <f t="shared" si="43"/>
        <v>7885.92</v>
      </c>
      <c r="AA208">
        <f>COUNTIF($G$2:G209,G208)</f>
        <v>21</v>
      </c>
      <c r="AB208" s="21">
        <f t="shared" si="44"/>
        <v>44988</v>
      </c>
      <c r="AC208" s="21">
        <f t="shared" si="45"/>
        <v>45016</v>
      </c>
      <c r="AD208" s="5">
        <f>(Table1[[#This Row],[OrderDate]]-Table1[[#This Row],[Date of first order]])/30</f>
        <v>9.2333333333333325</v>
      </c>
      <c r="AE208" t="str">
        <f t="shared" si="46"/>
        <v>Good</v>
      </c>
      <c r="AF208">
        <f>COUNTIF(AE$2:AE209,AE208)</f>
        <v>62</v>
      </c>
      <c r="AG208" t="str">
        <f t="shared" si="47"/>
        <v>False</v>
      </c>
      <c r="AH208" s="7">
        <f>Table1[[#This Row],[UnitPrice]]*(1-Table1[[#This Row],[Disc Scenario]])*Table1[[#This Row],[Quantity]]</f>
        <v>20797.98</v>
      </c>
      <c r="AI208">
        <f>ROUNDDOWN((Table1[[#This Row],[Quantity]]*(1+20%)),0)</f>
        <v>50</v>
      </c>
      <c r="AJ208" s="7">
        <f>Table1[[#This Row],[Quantity increase by 20%]]*Table1[[#This Row],[UnitPrice]]</f>
        <v>24759.5</v>
      </c>
      <c r="AK208">
        <f>ROUNDDOWN(Table1[[#This Row],[Quantity]]*(1+20%),0)</f>
        <v>50</v>
      </c>
      <c r="AL208" s="7">
        <f>Table1[[#This Row],[UnitCost]]*(1+15%)</f>
        <v>353.54449999999997</v>
      </c>
      <c r="AM208" s="9">
        <f>Table1[[#This Row],[Quantity]]*Table1[[#This Row],[Cost of unit by inflation 15%]]</f>
        <v>14848.868999999999</v>
      </c>
      <c r="AN208" s="21" cm="1">
        <f t="array" ref="AN208">_xlfn.UNIQUE(AC208)</f>
        <v>45016</v>
      </c>
    </row>
    <row r="209" spans="1:40" x14ac:dyDescent="0.35">
      <c r="A209" t="s">
        <v>166</v>
      </c>
      <c r="B209" s="21">
        <v>45265</v>
      </c>
      <c r="C209" s="10">
        <v>45267</v>
      </c>
      <c r="D209" s="3">
        <f t="shared" si="36"/>
        <v>2</v>
      </c>
      <c r="E209" s="10" t="str">
        <f t="shared" si="37"/>
        <v>Q4-2023</v>
      </c>
      <c r="F209" t="s">
        <v>646</v>
      </c>
      <c r="G209" t="s">
        <v>651</v>
      </c>
      <c r="H209" t="s">
        <v>688</v>
      </c>
      <c r="I209" t="s">
        <v>702</v>
      </c>
      <c r="J209" t="s">
        <v>708</v>
      </c>
      <c r="K209" t="s">
        <v>721</v>
      </c>
      <c r="L209" t="s">
        <v>727</v>
      </c>
      <c r="M209" t="s">
        <v>884</v>
      </c>
      <c r="N209" s="3">
        <v>1097.5899999999999</v>
      </c>
      <c r="O209" s="3">
        <v>1854.9270999999999</v>
      </c>
      <c r="P209" s="6">
        <v>0.184</v>
      </c>
      <c r="Q209" s="6">
        <f>IF(Table1[[#This Row],[DiscountPct]]&gt;25%,25%,Table1[[#This Row],[DiscountPct]])</f>
        <v>0.184</v>
      </c>
      <c r="R209" s="5">
        <v>6</v>
      </c>
      <c r="S209" s="6">
        <f t="shared" si="38"/>
        <v>0.69000000000000006</v>
      </c>
      <c r="T209" s="8">
        <f t="shared" si="39"/>
        <v>9081.7230815999992</v>
      </c>
      <c r="U209" s="8">
        <f t="shared" si="40"/>
        <v>6585.5399999999991</v>
      </c>
      <c r="V209" s="9">
        <f t="shared" si="41"/>
        <v>2496.1830816000002</v>
      </c>
      <c r="W209" s="6">
        <f t="shared" si="42"/>
        <v>0.27485787214294005</v>
      </c>
      <c r="X209" t="str" cm="1">
        <f t="array" ref="X209">_xlfn.IFS(S209&lt;=25%, "Low", S209&lt;=75%, "Medium", S209&gt;75%, "High")</f>
        <v>Medium</v>
      </c>
      <c r="Y209" s="8">
        <f>Table1[[#This Row],[Quantity]]*(Table1[[#This Row],[UnitPrice]]*(1-Table1[[#This Row],[DiscountPct]]))</f>
        <v>9081.723081600001</v>
      </c>
      <c r="Z209" s="9">
        <f t="shared" si="43"/>
        <v>2496.183081600002</v>
      </c>
      <c r="AA209">
        <f>COUNTIF($G$2:G210,G209)</f>
        <v>17</v>
      </c>
      <c r="AB209" s="21">
        <f t="shared" si="44"/>
        <v>44988</v>
      </c>
      <c r="AC209" s="21">
        <f t="shared" si="45"/>
        <v>45016</v>
      </c>
      <c r="AD209" s="5">
        <f>(Table1[[#This Row],[OrderDate]]-Table1[[#This Row],[Date of first order]])/30</f>
        <v>9.2333333333333325</v>
      </c>
      <c r="AE209" t="str">
        <f t="shared" si="46"/>
        <v>Good</v>
      </c>
      <c r="AF209">
        <f>COUNTIF(AE$2:AE210,AE209)</f>
        <v>62</v>
      </c>
      <c r="AG209" t="str">
        <f t="shared" si="47"/>
        <v>False</v>
      </c>
      <c r="AH209" s="7">
        <f>Table1[[#This Row],[UnitPrice]]*(1-Table1[[#This Row],[Disc Scenario]])*Table1[[#This Row],[Quantity]]</f>
        <v>9081.723081600001</v>
      </c>
      <c r="AI209">
        <f>ROUNDDOWN((Table1[[#This Row],[Quantity]]*(1+20%)),0)</f>
        <v>7</v>
      </c>
      <c r="AJ209" s="7">
        <f>Table1[[#This Row],[Quantity increase by 20%]]*Table1[[#This Row],[UnitPrice]]</f>
        <v>12984.489699999998</v>
      </c>
      <c r="AK209">
        <f>ROUNDDOWN(Table1[[#This Row],[Quantity]]*(1+20%),0)</f>
        <v>7</v>
      </c>
      <c r="AL209" s="7">
        <f>Table1[[#This Row],[UnitCost]]*(1+15%)</f>
        <v>1262.2284999999997</v>
      </c>
      <c r="AM209" s="9">
        <f>Table1[[#This Row],[Quantity]]*Table1[[#This Row],[Cost of unit by inflation 15%]]</f>
        <v>7573.3709999999983</v>
      </c>
      <c r="AN209" s="21" cm="1">
        <f t="array" ref="AN209">_xlfn.UNIQUE(AC209)</f>
        <v>45016</v>
      </c>
    </row>
    <row r="210" spans="1:40" x14ac:dyDescent="0.35">
      <c r="A210" t="s">
        <v>19</v>
      </c>
      <c r="B210" s="21">
        <v>45266</v>
      </c>
      <c r="C210" s="10">
        <v>45291</v>
      </c>
      <c r="D210" s="3">
        <f t="shared" si="36"/>
        <v>25</v>
      </c>
      <c r="E210" s="10" t="str">
        <f t="shared" si="37"/>
        <v>Q4-2023</v>
      </c>
      <c r="F210" t="s">
        <v>646</v>
      </c>
      <c r="G210" t="s">
        <v>651</v>
      </c>
      <c r="H210" t="s">
        <v>665</v>
      </c>
      <c r="I210" t="s">
        <v>703</v>
      </c>
      <c r="J210" t="s">
        <v>706</v>
      </c>
      <c r="K210" t="s">
        <v>715</v>
      </c>
      <c r="L210" t="s">
        <v>727</v>
      </c>
      <c r="M210" t="s">
        <v>737</v>
      </c>
      <c r="N210" s="3">
        <v>663.03</v>
      </c>
      <c r="O210" s="3">
        <v>813.51</v>
      </c>
      <c r="P210" s="6">
        <v>0.10199999999999999</v>
      </c>
      <c r="Q210" s="6">
        <f>IF(Table1[[#This Row],[DiscountPct]]&gt;25%,25%,Table1[[#This Row],[DiscountPct]])</f>
        <v>0.10199999999999999</v>
      </c>
      <c r="R210" s="5">
        <v>15</v>
      </c>
      <c r="S210" s="6">
        <f t="shared" si="38"/>
        <v>0.22695805619655224</v>
      </c>
      <c r="T210" s="8">
        <f t="shared" si="39"/>
        <v>10957.9797</v>
      </c>
      <c r="U210" s="8">
        <f t="shared" si="40"/>
        <v>9945.4499999999989</v>
      </c>
      <c r="V210" s="9">
        <f t="shared" si="41"/>
        <v>1012.529700000001</v>
      </c>
      <c r="W210" s="6">
        <f t="shared" si="42"/>
        <v>9.2401129379715952E-2</v>
      </c>
      <c r="X210" t="str" cm="1">
        <f t="array" ref="X210">_xlfn.IFS(S210&lt;=25%, "Low", S210&lt;=75%, "Medium", S210&gt;75%, "High")</f>
        <v>Low</v>
      </c>
      <c r="Y210" s="8">
        <f>Table1[[#This Row],[Quantity]]*(Table1[[#This Row],[UnitPrice]]*(1-Table1[[#This Row],[DiscountPct]]))</f>
        <v>10957.9797</v>
      </c>
      <c r="Z210" s="9">
        <f t="shared" si="43"/>
        <v>1012.529700000001</v>
      </c>
      <c r="AA210">
        <f>COUNTIF($G$2:G211,G210)</f>
        <v>17</v>
      </c>
      <c r="AB210" s="21">
        <f t="shared" si="44"/>
        <v>44988</v>
      </c>
      <c r="AC210" s="21">
        <f t="shared" si="45"/>
        <v>45016</v>
      </c>
      <c r="AD210" s="5">
        <f>(Table1[[#This Row],[OrderDate]]-Table1[[#This Row],[Date of first order]])/30</f>
        <v>9.2666666666666675</v>
      </c>
      <c r="AE210" t="str">
        <f t="shared" si="46"/>
        <v>Poor</v>
      </c>
      <c r="AF210">
        <f>COUNTIF(AE$2:AE211,AE210)</f>
        <v>148</v>
      </c>
      <c r="AG210" t="str">
        <f t="shared" si="47"/>
        <v>False</v>
      </c>
      <c r="AH210" s="7">
        <f>Table1[[#This Row],[UnitPrice]]*(1-Table1[[#This Row],[Disc Scenario]])*Table1[[#This Row],[Quantity]]</f>
        <v>10957.9797</v>
      </c>
      <c r="AI210">
        <f>ROUNDDOWN((Table1[[#This Row],[Quantity]]*(1+20%)),0)</f>
        <v>18</v>
      </c>
      <c r="AJ210" s="7">
        <f>Table1[[#This Row],[Quantity increase by 20%]]*Table1[[#This Row],[UnitPrice]]</f>
        <v>14643.18</v>
      </c>
      <c r="AK210">
        <f>ROUNDDOWN(Table1[[#This Row],[Quantity]]*(1+20%),0)</f>
        <v>18</v>
      </c>
      <c r="AL210" s="7">
        <f>Table1[[#This Row],[UnitCost]]*(1+15%)</f>
        <v>762.48449999999991</v>
      </c>
      <c r="AM210" s="9">
        <f>Table1[[#This Row],[Quantity]]*Table1[[#This Row],[Cost of unit by inflation 15%]]</f>
        <v>11437.267499999998</v>
      </c>
      <c r="AN210" s="21" cm="1">
        <f t="array" ref="AN210">_xlfn.UNIQUE(AC210)</f>
        <v>45016</v>
      </c>
    </row>
    <row r="211" spans="1:40" x14ac:dyDescent="0.35">
      <c r="A211" t="s">
        <v>642</v>
      </c>
      <c r="B211" s="21">
        <v>45267</v>
      </c>
      <c r="C211" s="10">
        <v>45293</v>
      </c>
      <c r="D211" s="3">
        <f t="shared" si="36"/>
        <v>26</v>
      </c>
      <c r="E211" s="10" t="str">
        <f t="shared" si="37"/>
        <v>Q4-2023</v>
      </c>
      <c r="F211" t="s">
        <v>648</v>
      </c>
      <c r="G211" t="s">
        <v>655</v>
      </c>
      <c r="H211" t="s">
        <v>697</v>
      </c>
      <c r="I211" t="s">
        <v>705</v>
      </c>
      <c r="J211" t="s">
        <v>709</v>
      </c>
      <c r="K211" t="s">
        <v>717</v>
      </c>
      <c r="L211" t="s">
        <v>726</v>
      </c>
      <c r="M211" t="s">
        <v>1358</v>
      </c>
      <c r="N211" s="3">
        <v>1071.99</v>
      </c>
      <c r="O211" s="3">
        <v>2397.3000000000002</v>
      </c>
      <c r="P211" s="6">
        <v>6.2E-2</v>
      </c>
      <c r="Q211" s="6">
        <f>IF(Table1[[#This Row],[DiscountPct]]&gt;25%,25%,Table1[[#This Row],[DiscountPct]])</f>
        <v>6.2E-2</v>
      </c>
      <c r="R211" s="5">
        <v>18</v>
      </c>
      <c r="S211" s="6">
        <f t="shared" si="38"/>
        <v>1.2363081745165534</v>
      </c>
      <c r="T211" s="8">
        <f t="shared" si="39"/>
        <v>40476.013200000001</v>
      </c>
      <c r="U211" s="8">
        <f t="shared" si="40"/>
        <v>19295.82</v>
      </c>
      <c r="V211" s="9">
        <f t="shared" si="41"/>
        <v>21180.193200000002</v>
      </c>
      <c r="W211" s="6">
        <f t="shared" si="42"/>
        <v>0.52327765324476183</v>
      </c>
      <c r="X211" t="str" cm="1">
        <f t="array" ref="X211">_xlfn.IFS(S211&lt;=25%, "Low", S211&lt;=75%, "Medium", S211&gt;75%, "High")</f>
        <v>High</v>
      </c>
      <c r="Y211" s="8">
        <f>Table1[[#This Row],[Quantity]]*(Table1[[#This Row],[UnitPrice]]*(1-Table1[[#This Row],[DiscountPct]]))</f>
        <v>40476.013199999994</v>
      </c>
      <c r="Z211" s="9">
        <f t="shared" si="43"/>
        <v>21180.193199999994</v>
      </c>
      <c r="AA211">
        <f>COUNTIF($G$2:G212,G211)</f>
        <v>18</v>
      </c>
      <c r="AB211" s="21">
        <f t="shared" si="44"/>
        <v>44988</v>
      </c>
      <c r="AC211" s="21">
        <f t="shared" si="45"/>
        <v>45016</v>
      </c>
      <c r="AD211" s="5">
        <f>(Table1[[#This Row],[OrderDate]]-Table1[[#This Row],[Date of first order]])/30</f>
        <v>9.3000000000000007</v>
      </c>
      <c r="AE211" t="str">
        <f t="shared" si="46"/>
        <v>Poor</v>
      </c>
      <c r="AF211">
        <f>COUNTIF(AE$2:AE212,AE211)</f>
        <v>148</v>
      </c>
      <c r="AG211" t="str">
        <f t="shared" si="47"/>
        <v>False</v>
      </c>
      <c r="AH211" s="7">
        <f>Table1[[#This Row],[UnitPrice]]*(1-Table1[[#This Row],[Disc Scenario]])*Table1[[#This Row],[Quantity]]</f>
        <v>40476.013199999994</v>
      </c>
      <c r="AI211">
        <f>ROUNDDOWN((Table1[[#This Row],[Quantity]]*(1+20%)),0)</f>
        <v>21</v>
      </c>
      <c r="AJ211" s="7">
        <f>Table1[[#This Row],[Quantity increase by 20%]]*Table1[[#This Row],[UnitPrice]]</f>
        <v>50343.3</v>
      </c>
      <c r="AK211">
        <f>ROUNDDOWN(Table1[[#This Row],[Quantity]]*(1+20%),0)</f>
        <v>21</v>
      </c>
      <c r="AL211" s="7">
        <f>Table1[[#This Row],[UnitCost]]*(1+15%)</f>
        <v>1232.7884999999999</v>
      </c>
      <c r="AM211" s="9">
        <f>Table1[[#This Row],[Quantity]]*Table1[[#This Row],[Cost of unit by inflation 15%]]</f>
        <v>22190.192999999999</v>
      </c>
      <c r="AN211" s="21" cm="1">
        <f t="array" ref="AN211">_xlfn.UNIQUE(AC211)</f>
        <v>45016</v>
      </c>
    </row>
    <row r="212" spans="1:40" x14ac:dyDescent="0.35">
      <c r="A212" t="s">
        <v>422</v>
      </c>
      <c r="B212" s="21">
        <v>45276</v>
      </c>
      <c r="C212" s="10">
        <v>45279</v>
      </c>
      <c r="D212" s="3">
        <f t="shared" si="36"/>
        <v>3</v>
      </c>
      <c r="E212" s="10" t="str">
        <f t="shared" si="37"/>
        <v>Q4-2023</v>
      </c>
      <c r="F212" t="s">
        <v>646</v>
      </c>
      <c r="G212" t="s">
        <v>658</v>
      </c>
      <c r="H212" t="s">
        <v>698</v>
      </c>
      <c r="I212" t="s">
        <v>701</v>
      </c>
      <c r="J212" t="s">
        <v>706</v>
      </c>
      <c r="K212" t="s">
        <v>719</v>
      </c>
      <c r="L212" t="s">
        <v>732</v>
      </c>
      <c r="M212" t="s">
        <v>1139</v>
      </c>
      <c r="N212" s="3">
        <v>1415.05</v>
      </c>
      <c r="O212" s="3">
        <v>1972.38</v>
      </c>
      <c r="P212" s="6">
        <v>0</v>
      </c>
      <c r="Q212" s="6">
        <f>IF(Table1[[#This Row],[DiscountPct]]&gt;25%,25%,Table1[[#This Row],[DiscountPct]])</f>
        <v>0</v>
      </c>
      <c r="R212" s="5">
        <v>12</v>
      </c>
      <c r="S212" s="6">
        <f t="shared" si="38"/>
        <v>0.39385887424472643</v>
      </c>
      <c r="T212" s="8">
        <f t="shared" si="39"/>
        <v>23668.560000000001</v>
      </c>
      <c r="U212" s="8">
        <f t="shared" si="40"/>
        <v>16980.599999999999</v>
      </c>
      <c r="V212" s="9">
        <f t="shared" si="41"/>
        <v>6687.9600000000028</v>
      </c>
      <c r="W212" s="6">
        <f t="shared" si="42"/>
        <v>0.28256725377462771</v>
      </c>
      <c r="X212" t="str" cm="1">
        <f t="array" ref="X212">_xlfn.IFS(S212&lt;=25%, "Low", S212&lt;=75%, "Medium", S212&gt;75%, "High")</f>
        <v>Medium</v>
      </c>
      <c r="Y212" s="8">
        <f>Table1[[#This Row],[Quantity]]*(Table1[[#This Row],[UnitPrice]]*(1-Table1[[#This Row],[DiscountPct]]))</f>
        <v>23668.560000000001</v>
      </c>
      <c r="Z212" s="9">
        <f t="shared" si="43"/>
        <v>6687.9600000000028</v>
      </c>
      <c r="AA212">
        <f>COUNTIF($G$2:G213,G212)</f>
        <v>18</v>
      </c>
      <c r="AB212" s="21">
        <f t="shared" si="44"/>
        <v>44988</v>
      </c>
      <c r="AC212" s="21">
        <f t="shared" si="45"/>
        <v>45016</v>
      </c>
      <c r="AD212" s="5">
        <f>(Table1[[#This Row],[OrderDate]]-Table1[[#This Row],[Date of first order]])/30</f>
        <v>9.6</v>
      </c>
      <c r="AE212" t="str">
        <f t="shared" si="46"/>
        <v>Good</v>
      </c>
      <c r="AF212">
        <f>COUNTIF(AE$2:AE213,AE212)</f>
        <v>63</v>
      </c>
      <c r="AG212" t="str">
        <f t="shared" si="47"/>
        <v>False</v>
      </c>
      <c r="AH212" s="7">
        <f>Table1[[#This Row],[UnitPrice]]*(1-Table1[[#This Row],[Disc Scenario]])*Table1[[#This Row],[Quantity]]</f>
        <v>23668.560000000001</v>
      </c>
      <c r="AI212">
        <f>ROUNDDOWN((Table1[[#This Row],[Quantity]]*(1+20%)),0)</f>
        <v>14</v>
      </c>
      <c r="AJ212" s="7">
        <f>Table1[[#This Row],[Quantity increase by 20%]]*Table1[[#This Row],[UnitPrice]]</f>
        <v>27613.32</v>
      </c>
      <c r="AK212">
        <f>ROUNDDOWN(Table1[[#This Row],[Quantity]]*(1+20%),0)</f>
        <v>14</v>
      </c>
      <c r="AL212" s="7">
        <f>Table1[[#This Row],[UnitCost]]*(1+15%)</f>
        <v>1627.3074999999999</v>
      </c>
      <c r="AM212" s="9">
        <f>Table1[[#This Row],[Quantity]]*Table1[[#This Row],[Cost of unit by inflation 15%]]</f>
        <v>19527.689999999999</v>
      </c>
      <c r="AN212" s="21" cm="1">
        <f t="array" ref="AN212">_xlfn.UNIQUE(AC212)</f>
        <v>45016</v>
      </c>
    </row>
    <row r="213" spans="1:40" x14ac:dyDescent="0.35">
      <c r="A213" t="s">
        <v>480</v>
      </c>
      <c r="B213" s="21">
        <v>45278</v>
      </c>
      <c r="C213" s="10">
        <v>45305</v>
      </c>
      <c r="D213" s="3">
        <f t="shared" si="36"/>
        <v>27</v>
      </c>
      <c r="E213" s="10" t="str">
        <f t="shared" si="37"/>
        <v>Q4-2023</v>
      </c>
      <c r="F213" t="s">
        <v>646</v>
      </c>
      <c r="G213" t="s">
        <v>653</v>
      </c>
      <c r="H213" t="s">
        <v>690</v>
      </c>
      <c r="I213" t="s">
        <v>703</v>
      </c>
      <c r="J213" t="s">
        <v>709</v>
      </c>
      <c r="K213" t="s">
        <v>725</v>
      </c>
      <c r="L213" t="s">
        <v>728</v>
      </c>
      <c r="M213" t="s">
        <v>1197</v>
      </c>
      <c r="N213" s="3">
        <v>1408.3</v>
      </c>
      <c r="O213" s="3">
        <v>2193.13</v>
      </c>
      <c r="P213" s="6">
        <v>7.0999999999999994E-2</v>
      </c>
      <c r="Q213" s="6">
        <f>IF(Table1[[#This Row],[DiscountPct]]&gt;25%,25%,Table1[[#This Row],[DiscountPct]])</f>
        <v>7.0999999999999994E-2</v>
      </c>
      <c r="R213" s="5">
        <v>7</v>
      </c>
      <c r="S213" s="6">
        <f t="shared" si="38"/>
        <v>0.55728892991550105</v>
      </c>
      <c r="T213" s="8">
        <f t="shared" si="39"/>
        <v>14261.92439</v>
      </c>
      <c r="U213" s="8">
        <f t="shared" si="40"/>
        <v>9858.1</v>
      </c>
      <c r="V213" s="9">
        <f t="shared" si="41"/>
        <v>4403.8243899999998</v>
      </c>
      <c r="W213" s="6">
        <f t="shared" si="42"/>
        <v>0.30878191957656281</v>
      </c>
      <c r="X213" t="str" cm="1">
        <f t="array" ref="X213">_xlfn.IFS(S213&lt;=25%, "Low", S213&lt;=75%, "Medium", S213&gt;75%, "High")</f>
        <v>Medium</v>
      </c>
      <c r="Y213" s="8">
        <f>Table1[[#This Row],[Quantity]]*(Table1[[#This Row],[UnitPrice]]*(1-Table1[[#This Row],[DiscountPct]]))</f>
        <v>14261.924390000002</v>
      </c>
      <c r="Z213" s="9">
        <f t="shared" si="43"/>
        <v>4403.8243900000016</v>
      </c>
      <c r="AA213">
        <f>COUNTIF($G$2:G214,G213)</f>
        <v>21</v>
      </c>
      <c r="AB213" s="21">
        <f t="shared" si="44"/>
        <v>44988</v>
      </c>
      <c r="AC213" s="21">
        <f t="shared" si="45"/>
        <v>45016</v>
      </c>
      <c r="AD213" s="5">
        <f>(Table1[[#This Row],[OrderDate]]-Table1[[#This Row],[Date of first order]])/30</f>
        <v>9.6666666666666661</v>
      </c>
      <c r="AE213" t="str">
        <f t="shared" si="46"/>
        <v>Poor</v>
      </c>
      <c r="AF213">
        <f>COUNTIF(AE$2:AE214,AE213)</f>
        <v>149</v>
      </c>
      <c r="AG213" t="str">
        <f t="shared" si="47"/>
        <v>False</v>
      </c>
      <c r="AH213" s="7">
        <f>Table1[[#This Row],[UnitPrice]]*(1-Table1[[#This Row],[Disc Scenario]])*Table1[[#This Row],[Quantity]]</f>
        <v>14261.924390000002</v>
      </c>
      <c r="AI213">
        <f>ROUNDDOWN((Table1[[#This Row],[Quantity]]*(1+20%)),0)</f>
        <v>8</v>
      </c>
      <c r="AJ213" s="7">
        <f>Table1[[#This Row],[Quantity increase by 20%]]*Table1[[#This Row],[UnitPrice]]</f>
        <v>17545.04</v>
      </c>
      <c r="AK213">
        <f>ROUNDDOWN(Table1[[#This Row],[Quantity]]*(1+20%),0)</f>
        <v>8</v>
      </c>
      <c r="AL213" s="7">
        <f>Table1[[#This Row],[UnitCost]]*(1+15%)</f>
        <v>1619.5449999999998</v>
      </c>
      <c r="AM213" s="9">
        <f>Table1[[#This Row],[Quantity]]*Table1[[#This Row],[Cost of unit by inflation 15%]]</f>
        <v>11336.814999999999</v>
      </c>
      <c r="AN213" s="21" cm="1">
        <f t="array" ref="AN213">_xlfn.UNIQUE(AC213)</f>
        <v>45016</v>
      </c>
    </row>
    <row r="214" spans="1:40" x14ac:dyDescent="0.35">
      <c r="A214" t="s">
        <v>238</v>
      </c>
      <c r="B214" s="21">
        <v>45279</v>
      </c>
      <c r="C214" s="10">
        <v>45280</v>
      </c>
      <c r="D214" s="3">
        <f t="shared" si="36"/>
        <v>1</v>
      </c>
      <c r="E214" s="10" t="str">
        <f t="shared" si="37"/>
        <v>Q4-2023</v>
      </c>
      <c r="F214" t="s">
        <v>647</v>
      </c>
      <c r="G214" t="s">
        <v>654</v>
      </c>
      <c r="H214" t="s">
        <v>691</v>
      </c>
      <c r="I214" t="s">
        <v>703</v>
      </c>
      <c r="J214" t="s">
        <v>709</v>
      </c>
      <c r="K214" t="s">
        <v>712</v>
      </c>
      <c r="L214" t="s">
        <v>729</v>
      </c>
      <c r="M214" t="s">
        <v>956</v>
      </c>
      <c r="N214" s="3">
        <v>1080.43</v>
      </c>
      <c r="O214" s="3">
        <v>2529.15</v>
      </c>
      <c r="P214" s="6">
        <v>0.14699999999999999</v>
      </c>
      <c r="Q214" s="6">
        <f>IF(Table1[[#This Row],[DiscountPct]]&gt;25%,25%,Table1[[#This Row],[DiscountPct]])</f>
        <v>0.14699999999999999</v>
      </c>
      <c r="R214" s="5">
        <v>10</v>
      </c>
      <c r="S214" s="6">
        <f t="shared" si="38"/>
        <v>1.3408735410901216</v>
      </c>
      <c r="T214" s="8">
        <f t="shared" si="39"/>
        <v>21573.6495</v>
      </c>
      <c r="U214" s="8">
        <f t="shared" si="40"/>
        <v>10804.300000000001</v>
      </c>
      <c r="V214" s="9">
        <f t="shared" si="41"/>
        <v>10769.349499999998</v>
      </c>
      <c r="W214" s="6">
        <f t="shared" si="42"/>
        <v>0.49918997247081437</v>
      </c>
      <c r="X214" t="str" cm="1">
        <f t="array" ref="X214">_xlfn.IFS(S214&lt;=25%, "Low", S214&lt;=75%, "Medium", S214&gt;75%, "High")</f>
        <v>High</v>
      </c>
      <c r="Y214" s="8">
        <f>Table1[[#This Row],[Quantity]]*(Table1[[#This Row],[UnitPrice]]*(1-Table1[[#This Row],[DiscountPct]]))</f>
        <v>21573.6495</v>
      </c>
      <c r="Z214" s="9">
        <f t="shared" si="43"/>
        <v>10769.349499999998</v>
      </c>
      <c r="AA214">
        <f>COUNTIF($G$2:G215,G214)</f>
        <v>22</v>
      </c>
      <c r="AB214" s="21">
        <f t="shared" si="44"/>
        <v>44988</v>
      </c>
      <c r="AC214" s="21">
        <f t="shared" si="45"/>
        <v>45016</v>
      </c>
      <c r="AD214" s="5">
        <f>(Table1[[#This Row],[OrderDate]]-Table1[[#This Row],[Date of first order]])/30</f>
        <v>9.6999999999999993</v>
      </c>
      <c r="AE214" t="str">
        <f t="shared" si="46"/>
        <v>Good</v>
      </c>
      <c r="AF214">
        <f>COUNTIF(AE$2:AE215,AE214)</f>
        <v>64</v>
      </c>
      <c r="AG214" t="str">
        <f t="shared" si="47"/>
        <v>False</v>
      </c>
      <c r="AH214" s="7">
        <f>Table1[[#This Row],[UnitPrice]]*(1-Table1[[#This Row],[Disc Scenario]])*Table1[[#This Row],[Quantity]]</f>
        <v>21573.6495</v>
      </c>
      <c r="AI214">
        <f>ROUNDDOWN((Table1[[#This Row],[Quantity]]*(1+20%)),0)</f>
        <v>12</v>
      </c>
      <c r="AJ214" s="7">
        <f>Table1[[#This Row],[Quantity increase by 20%]]*Table1[[#This Row],[UnitPrice]]</f>
        <v>30349.800000000003</v>
      </c>
      <c r="AK214">
        <f>ROUNDDOWN(Table1[[#This Row],[Quantity]]*(1+20%),0)</f>
        <v>12</v>
      </c>
      <c r="AL214" s="7">
        <f>Table1[[#This Row],[UnitCost]]*(1+15%)</f>
        <v>1242.4945</v>
      </c>
      <c r="AM214" s="9">
        <f>Table1[[#This Row],[Quantity]]*Table1[[#This Row],[Cost of unit by inflation 15%]]</f>
        <v>12424.945</v>
      </c>
      <c r="AN214" s="21" cm="1">
        <f t="array" ref="AN214">_xlfn.UNIQUE(AC214)</f>
        <v>45016</v>
      </c>
    </row>
    <row r="215" spans="1:40" x14ac:dyDescent="0.35">
      <c r="A215" t="s">
        <v>587</v>
      </c>
      <c r="B215" s="21">
        <v>45279</v>
      </c>
      <c r="C215" s="10">
        <v>45292</v>
      </c>
      <c r="D215" s="3">
        <f t="shared" si="36"/>
        <v>13</v>
      </c>
      <c r="E215" s="10" t="str">
        <f t="shared" si="37"/>
        <v>Q4-2023</v>
      </c>
      <c r="F215" t="s">
        <v>647</v>
      </c>
      <c r="G215" t="s">
        <v>652</v>
      </c>
      <c r="H215" t="s">
        <v>666</v>
      </c>
      <c r="I215" t="s">
        <v>705</v>
      </c>
      <c r="J215" t="s">
        <v>706</v>
      </c>
      <c r="K215" t="s">
        <v>722</v>
      </c>
      <c r="L215" t="s">
        <v>731</v>
      </c>
      <c r="M215" t="s">
        <v>1303</v>
      </c>
      <c r="N215" s="3">
        <v>856.1</v>
      </c>
      <c r="O215" s="3">
        <v>901.48</v>
      </c>
      <c r="P215" s="6">
        <v>5.6000000000000001E-2</v>
      </c>
      <c r="Q215" s="6">
        <f>IF(Table1[[#This Row],[DiscountPct]]&gt;25%,25%,Table1[[#This Row],[DiscountPct]])</f>
        <v>5.6000000000000001E-2</v>
      </c>
      <c r="R215" s="5">
        <v>17</v>
      </c>
      <c r="S215" s="6">
        <f t="shared" si="38"/>
        <v>5.3007826188529374E-2</v>
      </c>
      <c r="T215" s="8">
        <f t="shared" si="39"/>
        <v>14466.95104</v>
      </c>
      <c r="U215" s="8">
        <f t="shared" si="40"/>
        <v>14553.7</v>
      </c>
      <c r="V215" s="9">
        <f t="shared" si="41"/>
        <v>-86.748960000000807</v>
      </c>
      <c r="W215" s="6">
        <f t="shared" si="42"/>
        <v>-5.9963540182134192E-3</v>
      </c>
      <c r="X215" t="str" cm="1">
        <f t="array" ref="X215">_xlfn.IFS(S215&lt;=25%, "Low", S215&lt;=75%, "Medium", S215&gt;75%, "High")</f>
        <v>Low</v>
      </c>
      <c r="Y215" s="8">
        <f>Table1[[#This Row],[Quantity]]*(Table1[[#This Row],[UnitPrice]]*(1-Table1[[#This Row],[DiscountPct]]))</f>
        <v>14466.95104</v>
      </c>
      <c r="Z215" s="9">
        <f t="shared" si="43"/>
        <v>-86.748960000000807</v>
      </c>
      <c r="AA215">
        <f>COUNTIF($G$2:G216,G215)</f>
        <v>16</v>
      </c>
      <c r="AB215" s="21">
        <f t="shared" si="44"/>
        <v>44988</v>
      </c>
      <c r="AC215" s="21">
        <f t="shared" si="45"/>
        <v>45016</v>
      </c>
      <c r="AD215" s="5">
        <f>(Table1[[#This Row],[OrderDate]]-Table1[[#This Row],[Date of first order]])/30</f>
        <v>9.6999999999999993</v>
      </c>
      <c r="AE215" t="str">
        <f t="shared" si="46"/>
        <v>Poor</v>
      </c>
      <c r="AF215">
        <f>COUNTIF(AE$2:AE216,AE215)</f>
        <v>151</v>
      </c>
      <c r="AG215" t="str">
        <f t="shared" si="47"/>
        <v>False</v>
      </c>
      <c r="AH215" s="7">
        <f>Table1[[#This Row],[UnitPrice]]*(1-Table1[[#This Row],[Disc Scenario]])*Table1[[#This Row],[Quantity]]</f>
        <v>14466.95104</v>
      </c>
      <c r="AI215">
        <f>ROUNDDOWN((Table1[[#This Row],[Quantity]]*(1+20%)),0)</f>
        <v>20</v>
      </c>
      <c r="AJ215" s="7">
        <f>Table1[[#This Row],[Quantity increase by 20%]]*Table1[[#This Row],[UnitPrice]]</f>
        <v>18029.599999999999</v>
      </c>
      <c r="AK215">
        <f>ROUNDDOWN(Table1[[#This Row],[Quantity]]*(1+20%),0)</f>
        <v>20</v>
      </c>
      <c r="AL215" s="7">
        <f>Table1[[#This Row],[UnitCost]]*(1+15%)</f>
        <v>984.51499999999999</v>
      </c>
      <c r="AM215" s="9">
        <f>Table1[[#This Row],[Quantity]]*Table1[[#This Row],[Cost of unit by inflation 15%]]</f>
        <v>16736.755000000001</v>
      </c>
      <c r="AN215" s="21" cm="1">
        <f t="array" ref="AN215">_xlfn.UNIQUE(AC215)</f>
        <v>45016</v>
      </c>
    </row>
    <row r="216" spans="1:40" x14ac:dyDescent="0.35">
      <c r="A216" t="s">
        <v>229</v>
      </c>
      <c r="B216" s="21">
        <v>45280</v>
      </c>
      <c r="C216" s="10">
        <v>45305</v>
      </c>
      <c r="D216" s="3">
        <f t="shared" si="36"/>
        <v>25</v>
      </c>
      <c r="E216" s="10" t="str">
        <f t="shared" si="37"/>
        <v>Q4-2023</v>
      </c>
      <c r="F216" t="s">
        <v>646</v>
      </c>
      <c r="G216" t="s">
        <v>653</v>
      </c>
      <c r="H216" t="s">
        <v>690</v>
      </c>
      <c r="I216" t="s">
        <v>702</v>
      </c>
      <c r="J216" t="s">
        <v>708</v>
      </c>
      <c r="K216" t="s">
        <v>715</v>
      </c>
      <c r="L216" t="s">
        <v>731</v>
      </c>
      <c r="M216" t="s">
        <v>947</v>
      </c>
      <c r="N216" s="3">
        <v>1085.6099999999999</v>
      </c>
      <c r="O216" s="3">
        <v>1246.4100000000001</v>
      </c>
      <c r="P216" s="6">
        <v>0.113</v>
      </c>
      <c r="Q216" s="6">
        <f>IF(Table1[[#This Row],[DiscountPct]]&gt;25%,25%,Table1[[#This Row],[DiscountPct]])</f>
        <v>0.113</v>
      </c>
      <c r="R216" s="5">
        <v>7</v>
      </c>
      <c r="S216" s="6">
        <f t="shared" si="38"/>
        <v>0.14811949042473835</v>
      </c>
      <c r="T216" s="8">
        <f t="shared" si="39"/>
        <v>7738.9596900000006</v>
      </c>
      <c r="U216" s="8">
        <f t="shared" si="40"/>
        <v>7599.2699999999995</v>
      </c>
      <c r="V216" s="9">
        <f t="shared" si="41"/>
        <v>139.68969000000106</v>
      </c>
      <c r="W216" s="6">
        <f t="shared" si="42"/>
        <v>1.8050189637310417E-2</v>
      </c>
      <c r="X216" t="str" cm="1">
        <f t="array" ref="X216">_xlfn.IFS(S216&lt;=25%, "Low", S216&lt;=75%, "Medium", S216&gt;75%, "High")</f>
        <v>Low</v>
      </c>
      <c r="Y216" s="8">
        <f>Table1[[#This Row],[Quantity]]*(Table1[[#This Row],[UnitPrice]]*(1-Table1[[#This Row],[DiscountPct]]))</f>
        <v>7738.9596900000015</v>
      </c>
      <c r="Z216" s="9">
        <f t="shared" si="43"/>
        <v>139.68969000000197</v>
      </c>
      <c r="AA216">
        <f>COUNTIF($G$2:G217,G216)</f>
        <v>22</v>
      </c>
      <c r="AB216" s="21">
        <f t="shared" si="44"/>
        <v>44988</v>
      </c>
      <c r="AC216" s="21">
        <f t="shared" si="45"/>
        <v>45016</v>
      </c>
      <c r="AD216" s="5">
        <f>(Table1[[#This Row],[OrderDate]]-Table1[[#This Row],[Date of first order]])/30</f>
        <v>9.7333333333333325</v>
      </c>
      <c r="AE216" t="str">
        <f t="shared" si="46"/>
        <v>Poor</v>
      </c>
      <c r="AF216">
        <f>COUNTIF(AE$2:AE217,AE216)</f>
        <v>152</v>
      </c>
      <c r="AG216" t="str">
        <f t="shared" si="47"/>
        <v>False</v>
      </c>
      <c r="AH216" s="7">
        <f>Table1[[#This Row],[UnitPrice]]*(1-Table1[[#This Row],[Disc Scenario]])*Table1[[#This Row],[Quantity]]</f>
        <v>7738.9596900000015</v>
      </c>
      <c r="AI216">
        <f>ROUNDDOWN((Table1[[#This Row],[Quantity]]*(1+20%)),0)</f>
        <v>8</v>
      </c>
      <c r="AJ216" s="7">
        <f>Table1[[#This Row],[Quantity increase by 20%]]*Table1[[#This Row],[UnitPrice]]</f>
        <v>9971.2800000000007</v>
      </c>
      <c r="AK216">
        <f>ROUNDDOWN(Table1[[#This Row],[Quantity]]*(1+20%),0)</f>
        <v>8</v>
      </c>
      <c r="AL216" s="7">
        <f>Table1[[#This Row],[UnitCost]]*(1+15%)</f>
        <v>1248.4514999999999</v>
      </c>
      <c r="AM216" s="9">
        <f>Table1[[#This Row],[Quantity]]*Table1[[#This Row],[Cost of unit by inflation 15%]]</f>
        <v>8739.1605</v>
      </c>
      <c r="AN216" s="21" cm="1">
        <f t="array" ref="AN216">_xlfn.UNIQUE(AC216)</f>
        <v>45016</v>
      </c>
    </row>
    <row r="217" spans="1:40" x14ac:dyDescent="0.35">
      <c r="A217" t="s">
        <v>361</v>
      </c>
      <c r="B217" s="21">
        <v>45281</v>
      </c>
      <c r="C217" s="10">
        <v>45297</v>
      </c>
      <c r="D217" s="3">
        <f t="shared" si="36"/>
        <v>16</v>
      </c>
      <c r="E217" s="10" t="str">
        <f t="shared" si="37"/>
        <v>Q4-2023</v>
      </c>
      <c r="F217" t="s">
        <v>645</v>
      </c>
      <c r="G217" t="s">
        <v>650</v>
      </c>
      <c r="H217" t="s">
        <v>668</v>
      </c>
      <c r="I217" t="s">
        <v>700</v>
      </c>
      <c r="J217" t="s">
        <v>708</v>
      </c>
      <c r="K217" t="s">
        <v>722</v>
      </c>
      <c r="L217" t="s">
        <v>726</v>
      </c>
      <c r="M217" t="s">
        <v>1079</v>
      </c>
      <c r="N217" s="3">
        <v>932.61</v>
      </c>
      <c r="O217" s="3">
        <v>1982.98</v>
      </c>
      <c r="P217" s="6">
        <v>0.14399999999999999</v>
      </c>
      <c r="Q217" s="6">
        <f>IF(Table1[[#This Row],[DiscountPct]]&gt;25%,25%,Table1[[#This Row],[DiscountPct]])</f>
        <v>0.14399999999999999</v>
      </c>
      <c r="R217" s="5">
        <v>16</v>
      </c>
      <c r="S217" s="6">
        <f t="shared" si="38"/>
        <v>1.1262692872690621</v>
      </c>
      <c r="T217" s="8">
        <f t="shared" si="39"/>
        <v>27158.894079999998</v>
      </c>
      <c r="U217" s="8">
        <f t="shared" si="40"/>
        <v>14921.76</v>
      </c>
      <c r="V217" s="9">
        <f t="shared" si="41"/>
        <v>12237.134079999998</v>
      </c>
      <c r="W217" s="6">
        <f t="shared" si="42"/>
        <v>0.45057556629345635</v>
      </c>
      <c r="X217" t="str" cm="1">
        <f t="array" ref="X217">_xlfn.IFS(S217&lt;=25%, "Low", S217&lt;=75%, "Medium", S217&gt;75%, "High")</f>
        <v>High</v>
      </c>
      <c r="Y217" s="8">
        <f>Table1[[#This Row],[Quantity]]*(Table1[[#This Row],[UnitPrice]]*(1-Table1[[#This Row],[DiscountPct]]))</f>
        <v>27158.894079999998</v>
      </c>
      <c r="Z217" s="9">
        <f t="shared" si="43"/>
        <v>12237.134079999998</v>
      </c>
      <c r="AA217">
        <f>COUNTIF($G$2:G218,G217)</f>
        <v>15</v>
      </c>
      <c r="AB217" s="21">
        <f t="shared" si="44"/>
        <v>44988</v>
      </c>
      <c r="AC217" s="21">
        <f t="shared" si="45"/>
        <v>45016</v>
      </c>
      <c r="AD217" s="5">
        <f>(Table1[[#This Row],[OrderDate]]-Table1[[#This Row],[Date of first order]])/30</f>
        <v>9.7666666666666675</v>
      </c>
      <c r="AE217" t="str">
        <f t="shared" si="46"/>
        <v>Poor</v>
      </c>
      <c r="AF217">
        <f>COUNTIF(AE$2:AE218,AE217)</f>
        <v>153</v>
      </c>
      <c r="AG217" t="str">
        <f t="shared" si="47"/>
        <v>False</v>
      </c>
      <c r="AH217" s="7">
        <f>Table1[[#This Row],[UnitPrice]]*(1-Table1[[#This Row],[Disc Scenario]])*Table1[[#This Row],[Quantity]]</f>
        <v>27158.894079999998</v>
      </c>
      <c r="AI217">
        <f>ROUNDDOWN((Table1[[#This Row],[Quantity]]*(1+20%)),0)</f>
        <v>19</v>
      </c>
      <c r="AJ217" s="7">
        <f>Table1[[#This Row],[Quantity increase by 20%]]*Table1[[#This Row],[UnitPrice]]</f>
        <v>37676.620000000003</v>
      </c>
      <c r="AK217">
        <f>ROUNDDOWN(Table1[[#This Row],[Quantity]]*(1+20%),0)</f>
        <v>19</v>
      </c>
      <c r="AL217" s="7">
        <f>Table1[[#This Row],[UnitCost]]*(1+15%)</f>
        <v>1072.5014999999999</v>
      </c>
      <c r="AM217" s="9">
        <f>Table1[[#This Row],[Quantity]]*Table1[[#This Row],[Cost of unit by inflation 15%]]</f>
        <v>17160.023999999998</v>
      </c>
      <c r="AN217" s="21" cm="1">
        <f t="array" ref="AN217">_xlfn.UNIQUE(AC217)</f>
        <v>45016</v>
      </c>
    </row>
    <row r="218" spans="1:40" x14ac:dyDescent="0.35">
      <c r="A218" t="s">
        <v>639</v>
      </c>
      <c r="B218" s="21">
        <v>45282</v>
      </c>
      <c r="C218" s="10">
        <v>45307</v>
      </c>
      <c r="D218" s="3">
        <f t="shared" si="36"/>
        <v>25</v>
      </c>
      <c r="E218" s="10" t="str">
        <f t="shared" si="37"/>
        <v>Q4-2023</v>
      </c>
      <c r="F218" t="s">
        <v>646</v>
      </c>
      <c r="G218" t="s">
        <v>653</v>
      </c>
      <c r="H218" t="s">
        <v>695</v>
      </c>
      <c r="I218" t="s">
        <v>704</v>
      </c>
      <c r="J218" t="s">
        <v>706</v>
      </c>
      <c r="K218" t="s">
        <v>719</v>
      </c>
      <c r="L218" t="s">
        <v>726</v>
      </c>
      <c r="M218" t="s">
        <v>1355</v>
      </c>
      <c r="N218" s="3">
        <v>1346.81</v>
      </c>
      <c r="O218" s="3">
        <v>2424.2579999999998</v>
      </c>
      <c r="P218" s="6">
        <v>0.159</v>
      </c>
      <c r="Q218" s="6">
        <f>IF(Table1[[#This Row],[DiscountPct]]&gt;25%,25%,Table1[[#This Row],[DiscountPct]])</f>
        <v>0.159</v>
      </c>
      <c r="R218" s="5">
        <v>17</v>
      </c>
      <c r="S218" s="6">
        <f t="shared" si="38"/>
        <v>0.79999999999999993</v>
      </c>
      <c r="T218" s="8">
        <f t="shared" si="39"/>
        <v>34659.616625999995</v>
      </c>
      <c r="U218" s="8">
        <f t="shared" si="40"/>
        <v>22895.77</v>
      </c>
      <c r="V218" s="9">
        <f t="shared" si="41"/>
        <v>11763.846625999995</v>
      </c>
      <c r="W218" s="6">
        <f t="shared" si="42"/>
        <v>0.3394107543929184</v>
      </c>
      <c r="X218" t="str" cm="1">
        <f t="array" ref="X218">_xlfn.IFS(S218&lt;=25%, "Low", S218&lt;=75%, "Medium", S218&gt;75%, "High")</f>
        <v>High</v>
      </c>
      <c r="Y218" s="8">
        <f>Table1[[#This Row],[Quantity]]*(Table1[[#This Row],[UnitPrice]]*(1-Table1[[#This Row],[DiscountPct]]))</f>
        <v>34659.616625999995</v>
      </c>
      <c r="Z218" s="9">
        <f t="shared" si="43"/>
        <v>11763.846625999995</v>
      </c>
      <c r="AA218">
        <f>COUNTIF($G$2:G219,G218)</f>
        <v>23</v>
      </c>
      <c r="AB218" s="21">
        <f t="shared" si="44"/>
        <v>44988</v>
      </c>
      <c r="AC218" s="21">
        <f t="shared" si="45"/>
        <v>45016</v>
      </c>
      <c r="AD218" s="5">
        <f>(Table1[[#This Row],[OrderDate]]-Table1[[#This Row],[Date of first order]])/30</f>
        <v>9.8000000000000007</v>
      </c>
      <c r="AE218" t="str">
        <f t="shared" si="46"/>
        <v>Poor</v>
      </c>
      <c r="AF218">
        <f>COUNTIF(AE$2:AE219,AE218)</f>
        <v>153</v>
      </c>
      <c r="AG218" t="str">
        <f t="shared" si="47"/>
        <v>False</v>
      </c>
      <c r="AH218" s="7">
        <f>Table1[[#This Row],[UnitPrice]]*(1-Table1[[#This Row],[Disc Scenario]])*Table1[[#This Row],[Quantity]]</f>
        <v>34659.616625999995</v>
      </c>
      <c r="AI218">
        <f>ROUNDDOWN((Table1[[#This Row],[Quantity]]*(1+20%)),0)</f>
        <v>20</v>
      </c>
      <c r="AJ218" s="7">
        <f>Table1[[#This Row],[Quantity increase by 20%]]*Table1[[#This Row],[UnitPrice]]</f>
        <v>48485.159999999996</v>
      </c>
      <c r="AK218">
        <f>ROUNDDOWN(Table1[[#This Row],[Quantity]]*(1+20%),0)</f>
        <v>20</v>
      </c>
      <c r="AL218" s="7">
        <f>Table1[[#This Row],[UnitCost]]*(1+15%)</f>
        <v>1548.8314999999998</v>
      </c>
      <c r="AM218" s="9">
        <f>Table1[[#This Row],[Quantity]]*Table1[[#This Row],[Cost of unit by inflation 15%]]</f>
        <v>26330.135499999997</v>
      </c>
      <c r="AN218" s="21" cm="1">
        <f t="array" ref="AN218">_xlfn.UNIQUE(AC218)</f>
        <v>45016</v>
      </c>
    </row>
    <row r="219" spans="1:40" x14ac:dyDescent="0.35">
      <c r="A219" t="s">
        <v>100</v>
      </c>
      <c r="B219" s="21">
        <v>45282</v>
      </c>
      <c r="C219" s="10">
        <v>45283</v>
      </c>
      <c r="D219" s="3">
        <f t="shared" si="36"/>
        <v>1</v>
      </c>
      <c r="E219" s="10" t="str">
        <f t="shared" si="37"/>
        <v>Q4-2023</v>
      </c>
      <c r="F219" t="s">
        <v>645</v>
      </c>
      <c r="G219" t="s">
        <v>660</v>
      </c>
      <c r="H219" t="s">
        <v>694</v>
      </c>
      <c r="I219" t="s">
        <v>702</v>
      </c>
      <c r="J219" t="s">
        <v>708</v>
      </c>
      <c r="K219" t="s">
        <v>725</v>
      </c>
      <c r="L219" t="s">
        <v>726</v>
      </c>
      <c r="M219" t="s">
        <v>818</v>
      </c>
      <c r="N219" s="3">
        <v>1186.18</v>
      </c>
      <c r="O219" s="3">
        <v>1285.0899999999999</v>
      </c>
      <c r="P219" s="6">
        <v>7.0000000000000007E-2</v>
      </c>
      <c r="Q219" s="6">
        <f>IF(Table1[[#This Row],[DiscountPct]]&gt;25%,25%,Table1[[#This Row],[DiscountPct]])</f>
        <v>7.0000000000000007E-2</v>
      </c>
      <c r="R219" s="5">
        <v>11</v>
      </c>
      <c r="S219" s="6">
        <f t="shared" si="38"/>
        <v>8.3385320946230634E-2</v>
      </c>
      <c r="T219" s="8">
        <f t="shared" si="39"/>
        <v>13146.470699999998</v>
      </c>
      <c r="U219" s="8">
        <f t="shared" si="40"/>
        <v>13047.980000000001</v>
      </c>
      <c r="V219" s="9">
        <f t="shared" si="41"/>
        <v>98.49069999999665</v>
      </c>
      <c r="W219" s="6">
        <f t="shared" si="42"/>
        <v>7.4917977796121861E-3</v>
      </c>
      <c r="X219" t="str" cm="1">
        <f t="array" ref="X219">_xlfn.IFS(S219&lt;=25%, "Low", S219&lt;=75%, "Medium", S219&gt;75%, "High")</f>
        <v>Low</v>
      </c>
      <c r="Y219" s="8">
        <f>Table1[[#This Row],[Quantity]]*(Table1[[#This Row],[UnitPrice]]*(1-Table1[[#This Row],[DiscountPct]]))</f>
        <v>13146.470699999998</v>
      </c>
      <c r="Z219" s="9">
        <f t="shared" si="43"/>
        <v>98.49069999999665</v>
      </c>
      <c r="AA219">
        <f>COUNTIF($G$2:G220,G219)</f>
        <v>19</v>
      </c>
      <c r="AB219" s="21">
        <f t="shared" si="44"/>
        <v>44988</v>
      </c>
      <c r="AC219" s="21">
        <f t="shared" si="45"/>
        <v>45016</v>
      </c>
      <c r="AD219" s="5">
        <f>(Table1[[#This Row],[OrderDate]]-Table1[[#This Row],[Date of first order]])/30</f>
        <v>9.8000000000000007</v>
      </c>
      <c r="AE219" t="str">
        <f t="shared" si="46"/>
        <v>Good</v>
      </c>
      <c r="AF219">
        <f>COUNTIF(AE$2:AE220,AE219)</f>
        <v>65</v>
      </c>
      <c r="AG219" t="str">
        <f t="shared" si="47"/>
        <v>False</v>
      </c>
      <c r="AH219" s="7">
        <f>Table1[[#This Row],[UnitPrice]]*(1-Table1[[#This Row],[Disc Scenario]])*Table1[[#This Row],[Quantity]]</f>
        <v>13146.470699999998</v>
      </c>
      <c r="AI219">
        <f>ROUNDDOWN((Table1[[#This Row],[Quantity]]*(1+20%)),0)</f>
        <v>13</v>
      </c>
      <c r="AJ219" s="7">
        <f>Table1[[#This Row],[Quantity increase by 20%]]*Table1[[#This Row],[UnitPrice]]</f>
        <v>16706.169999999998</v>
      </c>
      <c r="AK219">
        <f>ROUNDDOWN(Table1[[#This Row],[Quantity]]*(1+20%),0)</f>
        <v>13</v>
      </c>
      <c r="AL219" s="7">
        <f>Table1[[#This Row],[UnitCost]]*(1+15%)</f>
        <v>1364.107</v>
      </c>
      <c r="AM219" s="9">
        <f>Table1[[#This Row],[Quantity]]*Table1[[#This Row],[Cost of unit by inflation 15%]]</f>
        <v>15005.177</v>
      </c>
      <c r="AN219" s="21" cm="1">
        <f t="array" ref="AN219">_xlfn.UNIQUE(AC219)</f>
        <v>45016</v>
      </c>
    </row>
    <row r="220" spans="1:40" x14ac:dyDescent="0.35">
      <c r="A220" t="s">
        <v>281</v>
      </c>
      <c r="B220" s="21">
        <v>45284</v>
      </c>
      <c r="C220" s="10">
        <v>45292</v>
      </c>
      <c r="D220" s="3">
        <f t="shared" si="36"/>
        <v>8</v>
      </c>
      <c r="E220" s="10" t="str">
        <f t="shared" si="37"/>
        <v>Q4-2023</v>
      </c>
      <c r="F220" t="s">
        <v>647</v>
      </c>
      <c r="G220" t="s">
        <v>654</v>
      </c>
      <c r="H220" t="s">
        <v>669</v>
      </c>
      <c r="I220" t="s">
        <v>701</v>
      </c>
      <c r="J220" t="s">
        <v>710</v>
      </c>
      <c r="K220" t="s">
        <v>711</v>
      </c>
      <c r="L220" t="s">
        <v>729</v>
      </c>
      <c r="M220" t="s">
        <v>999</v>
      </c>
      <c r="N220" s="3">
        <v>526.49</v>
      </c>
      <c r="O220" s="3">
        <v>1016.1257000000001</v>
      </c>
      <c r="P220" s="6">
        <v>0</v>
      </c>
      <c r="Q220" s="6">
        <f>IF(Table1[[#This Row],[DiscountPct]]&gt;25%,25%,Table1[[#This Row],[DiscountPct]])</f>
        <v>0</v>
      </c>
      <c r="R220" s="5">
        <v>14</v>
      </c>
      <c r="S220" s="6">
        <f t="shared" si="38"/>
        <v>0.93</v>
      </c>
      <c r="T220" s="8">
        <f t="shared" si="39"/>
        <v>14225.7598</v>
      </c>
      <c r="U220" s="8">
        <f t="shared" si="40"/>
        <v>7370.8600000000006</v>
      </c>
      <c r="V220" s="9">
        <f t="shared" si="41"/>
        <v>6854.8997999999992</v>
      </c>
      <c r="W220" s="6">
        <f t="shared" si="42"/>
        <v>0.4818652849740932</v>
      </c>
      <c r="X220" t="str" cm="1">
        <f t="array" ref="X220">_xlfn.IFS(S220&lt;=25%, "Low", S220&lt;=75%, "Medium", S220&gt;75%, "High")</f>
        <v>High</v>
      </c>
      <c r="Y220" s="8">
        <f>Table1[[#This Row],[Quantity]]*(Table1[[#This Row],[UnitPrice]]*(1-Table1[[#This Row],[DiscountPct]]))</f>
        <v>14225.7598</v>
      </c>
      <c r="Z220" s="9">
        <f t="shared" si="43"/>
        <v>6854.8997999999992</v>
      </c>
      <c r="AA220">
        <f>COUNTIF($G$2:G221,G220)</f>
        <v>23</v>
      </c>
      <c r="AB220" s="21">
        <f t="shared" si="44"/>
        <v>44988</v>
      </c>
      <c r="AC220" s="21">
        <f t="shared" si="45"/>
        <v>45016</v>
      </c>
      <c r="AD220" s="5">
        <f>(Table1[[#This Row],[OrderDate]]-Table1[[#This Row],[Date of first order]])/30</f>
        <v>9.8666666666666671</v>
      </c>
      <c r="AE220" t="str">
        <f t="shared" si="46"/>
        <v>Poor</v>
      </c>
      <c r="AF220">
        <f>COUNTIF(AE$2:AE221,AE220)</f>
        <v>155</v>
      </c>
      <c r="AG220" t="str">
        <f t="shared" si="47"/>
        <v>False</v>
      </c>
      <c r="AH220" s="7">
        <f>Table1[[#This Row],[UnitPrice]]*(1-Table1[[#This Row],[Disc Scenario]])*Table1[[#This Row],[Quantity]]</f>
        <v>14225.7598</v>
      </c>
      <c r="AI220">
        <f>ROUNDDOWN((Table1[[#This Row],[Quantity]]*(1+20%)),0)</f>
        <v>16</v>
      </c>
      <c r="AJ220" s="7">
        <f>Table1[[#This Row],[Quantity increase by 20%]]*Table1[[#This Row],[UnitPrice]]</f>
        <v>16258.011200000001</v>
      </c>
      <c r="AK220">
        <f>ROUNDDOWN(Table1[[#This Row],[Quantity]]*(1+20%),0)</f>
        <v>16</v>
      </c>
      <c r="AL220" s="7">
        <f>Table1[[#This Row],[UnitCost]]*(1+15%)</f>
        <v>605.46349999999995</v>
      </c>
      <c r="AM220" s="9">
        <f>Table1[[#This Row],[Quantity]]*Table1[[#This Row],[Cost of unit by inflation 15%]]</f>
        <v>8476.4889999999996</v>
      </c>
      <c r="AN220" s="21" cm="1">
        <f t="array" ref="AN220">_xlfn.UNIQUE(AC220)</f>
        <v>45016</v>
      </c>
    </row>
    <row r="221" spans="1:40" x14ac:dyDescent="0.35">
      <c r="A221" t="s">
        <v>459</v>
      </c>
      <c r="B221" s="21">
        <v>45284</v>
      </c>
      <c r="C221" s="10">
        <v>45304</v>
      </c>
      <c r="D221" s="3">
        <f t="shared" si="36"/>
        <v>20</v>
      </c>
      <c r="E221" s="10" t="str">
        <f t="shared" si="37"/>
        <v>Q4-2023</v>
      </c>
      <c r="F221" t="s">
        <v>646</v>
      </c>
      <c r="G221" t="s">
        <v>651</v>
      </c>
      <c r="H221" t="s">
        <v>693</v>
      </c>
      <c r="I221" t="s">
        <v>701</v>
      </c>
      <c r="J221" t="s">
        <v>710</v>
      </c>
      <c r="K221" t="s">
        <v>716</v>
      </c>
      <c r="L221" t="s">
        <v>730</v>
      </c>
      <c r="M221" t="s">
        <v>1176</v>
      </c>
      <c r="N221" s="3">
        <v>625.37</v>
      </c>
      <c r="O221" s="3">
        <v>1319.04</v>
      </c>
      <c r="P221" s="6">
        <v>7.3999999999999996E-2</v>
      </c>
      <c r="Q221" s="6">
        <f>IF(Table1[[#This Row],[DiscountPct]]&gt;25%,25%,Table1[[#This Row],[DiscountPct]])</f>
        <v>7.3999999999999996E-2</v>
      </c>
      <c r="R221" s="5">
        <v>8</v>
      </c>
      <c r="S221" s="6">
        <f t="shared" si="38"/>
        <v>1.1092153445160464</v>
      </c>
      <c r="T221" s="8">
        <f t="shared" si="39"/>
        <v>9771.4483199999995</v>
      </c>
      <c r="U221" s="8">
        <f t="shared" si="40"/>
        <v>5002.96</v>
      </c>
      <c r="V221" s="9">
        <f t="shared" si="41"/>
        <v>4768.4883199999995</v>
      </c>
      <c r="W221" s="6">
        <f t="shared" si="42"/>
        <v>0.48800220436513547</v>
      </c>
      <c r="X221" t="str" cm="1">
        <f t="array" ref="X221">_xlfn.IFS(S221&lt;=25%, "Low", S221&lt;=75%, "Medium", S221&gt;75%, "High")</f>
        <v>High</v>
      </c>
      <c r="Y221" s="8">
        <f>Table1[[#This Row],[Quantity]]*(Table1[[#This Row],[UnitPrice]]*(1-Table1[[#This Row],[DiscountPct]]))</f>
        <v>9771.4483199999995</v>
      </c>
      <c r="Z221" s="9">
        <f t="shared" si="43"/>
        <v>4768.4883199999995</v>
      </c>
      <c r="AA221">
        <f>COUNTIF($G$2:G222,G221)</f>
        <v>18</v>
      </c>
      <c r="AB221" s="21">
        <f t="shared" si="44"/>
        <v>44988</v>
      </c>
      <c r="AC221" s="21">
        <f t="shared" si="45"/>
        <v>45016</v>
      </c>
      <c r="AD221" s="5">
        <f>(Table1[[#This Row],[OrderDate]]-Table1[[#This Row],[Date of first order]])/30</f>
        <v>9.8666666666666671</v>
      </c>
      <c r="AE221" t="str">
        <f t="shared" si="46"/>
        <v>Poor</v>
      </c>
      <c r="AF221">
        <f>COUNTIF(AE$2:AE222,AE221)</f>
        <v>156</v>
      </c>
      <c r="AG221" t="str">
        <f t="shared" si="47"/>
        <v>False</v>
      </c>
      <c r="AH221" s="7">
        <f>Table1[[#This Row],[UnitPrice]]*(1-Table1[[#This Row],[Disc Scenario]])*Table1[[#This Row],[Quantity]]</f>
        <v>9771.4483199999995</v>
      </c>
      <c r="AI221">
        <f>ROUNDDOWN((Table1[[#This Row],[Quantity]]*(1+20%)),0)</f>
        <v>9</v>
      </c>
      <c r="AJ221" s="7">
        <f>Table1[[#This Row],[Quantity increase by 20%]]*Table1[[#This Row],[UnitPrice]]</f>
        <v>11871.36</v>
      </c>
      <c r="AK221">
        <f>ROUNDDOWN(Table1[[#This Row],[Quantity]]*(1+20%),0)</f>
        <v>9</v>
      </c>
      <c r="AL221" s="7">
        <f>Table1[[#This Row],[UnitCost]]*(1+15%)</f>
        <v>719.17549999999994</v>
      </c>
      <c r="AM221" s="9">
        <f>Table1[[#This Row],[Quantity]]*Table1[[#This Row],[Cost of unit by inflation 15%]]</f>
        <v>5753.4039999999995</v>
      </c>
      <c r="AN221" s="21" cm="1">
        <f t="array" ref="AN221">_xlfn.UNIQUE(AC221)</f>
        <v>45016</v>
      </c>
    </row>
    <row r="222" spans="1:40" x14ac:dyDescent="0.35">
      <c r="A222" t="s">
        <v>383</v>
      </c>
      <c r="B222" s="21">
        <v>45286</v>
      </c>
      <c r="C222" s="10">
        <v>45294</v>
      </c>
      <c r="D222" s="3">
        <f t="shared" si="36"/>
        <v>8</v>
      </c>
      <c r="E222" s="10" t="str">
        <f t="shared" si="37"/>
        <v>Q4-2023</v>
      </c>
      <c r="F222" t="s">
        <v>648</v>
      </c>
      <c r="G222" t="s">
        <v>656</v>
      </c>
      <c r="H222" t="s">
        <v>678</v>
      </c>
      <c r="I222" t="s">
        <v>704</v>
      </c>
      <c r="J222" t="s">
        <v>706</v>
      </c>
      <c r="K222" t="s">
        <v>723</v>
      </c>
      <c r="L222" t="s">
        <v>730</v>
      </c>
      <c r="M222" t="s">
        <v>1101</v>
      </c>
      <c r="N222" s="3">
        <v>492.75</v>
      </c>
      <c r="O222" s="3">
        <v>731.29</v>
      </c>
      <c r="P222" s="6">
        <v>5.8000000000000003E-2</v>
      </c>
      <c r="Q222" s="6">
        <f>IF(Table1[[#This Row],[DiscountPct]]&gt;25%,25%,Table1[[#This Row],[DiscountPct]])</f>
        <v>5.8000000000000003E-2</v>
      </c>
      <c r="R222" s="5">
        <v>6</v>
      </c>
      <c r="S222" s="6">
        <f t="shared" si="38"/>
        <v>0.48409944190766102</v>
      </c>
      <c r="T222" s="8">
        <f t="shared" si="39"/>
        <v>4133.25108</v>
      </c>
      <c r="U222" s="8">
        <f t="shared" si="40"/>
        <v>2956.5</v>
      </c>
      <c r="V222" s="9">
        <f t="shared" si="41"/>
        <v>1176.75108</v>
      </c>
      <c r="W222" s="6">
        <f t="shared" si="42"/>
        <v>0.28470350753528384</v>
      </c>
      <c r="X222" t="str" cm="1">
        <f t="array" ref="X222">_xlfn.IFS(S222&lt;=25%, "Low", S222&lt;=75%, "Medium", S222&gt;75%, "High")</f>
        <v>Medium</v>
      </c>
      <c r="Y222" s="8">
        <f>Table1[[#This Row],[Quantity]]*(Table1[[#This Row],[UnitPrice]]*(1-Table1[[#This Row],[DiscountPct]]))</f>
        <v>4133.2510799999991</v>
      </c>
      <c r="Z222" s="9">
        <f t="shared" si="43"/>
        <v>1176.7510799999991</v>
      </c>
      <c r="AA222">
        <f>COUNTIF($G$2:G223,G222)</f>
        <v>15</v>
      </c>
      <c r="AB222" s="21">
        <f t="shared" si="44"/>
        <v>44988</v>
      </c>
      <c r="AC222" s="21">
        <f t="shared" si="45"/>
        <v>45016</v>
      </c>
      <c r="AD222" s="5">
        <f>(Table1[[#This Row],[OrderDate]]-Table1[[#This Row],[Date of first order]])/30</f>
        <v>9.9333333333333336</v>
      </c>
      <c r="AE222" t="str">
        <f t="shared" si="46"/>
        <v>Poor</v>
      </c>
      <c r="AF222">
        <f>COUNTIF(AE$2:AE223,AE222)</f>
        <v>156</v>
      </c>
      <c r="AG222" t="str">
        <f t="shared" si="47"/>
        <v>False</v>
      </c>
      <c r="AH222" s="7">
        <f>Table1[[#This Row],[UnitPrice]]*(1-Table1[[#This Row],[Disc Scenario]])*Table1[[#This Row],[Quantity]]</f>
        <v>4133.2510799999991</v>
      </c>
      <c r="AI222">
        <f>ROUNDDOWN((Table1[[#This Row],[Quantity]]*(1+20%)),0)</f>
        <v>7</v>
      </c>
      <c r="AJ222" s="7">
        <f>Table1[[#This Row],[Quantity increase by 20%]]*Table1[[#This Row],[UnitPrice]]</f>
        <v>5119.03</v>
      </c>
      <c r="AK222">
        <f>ROUNDDOWN(Table1[[#This Row],[Quantity]]*(1+20%),0)</f>
        <v>7</v>
      </c>
      <c r="AL222" s="7">
        <f>Table1[[#This Row],[UnitCost]]*(1+15%)</f>
        <v>566.66249999999991</v>
      </c>
      <c r="AM222" s="9">
        <f>Table1[[#This Row],[Quantity]]*Table1[[#This Row],[Cost of unit by inflation 15%]]</f>
        <v>3399.9749999999995</v>
      </c>
      <c r="AN222" s="21" cm="1">
        <f t="array" ref="AN222">_xlfn.UNIQUE(AC222)</f>
        <v>45016</v>
      </c>
    </row>
    <row r="223" spans="1:40" x14ac:dyDescent="0.35">
      <c r="A223" t="s">
        <v>552</v>
      </c>
      <c r="B223" s="21">
        <v>45288</v>
      </c>
      <c r="C223" s="10">
        <v>45292</v>
      </c>
      <c r="D223" s="3">
        <f t="shared" si="36"/>
        <v>4</v>
      </c>
      <c r="E223" s="10" t="str">
        <f t="shared" si="37"/>
        <v>Q4-2023</v>
      </c>
      <c r="F223" t="s">
        <v>645</v>
      </c>
      <c r="G223" t="s">
        <v>660</v>
      </c>
      <c r="H223" t="s">
        <v>694</v>
      </c>
      <c r="I223" t="s">
        <v>701</v>
      </c>
      <c r="J223" t="s">
        <v>709</v>
      </c>
      <c r="K223" t="s">
        <v>719</v>
      </c>
      <c r="L223" t="s">
        <v>727</v>
      </c>
      <c r="M223" t="s">
        <v>1268</v>
      </c>
      <c r="N223" s="3">
        <v>1141.8</v>
      </c>
      <c r="O223" s="3">
        <v>2318.7399999999998</v>
      </c>
      <c r="P223" s="6">
        <v>0.107</v>
      </c>
      <c r="Q223" s="6">
        <f>IF(Table1[[#This Row],[DiscountPct]]&gt;25%,25%,Table1[[#This Row],[DiscountPct]])</f>
        <v>0.107</v>
      </c>
      <c r="R223" s="5">
        <v>32</v>
      </c>
      <c r="S223" s="6">
        <f t="shared" si="38"/>
        <v>1.0307759677701873</v>
      </c>
      <c r="T223" s="8">
        <f t="shared" si="39"/>
        <v>66260.314239999992</v>
      </c>
      <c r="U223" s="8">
        <f t="shared" si="40"/>
        <v>36537.599999999999</v>
      </c>
      <c r="V223" s="9">
        <f t="shared" si="41"/>
        <v>29722.714239999994</v>
      </c>
      <c r="W223" s="6">
        <f t="shared" si="42"/>
        <v>0.44857490612468304</v>
      </c>
      <c r="X223" t="str" cm="1">
        <f t="array" ref="X223">_xlfn.IFS(S223&lt;=25%, "Low", S223&lt;=75%, "Medium", S223&gt;75%, "High")</f>
        <v>High</v>
      </c>
      <c r="Y223" s="8">
        <f>Table1[[#This Row],[Quantity]]*(Table1[[#This Row],[UnitPrice]]*(1-Table1[[#This Row],[DiscountPct]]))</f>
        <v>66260.314239999992</v>
      </c>
      <c r="Z223" s="9">
        <f t="shared" si="43"/>
        <v>29722.714239999994</v>
      </c>
      <c r="AA223">
        <f>COUNTIF($G$2:G224,G223)</f>
        <v>20</v>
      </c>
      <c r="AB223" s="21">
        <f t="shared" si="44"/>
        <v>44988</v>
      </c>
      <c r="AC223" s="21">
        <f t="shared" si="45"/>
        <v>45016</v>
      </c>
      <c r="AD223" s="5">
        <f>(Table1[[#This Row],[OrderDate]]-Table1[[#This Row],[Date of first order]])/30</f>
        <v>10</v>
      </c>
      <c r="AE223" t="str">
        <f t="shared" si="46"/>
        <v>Good</v>
      </c>
      <c r="AF223">
        <f>COUNTIF(AE$2:AE224,AE223)</f>
        <v>66</v>
      </c>
      <c r="AG223" t="str">
        <f t="shared" si="47"/>
        <v>False</v>
      </c>
      <c r="AH223" s="7">
        <f>Table1[[#This Row],[UnitPrice]]*(1-Table1[[#This Row],[Disc Scenario]])*Table1[[#This Row],[Quantity]]</f>
        <v>66260.314239999992</v>
      </c>
      <c r="AI223">
        <f>ROUNDDOWN((Table1[[#This Row],[Quantity]]*(1+20%)),0)</f>
        <v>38</v>
      </c>
      <c r="AJ223" s="7">
        <f>Table1[[#This Row],[Quantity increase by 20%]]*Table1[[#This Row],[UnitPrice]]</f>
        <v>88112.12</v>
      </c>
      <c r="AK223">
        <f>ROUNDDOWN(Table1[[#This Row],[Quantity]]*(1+20%),0)</f>
        <v>38</v>
      </c>
      <c r="AL223" s="7">
        <f>Table1[[#This Row],[UnitCost]]*(1+15%)</f>
        <v>1313.07</v>
      </c>
      <c r="AM223" s="9">
        <f>Table1[[#This Row],[Quantity]]*Table1[[#This Row],[Cost of unit by inflation 15%]]</f>
        <v>42018.239999999998</v>
      </c>
      <c r="AN223" s="21" cm="1">
        <f t="array" ref="AN223">_xlfn.UNIQUE(AC223)</f>
        <v>45016</v>
      </c>
    </row>
    <row r="224" spans="1:40" x14ac:dyDescent="0.35">
      <c r="A224" t="s">
        <v>137</v>
      </c>
      <c r="B224" s="21">
        <v>45289</v>
      </c>
      <c r="C224" s="10">
        <v>45311</v>
      </c>
      <c r="D224" s="3">
        <f t="shared" si="36"/>
        <v>22</v>
      </c>
      <c r="E224" s="10" t="str">
        <f t="shared" si="37"/>
        <v>Q4-2023</v>
      </c>
      <c r="F224" t="s">
        <v>645</v>
      </c>
      <c r="G224" t="s">
        <v>649</v>
      </c>
      <c r="H224" t="s">
        <v>661</v>
      </c>
      <c r="I224" t="s">
        <v>700</v>
      </c>
      <c r="J224" t="s">
        <v>710</v>
      </c>
      <c r="K224" t="s">
        <v>715</v>
      </c>
      <c r="L224" t="s">
        <v>729</v>
      </c>
      <c r="M224" t="s">
        <v>855</v>
      </c>
      <c r="N224" s="3">
        <v>1395.49</v>
      </c>
      <c r="O224" s="3">
        <v>1679.42</v>
      </c>
      <c r="P224" s="6">
        <v>0.20300000000000001</v>
      </c>
      <c r="Q224" s="6">
        <f>IF(Table1[[#This Row],[DiscountPct]]&gt;25%,25%,Table1[[#This Row],[DiscountPct]])</f>
        <v>0.20300000000000001</v>
      </c>
      <c r="R224" s="5">
        <v>12</v>
      </c>
      <c r="S224" s="6">
        <f t="shared" si="38"/>
        <v>0.20346258303534964</v>
      </c>
      <c r="T224" s="8">
        <f t="shared" si="39"/>
        <v>16061.972879999999</v>
      </c>
      <c r="U224" s="8">
        <f t="shared" si="40"/>
        <v>16745.88</v>
      </c>
      <c r="V224" s="9">
        <f t="shared" si="41"/>
        <v>-683.90712000000167</v>
      </c>
      <c r="W224" s="6">
        <f t="shared" si="42"/>
        <v>-4.2579272490964493E-2</v>
      </c>
      <c r="X224" t="str" cm="1">
        <f t="array" ref="X224">_xlfn.IFS(S224&lt;=25%, "Low", S224&lt;=75%, "Medium", S224&gt;75%, "High")</f>
        <v>Low</v>
      </c>
      <c r="Y224" s="8">
        <f>Table1[[#This Row],[Quantity]]*(Table1[[#This Row],[UnitPrice]]*(1-Table1[[#This Row],[DiscountPct]]))</f>
        <v>16061.972880000001</v>
      </c>
      <c r="Z224" s="9">
        <f t="shared" si="43"/>
        <v>-683.90711999999985</v>
      </c>
      <c r="AA224">
        <f>COUNTIF($G$2:G225,G224)</f>
        <v>19</v>
      </c>
      <c r="AB224" s="21">
        <f t="shared" si="44"/>
        <v>44988</v>
      </c>
      <c r="AC224" s="21">
        <f t="shared" si="45"/>
        <v>45016</v>
      </c>
      <c r="AD224" s="5">
        <f>(Table1[[#This Row],[OrderDate]]-Table1[[#This Row],[Date of first order]])/30</f>
        <v>10.033333333333333</v>
      </c>
      <c r="AE224" t="str">
        <f t="shared" si="46"/>
        <v>Poor</v>
      </c>
      <c r="AF224">
        <f>COUNTIF(AE$2:AE225,AE224)</f>
        <v>158</v>
      </c>
      <c r="AG224" t="str">
        <f t="shared" si="47"/>
        <v>True</v>
      </c>
      <c r="AH224" s="7">
        <f>Table1[[#This Row],[UnitPrice]]*(1-Table1[[#This Row],[Disc Scenario]])*Table1[[#This Row],[Quantity]]</f>
        <v>16061.972880000001</v>
      </c>
      <c r="AI224">
        <f>ROUNDDOWN((Table1[[#This Row],[Quantity]]*(1+20%)),0)</f>
        <v>14</v>
      </c>
      <c r="AJ224" s="7">
        <f>Table1[[#This Row],[Quantity increase by 20%]]*Table1[[#This Row],[UnitPrice]]</f>
        <v>23511.88</v>
      </c>
      <c r="AK224">
        <f>ROUNDDOWN(Table1[[#This Row],[Quantity]]*(1+20%),0)</f>
        <v>14</v>
      </c>
      <c r="AL224" s="7">
        <f>Table1[[#This Row],[UnitCost]]*(1+15%)</f>
        <v>1604.8135</v>
      </c>
      <c r="AM224" s="9">
        <f>Table1[[#This Row],[Quantity]]*Table1[[#This Row],[Cost of unit by inflation 15%]]</f>
        <v>19257.761999999999</v>
      </c>
      <c r="AN224" s="21" cm="1">
        <f t="array" ref="AN224">_xlfn.UNIQUE(AC224)</f>
        <v>45016</v>
      </c>
    </row>
    <row r="225" spans="1:40" x14ac:dyDescent="0.35">
      <c r="A225" t="s">
        <v>451</v>
      </c>
      <c r="B225" s="21">
        <v>45290</v>
      </c>
      <c r="C225" s="10">
        <v>45299</v>
      </c>
      <c r="D225" s="3">
        <f t="shared" si="36"/>
        <v>9</v>
      </c>
      <c r="E225" s="10" t="str">
        <f t="shared" si="37"/>
        <v>Q4-2023</v>
      </c>
      <c r="F225" t="s">
        <v>648</v>
      </c>
      <c r="G225" t="s">
        <v>656</v>
      </c>
      <c r="H225" t="s">
        <v>672</v>
      </c>
      <c r="I225" t="s">
        <v>703</v>
      </c>
      <c r="J225" t="s">
        <v>708</v>
      </c>
      <c r="K225" t="s">
        <v>715</v>
      </c>
      <c r="L225" t="s">
        <v>732</v>
      </c>
      <c r="M225" t="s">
        <v>1168</v>
      </c>
      <c r="N225" s="3">
        <v>861.1</v>
      </c>
      <c r="O225" s="3">
        <v>1224.72</v>
      </c>
      <c r="P225" s="6">
        <v>0.17399999999999999</v>
      </c>
      <c r="Q225" s="6">
        <f>IF(Table1[[#This Row],[DiscountPct]]&gt;25%,25%,Table1[[#This Row],[DiscountPct]])</f>
        <v>0.17399999999999999</v>
      </c>
      <c r="R225" s="5">
        <v>24</v>
      </c>
      <c r="S225" s="6">
        <f t="shared" si="38"/>
        <v>0.42227383579142957</v>
      </c>
      <c r="T225" s="8">
        <f t="shared" si="39"/>
        <v>24278.849280000002</v>
      </c>
      <c r="U225" s="8">
        <f t="shared" si="40"/>
        <v>20666.400000000001</v>
      </c>
      <c r="V225" s="9">
        <f t="shared" si="41"/>
        <v>3612.4492800000007</v>
      </c>
      <c r="W225" s="6">
        <f t="shared" si="42"/>
        <v>0.14878997098827909</v>
      </c>
      <c r="X225" t="str" cm="1">
        <f t="array" ref="X225">_xlfn.IFS(S225&lt;=25%, "Low", S225&lt;=75%, "Medium", S225&gt;75%, "High")</f>
        <v>Medium</v>
      </c>
      <c r="Y225" s="8">
        <f>Table1[[#This Row],[Quantity]]*(Table1[[#This Row],[UnitPrice]]*(1-Table1[[#This Row],[DiscountPct]]))</f>
        <v>24278.849280000002</v>
      </c>
      <c r="Z225" s="9">
        <f t="shared" si="43"/>
        <v>3612.4492800000007</v>
      </c>
      <c r="AA225">
        <f>COUNTIF($G$2:G226,G225)</f>
        <v>16</v>
      </c>
      <c r="AB225" s="21">
        <f t="shared" si="44"/>
        <v>44988</v>
      </c>
      <c r="AC225" s="21">
        <f t="shared" si="45"/>
        <v>45016</v>
      </c>
      <c r="AD225" s="5">
        <f>(Table1[[#This Row],[OrderDate]]-Table1[[#This Row],[Date of first order]])/30</f>
        <v>10.066666666666666</v>
      </c>
      <c r="AE225" t="str">
        <f t="shared" si="46"/>
        <v>Poor</v>
      </c>
      <c r="AF225">
        <f>COUNTIF(AE$2:AE226,AE225)</f>
        <v>159</v>
      </c>
      <c r="AG225" t="str">
        <f t="shared" si="47"/>
        <v>False</v>
      </c>
      <c r="AH225" s="7">
        <f>Table1[[#This Row],[UnitPrice]]*(1-Table1[[#This Row],[Disc Scenario]])*Table1[[#This Row],[Quantity]]</f>
        <v>24278.849280000002</v>
      </c>
      <c r="AI225">
        <f>ROUNDDOWN((Table1[[#This Row],[Quantity]]*(1+20%)),0)</f>
        <v>28</v>
      </c>
      <c r="AJ225" s="7">
        <f>Table1[[#This Row],[Quantity increase by 20%]]*Table1[[#This Row],[UnitPrice]]</f>
        <v>34292.160000000003</v>
      </c>
      <c r="AK225">
        <f>ROUNDDOWN(Table1[[#This Row],[Quantity]]*(1+20%),0)</f>
        <v>28</v>
      </c>
      <c r="AL225" s="7">
        <f>Table1[[#This Row],[UnitCost]]*(1+15%)</f>
        <v>990.26499999999999</v>
      </c>
      <c r="AM225" s="9">
        <f>Table1[[#This Row],[Quantity]]*Table1[[#This Row],[Cost of unit by inflation 15%]]</f>
        <v>23766.36</v>
      </c>
      <c r="AN225" s="21" cm="1">
        <f t="array" ref="AN225">_xlfn.UNIQUE(AC225)</f>
        <v>45016</v>
      </c>
    </row>
    <row r="226" spans="1:40" x14ac:dyDescent="0.35">
      <c r="A226" t="s">
        <v>368</v>
      </c>
      <c r="B226" s="21">
        <v>45292</v>
      </c>
      <c r="C226" s="10">
        <v>45318</v>
      </c>
      <c r="D226" s="3">
        <f t="shared" si="36"/>
        <v>26</v>
      </c>
      <c r="E226" s="10" t="str">
        <f t="shared" si="37"/>
        <v>Q1-2024</v>
      </c>
      <c r="F226" t="s">
        <v>648</v>
      </c>
      <c r="G226" t="s">
        <v>657</v>
      </c>
      <c r="H226" t="s">
        <v>692</v>
      </c>
      <c r="I226" t="s">
        <v>701</v>
      </c>
      <c r="J226" t="s">
        <v>709</v>
      </c>
      <c r="K226" t="s">
        <v>725</v>
      </c>
      <c r="L226" t="s">
        <v>732</v>
      </c>
      <c r="M226" t="s">
        <v>1086</v>
      </c>
      <c r="N226" s="3">
        <v>657.45</v>
      </c>
      <c r="O226" s="3">
        <v>1325.96</v>
      </c>
      <c r="P226" s="6">
        <v>0.16700000000000001</v>
      </c>
      <c r="Q226" s="6">
        <f>IF(Table1[[#This Row],[DiscountPct]]&gt;25%,25%,Table1[[#This Row],[DiscountPct]])</f>
        <v>0.16700000000000001</v>
      </c>
      <c r="R226" s="5">
        <v>21</v>
      </c>
      <c r="S226" s="6">
        <f t="shared" si="38"/>
        <v>1.0168225720587116</v>
      </c>
      <c r="T226" s="8">
        <f t="shared" si="39"/>
        <v>23195.01828</v>
      </c>
      <c r="U226" s="8">
        <f t="shared" si="40"/>
        <v>13806.45</v>
      </c>
      <c r="V226" s="9">
        <f t="shared" si="41"/>
        <v>9388.5682799999995</v>
      </c>
      <c r="W226" s="6">
        <f t="shared" si="42"/>
        <v>0.40476658249048808</v>
      </c>
      <c r="X226" t="str" cm="1">
        <f t="array" ref="X226">_xlfn.IFS(S226&lt;=25%, "Low", S226&lt;=75%, "Medium", S226&gt;75%, "High")</f>
        <v>High</v>
      </c>
      <c r="Y226" s="8">
        <f>Table1[[#This Row],[Quantity]]*(Table1[[#This Row],[UnitPrice]]*(1-Table1[[#This Row],[DiscountPct]]))</f>
        <v>23195.01828</v>
      </c>
      <c r="Z226" s="9">
        <f t="shared" si="43"/>
        <v>9388.5682799999995</v>
      </c>
      <c r="AA226">
        <f>COUNTIF($G$2:G227,G226)</f>
        <v>21</v>
      </c>
      <c r="AB226" s="21">
        <f t="shared" si="44"/>
        <v>44988</v>
      </c>
      <c r="AC226" s="21">
        <f t="shared" si="45"/>
        <v>45016</v>
      </c>
      <c r="AD226" s="5">
        <f>(Table1[[#This Row],[OrderDate]]-Table1[[#This Row],[Date of first order]])/30</f>
        <v>10.133333333333333</v>
      </c>
      <c r="AE226" t="str">
        <f t="shared" si="46"/>
        <v>Poor</v>
      </c>
      <c r="AF226">
        <f>COUNTIF(AE$2:AE227,AE226)</f>
        <v>159</v>
      </c>
      <c r="AG226" t="str">
        <f t="shared" si="47"/>
        <v>False</v>
      </c>
      <c r="AH226" s="7">
        <f>Table1[[#This Row],[UnitPrice]]*(1-Table1[[#This Row],[Disc Scenario]])*Table1[[#This Row],[Quantity]]</f>
        <v>23195.01828</v>
      </c>
      <c r="AI226">
        <f>ROUNDDOWN((Table1[[#This Row],[Quantity]]*(1+20%)),0)</f>
        <v>25</v>
      </c>
      <c r="AJ226" s="7">
        <f>Table1[[#This Row],[Quantity increase by 20%]]*Table1[[#This Row],[UnitPrice]]</f>
        <v>33149</v>
      </c>
      <c r="AK226">
        <f>ROUNDDOWN(Table1[[#This Row],[Quantity]]*(1+20%),0)</f>
        <v>25</v>
      </c>
      <c r="AL226" s="7">
        <f>Table1[[#This Row],[UnitCost]]*(1+15%)</f>
        <v>756.0675</v>
      </c>
      <c r="AM226" s="9">
        <f>Table1[[#This Row],[Quantity]]*Table1[[#This Row],[Cost of unit by inflation 15%]]</f>
        <v>15877.4175</v>
      </c>
      <c r="AN226" s="21" cm="1">
        <f t="array" ref="AN226">_xlfn.UNIQUE(AC226)</f>
        <v>45016</v>
      </c>
    </row>
    <row r="227" spans="1:40" x14ac:dyDescent="0.35">
      <c r="A227" t="s">
        <v>334</v>
      </c>
      <c r="B227" s="21">
        <v>45292</v>
      </c>
      <c r="C227" s="10">
        <v>45293</v>
      </c>
      <c r="D227" s="3">
        <f t="shared" si="36"/>
        <v>1</v>
      </c>
      <c r="E227" s="10" t="str">
        <f t="shared" si="37"/>
        <v>Q1-2024</v>
      </c>
      <c r="F227" t="s">
        <v>647</v>
      </c>
      <c r="G227" t="s">
        <v>659</v>
      </c>
      <c r="H227" t="s">
        <v>676</v>
      </c>
      <c r="I227" t="s">
        <v>701</v>
      </c>
      <c r="J227" t="s">
        <v>708</v>
      </c>
      <c r="K227" t="s">
        <v>716</v>
      </c>
      <c r="L227" t="s">
        <v>728</v>
      </c>
      <c r="M227" t="s">
        <v>1052</v>
      </c>
      <c r="N227" s="3">
        <v>404.77</v>
      </c>
      <c r="O227" s="3">
        <v>433.88</v>
      </c>
      <c r="P227" s="6">
        <v>0.215</v>
      </c>
      <c r="Q227" s="6">
        <f>IF(Table1[[#This Row],[DiscountPct]]&gt;25%,25%,Table1[[#This Row],[DiscountPct]])</f>
        <v>0.215</v>
      </c>
      <c r="R227" s="5">
        <v>22</v>
      </c>
      <c r="S227" s="6">
        <f t="shared" si="38"/>
        <v>7.1917385181708163E-2</v>
      </c>
      <c r="T227" s="8">
        <f t="shared" si="39"/>
        <v>7493.1076000000012</v>
      </c>
      <c r="U227" s="8">
        <f t="shared" si="40"/>
        <v>8904.9399999999987</v>
      </c>
      <c r="V227" s="9">
        <f t="shared" si="41"/>
        <v>-1411.8323999999975</v>
      </c>
      <c r="W227" s="6">
        <f t="shared" si="42"/>
        <v>-0.18841747314558746</v>
      </c>
      <c r="X227" t="str" cm="1">
        <f t="array" ref="X227">_xlfn.IFS(S227&lt;=25%, "Low", S227&lt;=75%, "Medium", S227&gt;75%, "High")</f>
        <v>Low</v>
      </c>
      <c r="Y227" s="8">
        <f>Table1[[#This Row],[Quantity]]*(Table1[[#This Row],[UnitPrice]]*(1-Table1[[#This Row],[DiscountPct]]))</f>
        <v>7493.1076000000003</v>
      </c>
      <c r="Z227" s="9">
        <f t="shared" si="43"/>
        <v>-1411.8323999999984</v>
      </c>
      <c r="AA227">
        <f>COUNTIF($G$2:G228,G227)</f>
        <v>19</v>
      </c>
      <c r="AB227" s="21">
        <f t="shared" si="44"/>
        <v>44988</v>
      </c>
      <c r="AC227" s="21">
        <f t="shared" si="45"/>
        <v>45016</v>
      </c>
      <c r="AD227" s="5">
        <f>(Table1[[#This Row],[OrderDate]]-Table1[[#This Row],[Date of first order]])/30</f>
        <v>10.133333333333333</v>
      </c>
      <c r="AE227" t="str">
        <f t="shared" si="46"/>
        <v>Good</v>
      </c>
      <c r="AF227">
        <f>COUNTIF(AE$2:AE228,AE227)</f>
        <v>67</v>
      </c>
      <c r="AG227" t="str">
        <f t="shared" si="47"/>
        <v>True</v>
      </c>
      <c r="AH227" s="7">
        <f>Table1[[#This Row],[UnitPrice]]*(1-Table1[[#This Row],[Disc Scenario]])*Table1[[#This Row],[Quantity]]</f>
        <v>7493.1076000000003</v>
      </c>
      <c r="AI227">
        <f>ROUNDDOWN((Table1[[#This Row],[Quantity]]*(1+20%)),0)</f>
        <v>26</v>
      </c>
      <c r="AJ227" s="7">
        <f>Table1[[#This Row],[Quantity increase by 20%]]*Table1[[#This Row],[UnitPrice]]</f>
        <v>11280.88</v>
      </c>
      <c r="AK227">
        <f>ROUNDDOWN(Table1[[#This Row],[Quantity]]*(1+20%),0)</f>
        <v>26</v>
      </c>
      <c r="AL227" s="7">
        <f>Table1[[#This Row],[UnitCost]]*(1+15%)</f>
        <v>465.48549999999994</v>
      </c>
      <c r="AM227" s="9">
        <f>Table1[[#This Row],[Quantity]]*Table1[[#This Row],[Cost of unit by inflation 15%]]</f>
        <v>10240.680999999999</v>
      </c>
      <c r="AN227" s="21" cm="1">
        <f t="array" ref="AN227">_xlfn.UNIQUE(AC227)</f>
        <v>45016</v>
      </c>
    </row>
    <row r="228" spans="1:40" x14ac:dyDescent="0.35">
      <c r="A228" t="s">
        <v>493</v>
      </c>
      <c r="B228" s="21">
        <v>45293</v>
      </c>
      <c r="C228" s="10">
        <v>45306</v>
      </c>
      <c r="D228" s="3">
        <f t="shared" si="36"/>
        <v>13</v>
      </c>
      <c r="E228" s="10" t="str">
        <f t="shared" si="37"/>
        <v>Q1-2024</v>
      </c>
      <c r="F228" t="s">
        <v>646</v>
      </c>
      <c r="G228" t="s">
        <v>651</v>
      </c>
      <c r="H228" t="s">
        <v>693</v>
      </c>
      <c r="I228" t="s">
        <v>704</v>
      </c>
      <c r="J228" t="s">
        <v>708</v>
      </c>
      <c r="K228" t="s">
        <v>714</v>
      </c>
      <c r="L228" t="s">
        <v>728</v>
      </c>
      <c r="M228" t="s">
        <v>1210</v>
      </c>
      <c r="N228" s="3">
        <v>1219.06</v>
      </c>
      <c r="O228" s="3">
        <v>2738.69</v>
      </c>
      <c r="P228" s="6">
        <v>7.5999999999999998E-2</v>
      </c>
      <c r="Q228" s="6">
        <f>IF(Table1[[#This Row],[DiscountPct]]&gt;25%,25%,Table1[[#This Row],[DiscountPct]])</f>
        <v>7.5999999999999998E-2</v>
      </c>
      <c r="R228" s="5">
        <v>16</v>
      </c>
      <c r="S228" s="6">
        <f t="shared" si="38"/>
        <v>1.2465588240119438</v>
      </c>
      <c r="T228" s="8">
        <f t="shared" si="39"/>
        <v>40488.792960000006</v>
      </c>
      <c r="U228" s="8">
        <f t="shared" si="40"/>
        <v>19504.96</v>
      </c>
      <c r="V228" s="9">
        <f t="shared" si="41"/>
        <v>20983.832960000007</v>
      </c>
      <c r="W228" s="6">
        <f t="shared" si="42"/>
        <v>0.51826274447673737</v>
      </c>
      <c r="X228" t="str" cm="1">
        <f t="array" ref="X228">_xlfn.IFS(S228&lt;=25%, "Low", S228&lt;=75%, "Medium", S228&gt;75%, "High")</f>
        <v>High</v>
      </c>
      <c r="Y228" s="8">
        <f>Table1[[#This Row],[Quantity]]*(Table1[[#This Row],[UnitPrice]]*(1-Table1[[#This Row],[DiscountPct]]))</f>
        <v>40488.792960000006</v>
      </c>
      <c r="Z228" s="9">
        <f t="shared" si="43"/>
        <v>20983.832960000007</v>
      </c>
      <c r="AA228">
        <f>COUNTIF($G$2:G229,G228)</f>
        <v>19</v>
      </c>
      <c r="AB228" s="21">
        <f t="shared" si="44"/>
        <v>44988</v>
      </c>
      <c r="AC228" s="21">
        <f t="shared" si="45"/>
        <v>45016</v>
      </c>
      <c r="AD228" s="5">
        <f>(Table1[[#This Row],[OrderDate]]-Table1[[#This Row],[Date of first order]])/30</f>
        <v>10.166666666666666</v>
      </c>
      <c r="AE228" t="str">
        <f t="shared" si="46"/>
        <v>Poor</v>
      </c>
      <c r="AF228">
        <f>COUNTIF(AE$2:AE229,AE228)</f>
        <v>160</v>
      </c>
      <c r="AG228" t="str">
        <f t="shared" si="47"/>
        <v>False</v>
      </c>
      <c r="AH228" s="7">
        <f>Table1[[#This Row],[UnitPrice]]*(1-Table1[[#This Row],[Disc Scenario]])*Table1[[#This Row],[Quantity]]</f>
        <v>40488.792960000006</v>
      </c>
      <c r="AI228">
        <f>ROUNDDOWN((Table1[[#This Row],[Quantity]]*(1+20%)),0)</f>
        <v>19</v>
      </c>
      <c r="AJ228" s="7">
        <f>Table1[[#This Row],[Quantity increase by 20%]]*Table1[[#This Row],[UnitPrice]]</f>
        <v>52035.11</v>
      </c>
      <c r="AK228">
        <f>ROUNDDOWN(Table1[[#This Row],[Quantity]]*(1+20%),0)</f>
        <v>19</v>
      </c>
      <c r="AL228" s="7">
        <f>Table1[[#This Row],[UnitCost]]*(1+15%)</f>
        <v>1401.9189999999999</v>
      </c>
      <c r="AM228" s="9">
        <f>Table1[[#This Row],[Quantity]]*Table1[[#This Row],[Cost of unit by inflation 15%]]</f>
        <v>22430.703999999998</v>
      </c>
      <c r="AN228" s="21" cm="1">
        <f t="array" ref="AN228">_xlfn.UNIQUE(AC228)</f>
        <v>45016</v>
      </c>
    </row>
    <row r="229" spans="1:40" x14ac:dyDescent="0.35">
      <c r="A229" t="s">
        <v>586</v>
      </c>
      <c r="B229" s="21">
        <v>45293</v>
      </c>
      <c r="C229" s="10">
        <v>45293</v>
      </c>
      <c r="D229" s="3">
        <f t="shared" si="36"/>
        <v>0</v>
      </c>
      <c r="E229" s="10" t="str">
        <f t="shared" si="37"/>
        <v>Q1-2024</v>
      </c>
      <c r="F229" t="s">
        <v>647</v>
      </c>
      <c r="G229" t="s">
        <v>652</v>
      </c>
      <c r="H229" t="s">
        <v>687</v>
      </c>
      <c r="I229" t="s">
        <v>701</v>
      </c>
      <c r="J229" t="s">
        <v>710</v>
      </c>
      <c r="K229" t="s">
        <v>719</v>
      </c>
      <c r="L229" t="s">
        <v>730</v>
      </c>
      <c r="M229" t="s">
        <v>1302</v>
      </c>
      <c r="N229" s="3">
        <v>444.41</v>
      </c>
      <c r="O229" s="3">
        <v>754.24</v>
      </c>
      <c r="P229" s="6">
        <v>0.20699999999999999</v>
      </c>
      <c r="Q229" s="6">
        <f>IF(Table1[[#This Row],[DiscountPct]]&gt;25%,25%,Table1[[#This Row],[DiscountPct]])</f>
        <v>0.20699999999999999</v>
      </c>
      <c r="R229" s="5">
        <v>32</v>
      </c>
      <c r="S229" s="6">
        <f t="shared" si="38"/>
        <v>0.69717153079363647</v>
      </c>
      <c r="T229" s="8">
        <f t="shared" si="39"/>
        <v>19139.594240000002</v>
      </c>
      <c r="U229" s="8">
        <f t="shared" si="40"/>
        <v>14221.12</v>
      </c>
      <c r="V229" s="9">
        <f t="shared" si="41"/>
        <v>4918.4742400000014</v>
      </c>
      <c r="W229" s="6">
        <f t="shared" si="42"/>
        <v>0.25697902360546598</v>
      </c>
      <c r="X229" t="str" cm="1">
        <f t="array" ref="X229">_xlfn.IFS(S229&lt;=25%, "Low", S229&lt;=75%, "Medium", S229&gt;75%, "High")</f>
        <v>Medium</v>
      </c>
      <c r="Y229" s="8">
        <f>Table1[[#This Row],[Quantity]]*(Table1[[#This Row],[UnitPrice]]*(1-Table1[[#This Row],[DiscountPct]]))</f>
        <v>19139.594240000002</v>
      </c>
      <c r="Z229" s="9">
        <f t="shared" si="43"/>
        <v>4918.4742400000014</v>
      </c>
      <c r="AA229">
        <f>COUNTIF($G$2:G230,G229)</f>
        <v>17</v>
      </c>
      <c r="AB229" s="21">
        <f t="shared" si="44"/>
        <v>44988</v>
      </c>
      <c r="AC229" s="21">
        <f t="shared" si="45"/>
        <v>45016</v>
      </c>
      <c r="AD229" s="5">
        <f>(Table1[[#This Row],[OrderDate]]-Table1[[#This Row],[Date of first order]])/30</f>
        <v>10.166666666666666</v>
      </c>
      <c r="AE229" t="str">
        <f t="shared" si="46"/>
        <v>Good</v>
      </c>
      <c r="AF229">
        <f>COUNTIF(AE$2:AE230,AE229)</f>
        <v>69</v>
      </c>
      <c r="AG229" t="str">
        <f t="shared" si="47"/>
        <v>True</v>
      </c>
      <c r="AH229" s="7">
        <f>Table1[[#This Row],[UnitPrice]]*(1-Table1[[#This Row],[Disc Scenario]])*Table1[[#This Row],[Quantity]]</f>
        <v>19139.594240000002</v>
      </c>
      <c r="AI229">
        <f>ROUNDDOWN((Table1[[#This Row],[Quantity]]*(1+20%)),0)</f>
        <v>38</v>
      </c>
      <c r="AJ229" s="7">
        <f>Table1[[#This Row],[Quantity increase by 20%]]*Table1[[#This Row],[UnitPrice]]</f>
        <v>28661.119999999999</v>
      </c>
      <c r="AK229">
        <f>ROUNDDOWN(Table1[[#This Row],[Quantity]]*(1+20%),0)</f>
        <v>38</v>
      </c>
      <c r="AL229" s="7">
        <f>Table1[[#This Row],[UnitCost]]*(1+15%)</f>
        <v>511.07150000000001</v>
      </c>
      <c r="AM229" s="9">
        <f>Table1[[#This Row],[Quantity]]*Table1[[#This Row],[Cost of unit by inflation 15%]]</f>
        <v>16354.288</v>
      </c>
      <c r="AN229" s="21" cm="1">
        <f t="array" ref="AN229">_xlfn.UNIQUE(AC229)</f>
        <v>45016</v>
      </c>
    </row>
    <row r="230" spans="1:40" x14ac:dyDescent="0.35">
      <c r="A230" t="s">
        <v>573</v>
      </c>
      <c r="B230" s="21">
        <v>45299</v>
      </c>
      <c r="C230" s="10">
        <v>45303</v>
      </c>
      <c r="D230" s="3">
        <f t="shared" si="36"/>
        <v>4</v>
      </c>
      <c r="E230" s="10" t="str">
        <f t="shared" si="37"/>
        <v>Q1-2024</v>
      </c>
      <c r="F230" t="s">
        <v>646</v>
      </c>
      <c r="G230" t="s">
        <v>653</v>
      </c>
      <c r="H230" t="s">
        <v>667</v>
      </c>
      <c r="I230" t="s">
        <v>700</v>
      </c>
      <c r="J230" t="s">
        <v>710</v>
      </c>
      <c r="K230" t="s">
        <v>717</v>
      </c>
      <c r="L230" t="s">
        <v>727</v>
      </c>
      <c r="M230" t="s">
        <v>1289</v>
      </c>
      <c r="N230" s="3">
        <v>802.32</v>
      </c>
      <c r="O230" s="3">
        <v>1299.7584000000002</v>
      </c>
      <c r="P230" s="6">
        <v>0.12</v>
      </c>
      <c r="Q230" s="6">
        <f>IF(Table1[[#This Row],[DiscountPct]]&gt;25%,25%,Table1[[#This Row],[DiscountPct]])</f>
        <v>0.12</v>
      </c>
      <c r="R230" s="5">
        <v>25</v>
      </c>
      <c r="S230" s="6">
        <f t="shared" si="38"/>
        <v>0.62000000000000011</v>
      </c>
      <c r="T230" s="8">
        <f t="shared" si="39"/>
        <v>28594.684800000003</v>
      </c>
      <c r="U230" s="8">
        <f t="shared" si="40"/>
        <v>20058</v>
      </c>
      <c r="V230" s="9">
        <f t="shared" si="41"/>
        <v>8536.6848000000027</v>
      </c>
      <c r="W230" s="6">
        <f t="shared" si="42"/>
        <v>0.29854096520763196</v>
      </c>
      <c r="X230" t="str" cm="1">
        <f t="array" ref="X230">_xlfn.IFS(S230&lt;=25%, "Low", S230&lt;=75%, "Medium", S230&gt;75%, "High")</f>
        <v>Medium</v>
      </c>
      <c r="Y230" s="8">
        <f>Table1[[#This Row],[Quantity]]*(Table1[[#This Row],[UnitPrice]]*(1-Table1[[#This Row],[DiscountPct]]))</f>
        <v>28594.684800000003</v>
      </c>
      <c r="Z230" s="9">
        <f t="shared" si="43"/>
        <v>8536.6848000000027</v>
      </c>
      <c r="AA230">
        <f>COUNTIF($G$2:G231,G230)</f>
        <v>24</v>
      </c>
      <c r="AB230" s="21">
        <f t="shared" si="44"/>
        <v>44988</v>
      </c>
      <c r="AC230" s="21">
        <f t="shared" si="45"/>
        <v>45016</v>
      </c>
      <c r="AD230" s="5">
        <f>(Table1[[#This Row],[OrderDate]]-Table1[[#This Row],[Date of first order]])/30</f>
        <v>10.366666666666667</v>
      </c>
      <c r="AE230" t="str">
        <f t="shared" si="46"/>
        <v>Good</v>
      </c>
      <c r="AF230">
        <f>COUNTIF(AE$2:AE231,AE230)</f>
        <v>69</v>
      </c>
      <c r="AG230" t="str">
        <f t="shared" si="47"/>
        <v>False</v>
      </c>
      <c r="AH230" s="7">
        <f>Table1[[#This Row],[UnitPrice]]*(1-Table1[[#This Row],[Disc Scenario]])*Table1[[#This Row],[Quantity]]</f>
        <v>28594.684800000003</v>
      </c>
      <c r="AI230">
        <f>ROUNDDOWN((Table1[[#This Row],[Quantity]]*(1+20%)),0)</f>
        <v>30</v>
      </c>
      <c r="AJ230" s="7">
        <f>Table1[[#This Row],[Quantity increase by 20%]]*Table1[[#This Row],[UnitPrice]]</f>
        <v>38992.752000000008</v>
      </c>
      <c r="AK230">
        <f>ROUNDDOWN(Table1[[#This Row],[Quantity]]*(1+20%),0)</f>
        <v>30</v>
      </c>
      <c r="AL230" s="7">
        <f>Table1[[#This Row],[UnitCost]]*(1+15%)</f>
        <v>922.66800000000001</v>
      </c>
      <c r="AM230" s="9">
        <f>Table1[[#This Row],[Quantity]]*Table1[[#This Row],[Cost of unit by inflation 15%]]</f>
        <v>23066.7</v>
      </c>
      <c r="AN230" s="21" cm="1">
        <f t="array" ref="AN230">_xlfn.UNIQUE(AC230)</f>
        <v>45016</v>
      </c>
    </row>
    <row r="231" spans="1:40" x14ac:dyDescent="0.35">
      <c r="A231" t="s">
        <v>282</v>
      </c>
      <c r="B231" s="21">
        <v>45301</v>
      </c>
      <c r="C231" s="10">
        <v>45314</v>
      </c>
      <c r="D231" s="3">
        <f t="shared" si="36"/>
        <v>13</v>
      </c>
      <c r="E231" s="10" t="str">
        <f t="shared" si="37"/>
        <v>Q1-2024</v>
      </c>
      <c r="F231" t="s">
        <v>648</v>
      </c>
      <c r="G231" t="s">
        <v>656</v>
      </c>
      <c r="H231" t="s">
        <v>672</v>
      </c>
      <c r="I231" t="s">
        <v>700</v>
      </c>
      <c r="J231" t="s">
        <v>710</v>
      </c>
      <c r="K231" t="s">
        <v>719</v>
      </c>
      <c r="L231" t="s">
        <v>727</v>
      </c>
      <c r="M231" t="s">
        <v>1000</v>
      </c>
      <c r="N231" s="3">
        <v>720</v>
      </c>
      <c r="O231" s="3">
        <v>907.59</v>
      </c>
      <c r="P231" s="6">
        <v>0.154</v>
      </c>
      <c r="Q231" s="6">
        <f>IF(Table1[[#This Row],[DiscountPct]]&gt;25%,25%,Table1[[#This Row],[DiscountPct]])</f>
        <v>0.154</v>
      </c>
      <c r="R231" s="5">
        <v>10</v>
      </c>
      <c r="S231" s="6">
        <f t="shared" si="38"/>
        <v>0.26054166666666673</v>
      </c>
      <c r="T231" s="8">
        <f t="shared" si="39"/>
        <v>7678.2113999999992</v>
      </c>
      <c r="U231" s="8">
        <f t="shared" si="40"/>
        <v>7200</v>
      </c>
      <c r="V231" s="9">
        <f t="shared" si="41"/>
        <v>478.21139999999923</v>
      </c>
      <c r="W231" s="6">
        <f t="shared" si="42"/>
        <v>6.2281614179052078E-2</v>
      </c>
      <c r="X231" t="str" cm="1">
        <f t="array" ref="X231">_xlfn.IFS(S231&lt;=25%, "Low", S231&lt;=75%, "Medium", S231&gt;75%, "High")</f>
        <v>Medium</v>
      </c>
      <c r="Y231" s="8">
        <f>Table1[[#This Row],[Quantity]]*(Table1[[#This Row],[UnitPrice]]*(1-Table1[[#This Row],[DiscountPct]]))</f>
        <v>7678.2114000000001</v>
      </c>
      <c r="Z231" s="9">
        <f t="shared" si="43"/>
        <v>478.21140000000014</v>
      </c>
      <c r="AA231">
        <f>COUNTIF($G$2:G232,G231)</f>
        <v>17</v>
      </c>
      <c r="AB231" s="21">
        <f t="shared" si="44"/>
        <v>44988</v>
      </c>
      <c r="AC231" s="21">
        <f t="shared" si="45"/>
        <v>45016</v>
      </c>
      <c r="AD231" s="5">
        <f>(Table1[[#This Row],[OrderDate]]-Table1[[#This Row],[Date of first order]])/30</f>
        <v>10.433333333333334</v>
      </c>
      <c r="AE231" t="str">
        <f t="shared" si="46"/>
        <v>Poor</v>
      </c>
      <c r="AF231">
        <f>COUNTIF(AE$2:AE232,AE231)</f>
        <v>162</v>
      </c>
      <c r="AG231" t="str">
        <f t="shared" si="47"/>
        <v>False</v>
      </c>
      <c r="AH231" s="7">
        <f>Table1[[#This Row],[UnitPrice]]*(1-Table1[[#This Row],[Disc Scenario]])*Table1[[#This Row],[Quantity]]</f>
        <v>7678.2114000000001</v>
      </c>
      <c r="AI231">
        <f>ROUNDDOWN((Table1[[#This Row],[Quantity]]*(1+20%)),0)</f>
        <v>12</v>
      </c>
      <c r="AJ231" s="7">
        <f>Table1[[#This Row],[Quantity increase by 20%]]*Table1[[#This Row],[UnitPrice]]</f>
        <v>10891.08</v>
      </c>
      <c r="AK231">
        <f>ROUNDDOWN(Table1[[#This Row],[Quantity]]*(1+20%),0)</f>
        <v>12</v>
      </c>
      <c r="AL231" s="7">
        <f>Table1[[#This Row],[UnitCost]]*(1+15%)</f>
        <v>827.99999999999989</v>
      </c>
      <c r="AM231" s="9">
        <f>Table1[[#This Row],[Quantity]]*Table1[[#This Row],[Cost of unit by inflation 15%]]</f>
        <v>8279.9999999999982</v>
      </c>
      <c r="AN231" s="21" cm="1">
        <f t="array" ref="AN231">_xlfn.UNIQUE(AC231)</f>
        <v>45016</v>
      </c>
    </row>
    <row r="232" spans="1:40" x14ac:dyDescent="0.35">
      <c r="A232" t="s">
        <v>248</v>
      </c>
      <c r="B232" s="21">
        <v>45302</v>
      </c>
      <c r="C232" s="10">
        <v>45324</v>
      </c>
      <c r="D232" s="3">
        <f t="shared" si="36"/>
        <v>22</v>
      </c>
      <c r="E232" s="10" t="str">
        <f t="shared" si="37"/>
        <v>Q1-2024</v>
      </c>
      <c r="F232" t="s">
        <v>646</v>
      </c>
      <c r="G232" t="s">
        <v>651</v>
      </c>
      <c r="H232" t="s">
        <v>693</v>
      </c>
      <c r="I232" t="s">
        <v>704</v>
      </c>
      <c r="J232" t="s">
        <v>707</v>
      </c>
      <c r="K232" t="s">
        <v>725</v>
      </c>
      <c r="L232" t="s">
        <v>727</v>
      </c>
      <c r="M232" t="s">
        <v>966</v>
      </c>
      <c r="N232" s="3">
        <v>1237.68</v>
      </c>
      <c r="O232" s="3">
        <v>1432.8</v>
      </c>
      <c r="P232" s="6">
        <v>6.8000000000000005E-2</v>
      </c>
      <c r="Q232" s="6">
        <f>IF(Table1[[#This Row],[DiscountPct]]&gt;25%,25%,Table1[[#This Row],[DiscountPct]])</f>
        <v>6.8000000000000005E-2</v>
      </c>
      <c r="R232" s="5">
        <v>13</v>
      </c>
      <c r="S232" s="6">
        <f t="shared" si="38"/>
        <v>0.1576497963932518</v>
      </c>
      <c r="T232" s="8">
        <f t="shared" si="39"/>
        <v>17359.804799999998</v>
      </c>
      <c r="U232" s="8">
        <f t="shared" si="40"/>
        <v>16089.84</v>
      </c>
      <c r="V232" s="9">
        <f t="shared" si="41"/>
        <v>1269.9647999999979</v>
      </c>
      <c r="W232" s="6">
        <f t="shared" si="42"/>
        <v>7.315547695559331E-2</v>
      </c>
      <c r="X232" t="str" cm="1">
        <f t="array" ref="X232">_xlfn.IFS(S232&lt;=25%, "Low", S232&lt;=75%, "Medium", S232&gt;75%, "High")</f>
        <v>Low</v>
      </c>
      <c r="Y232" s="8">
        <f>Table1[[#This Row],[Quantity]]*(Table1[[#This Row],[UnitPrice]]*(1-Table1[[#This Row],[DiscountPct]]))</f>
        <v>17359.804799999998</v>
      </c>
      <c r="Z232" s="9">
        <f t="shared" si="43"/>
        <v>1269.9647999999979</v>
      </c>
      <c r="AA232">
        <f>COUNTIF($G$2:G233,G232)</f>
        <v>20</v>
      </c>
      <c r="AB232" s="21">
        <f t="shared" si="44"/>
        <v>44988</v>
      </c>
      <c r="AC232" s="21">
        <f t="shared" si="45"/>
        <v>45016</v>
      </c>
      <c r="AD232" s="5">
        <f>(Table1[[#This Row],[OrderDate]]-Table1[[#This Row],[Date of first order]])/30</f>
        <v>10.466666666666667</v>
      </c>
      <c r="AE232" t="str">
        <f t="shared" si="46"/>
        <v>Poor</v>
      </c>
      <c r="AF232">
        <f>COUNTIF(AE$2:AE233,AE232)</f>
        <v>163</v>
      </c>
      <c r="AG232" t="str">
        <f t="shared" si="47"/>
        <v>False</v>
      </c>
      <c r="AH232" s="7">
        <f>Table1[[#This Row],[UnitPrice]]*(1-Table1[[#This Row],[Disc Scenario]])*Table1[[#This Row],[Quantity]]</f>
        <v>17359.804799999998</v>
      </c>
      <c r="AI232">
        <f>ROUNDDOWN((Table1[[#This Row],[Quantity]]*(1+20%)),0)</f>
        <v>15</v>
      </c>
      <c r="AJ232" s="7">
        <f>Table1[[#This Row],[Quantity increase by 20%]]*Table1[[#This Row],[UnitPrice]]</f>
        <v>21492</v>
      </c>
      <c r="AK232">
        <f>ROUNDDOWN(Table1[[#This Row],[Quantity]]*(1+20%),0)</f>
        <v>15</v>
      </c>
      <c r="AL232" s="7">
        <f>Table1[[#This Row],[UnitCost]]*(1+15%)</f>
        <v>1423.3319999999999</v>
      </c>
      <c r="AM232" s="9">
        <f>Table1[[#This Row],[Quantity]]*Table1[[#This Row],[Cost of unit by inflation 15%]]</f>
        <v>18503.315999999999</v>
      </c>
      <c r="AN232" s="21" cm="1">
        <f t="array" ref="AN232">_xlfn.UNIQUE(AC232)</f>
        <v>45016</v>
      </c>
    </row>
    <row r="233" spans="1:40" x14ac:dyDescent="0.35">
      <c r="A233" t="s">
        <v>56</v>
      </c>
      <c r="B233" s="21">
        <v>45302</v>
      </c>
      <c r="C233" s="10">
        <v>45324</v>
      </c>
      <c r="D233" s="3">
        <f t="shared" si="36"/>
        <v>22</v>
      </c>
      <c r="E233" s="10" t="str">
        <f t="shared" si="37"/>
        <v>Q1-2024</v>
      </c>
      <c r="F233" t="s">
        <v>645</v>
      </c>
      <c r="G233" t="s">
        <v>660</v>
      </c>
      <c r="H233" t="s">
        <v>686</v>
      </c>
      <c r="I233" t="s">
        <v>703</v>
      </c>
      <c r="J233" t="s">
        <v>707</v>
      </c>
      <c r="K233" t="s">
        <v>722</v>
      </c>
      <c r="L233" t="s">
        <v>728</v>
      </c>
      <c r="M233" t="s">
        <v>774</v>
      </c>
      <c r="N233" s="3">
        <v>1206.2</v>
      </c>
      <c r="O233" s="3">
        <v>1759.79</v>
      </c>
      <c r="P233" s="6">
        <v>0</v>
      </c>
      <c r="Q233" s="6">
        <f>IF(Table1[[#This Row],[DiscountPct]]&gt;25%,25%,Table1[[#This Row],[DiscountPct]])</f>
        <v>0</v>
      </c>
      <c r="R233" s="5">
        <v>6</v>
      </c>
      <c r="S233" s="6">
        <f t="shared" si="38"/>
        <v>0.45895373901508862</v>
      </c>
      <c r="T233" s="8">
        <f t="shared" si="39"/>
        <v>10558.74</v>
      </c>
      <c r="U233" s="8">
        <f t="shared" si="40"/>
        <v>7237.2000000000007</v>
      </c>
      <c r="V233" s="9">
        <f t="shared" si="41"/>
        <v>3321.5399999999991</v>
      </c>
      <c r="W233" s="6">
        <f t="shared" si="42"/>
        <v>0.31457730751964713</v>
      </c>
      <c r="X233" t="str" cm="1">
        <f t="array" ref="X233">_xlfn.IFS(S233&lt;=25%, "Low", S233&lt;=75%, "Medium", S233&gt;75%, "High")</f>
        <v>Medium</v>
      </c>
      <c r="Y233" s="8">
        <f>Table1[[#This Row],[Quantity]]*(Table1[[#This Row],[UnitPrice]]*(1-Table1[[#This Row],[DiscountPct]]))</f>
        <v>10558.74</v>
      </c>
      <c r="Z233" s="9">
        <f t="shared" si="43"/>
        <v>3321.5399999999991</v>
      </c>
      <c r="AA233">
        <f>COUNTIF($G$2:G234,G233)</f>
        <v>21</v>
      </c>
      <c r="AB233" s="21">
        <f t="shared" si="44"/>
        <v>44988</v>
      </c>
      <c r="AC233" s="21">
        <f t="shared" si="45"/>
        <v>45016</v>
      </c>
      <c r="AD233" s="5">
        <f>(Table1[[#This Row],[OrderDate]]-Table1[[#This Row],[Date of first order]])/30</f>
        <v>10.466666666666667</v>
      </c>
      <c r="AE233" t="str">
        <f t="shared" si="46"/>
        <v>Poor</v>
      </c>
      <c r="AF233">
        <f>COUNTIF(AE$2:AE234,AE233)</f>
        <v>164</v>
      </c>
      <c r="AG233" t="str">
        <f t="shared" si="47"/>
        <v>False</v>
      </c>
      <c r="AH233" s="7">
        <f>Table1[[#This Row],[UnitPrice]]*(1-Table1[[#This Row],[Disc Scenario]])*Table1[[#This Row],[Quantity]]</f>
        <v>10558.74</v>
      </c>
      <c r="AI233">
        <f>ROUNDDOWN((Table1[[#This Row],[Quantity]]*(1+20%)),0)</f>
        <v>7</v>
      </c>
      <c r="AJ233" s="7">
        <f>Table1[[#This Row],[Quantity increase by 20%]]*Table1[[#This Row],[UnitPrice]]</f>
        <v>12318.529999999999</v>
      </c>
      <c r="AK233">
        <f>ROUNDDOWN(Table1[[#This Row],[Quantity]]*(1+20%),0)</f>
        <v>7</v>
      </c>
      <c r="AL233" s="7">
        <f>Table1[[#This Row],[UnitCost]]*(1+15%)</f>
        <v>1387.1299999999999</v>
      </c>
      <c r="AM233" s="9">
        <f>Table1[[#This Row],[Quantity]]*Table1[[#This Row],[Cost of unit by inflation 15%]]</f>
        <v>8322.7799999999988</v>
      </c>
      <c r="AN233" s="21" cm="1">
        <f t="array" ref="AN233">_xlfn.UNIQUE(AC233)</f>
        <v>45016</v>
      </c>
    </row>
    <row r="234" spans="1:40" x14ac:dyDescent="0.35">
      <c r="A234" t="s">
        <v>214</v>
      </c>
      <c r="B234" s="21">
        <v>45303</v>
      </c>
      <c r="C234" s="10">
        <v>45320</v>
      </c>
      <c r="D234" s="3">
        <f t="shared" si="36"/>
        <v>17</v>
      </c>
      <c r="E234" s="10" t="str">
        <f t="shared" si="37"/>
        <v>Q1-2024</v>
      </c>
      <c r="F234" t="s">
        <v>647</v>
      </c>
      <c r="G234" t="s">
        <v>659</v>
      </c>
      <c r="H234" t="s">
        <v>676</v>
      </c>
      <c r="I234" t="s">
        <v>701</v>
      </c>
      <c r="J234" t="s">
        <v>709</v>
      </c>
      <c r="K234" t="s">
        <v>719</v>
      </c>
      <c r="L234" t="s">
        <v>727</v>
      </c>
      <c r="M234" t="s">
        <v>932</v>
      </c>
      <c r="N234" s="3">
        <v>493.76</v>
      </c>
      <c r="O234" s="3">
        <v>625.04</v>
      </c>
      <c r="P234" s="6">
        <v>0.25800000000000001</v>
      </c>
      <c r="Q234" s="6">
        <f>IF(Table1[[#This Row],[DiscountPct]]&gt;25%,25%,Table1[[#This Row],[DiscountPct]])</f>
        <v>0.25</v>
      </c>
      <c r="R234" s="5">
        <v>10</v>
      </c>
      <c r="S234" s="6">
        <f t="shared" si="38"/>
        <v>0.2658781594296824</v>
      </c>
      <c r="T234" s="8">
        <f t="shared" si="39"/>
        <v>4637.7968000000001</v>
      </c>
      <c r="U234" s="8">
        <f t="shared" si="40"/>
        <v>4937.6000000000004</v>
      </c>
      <c r="V234" s="9">
        <f t="shared" si="41"/>
        <v>-299.80320000000029</v>
      </c>
      <c r="W234" s="6">
        <f t="shared" si="42"/>
        <v>-6.464345311549663E-2</v>
      </c>
      <c r="X234" t="str" cm="1">
        <f t="array" ref="X234">_xlfn.IFS(S234&lt;=25%, "Low", S234&lt;=75%, "Medium", S234&gt;75%, "High")</f>
        <v>Medium</v>
      </c>
      <c r="Y234" s="8">
        <f>Table1[[#This Row],[Quantity]]*(Table1[[#This Row],[UnitPrice]]*(1-Table1[[#This Row],[DiscountPct]]))</f>
        <v>4637.7968000000001</v>
      </c>
      <c r="Z234" s="9">
        <f t="shared" si="43"/>
        <v>-299.80320000000029</v>
      </c>
      <c r="AA234">
        <f>COUNTIF($G$2:G235,G234)</f>
        <v>20</v>
      </c>
      <c r="AB234" s="21">
        <f t="shared" si="44"/>
        <v>44988</v>
      </c>
      <c r="AC234" s="21">
        <f t="shared" si="45"/>
        <v>45016</v>
      </c>
      <c r="AD234" s="5">
        <f>(Table1[[#This Row],[OrderDate]]-Table1[[#This Row],[Date of first order]])/30</f>
        <v>10.5</v>
      </c>
      <c r="AE234" t="str">
        <f t="shared" si="46"/>
        <v>Poor</v>
      </c>
      <c r="AF234">
        <f>COUNTIF(AE$2:AE235,AE234)</f>
        <v>165</v>
      </c>
      <c r="AG234" t="str">
        <f t="shared" si="47"/>
        <v>True</v>
      </c>
      <c r="AH234" s="7">
        <f>Table1[[#This Row],[UnitPrice]]*(1-Table1[[#This Row],[Disc Scenario]])*Table1[[#This Row],[Quantity]]</f>
        <v>4687.7999999999993</v>
      </c>
      <c r="AI234">
        <f>ROUNDDOWN((Table1[[#This Row],[Quantity]]*(1+20%)),0)</f>
        <v>12</v>
      </c>
      <c r="AJ234" s="7">
        <f>Table1[[#This Row],[Quantity increase by 20%]]*Table1[[#This Row],[UnitPrice]]</f>
        <v>7500.48</v>
      </c>
      <c r="AK234">
        <f>ROUNDDOWN(Table1[[#This Row],[Quantity]]*(1+20%),0)</f>
        <v>12</v>
      </c>
      <c r="AL234" s="7">
        <f>Table1[[#This Row],[UnitCost]]*(1+15%)</f>
        <v>567.82399999999996</v>
      </c>
      <c r="AM234" s="9">
        <f>Table1[[#This Row],[Quantity]]*Table1[[#This Row],[Cost of unit by inflation 15%]]</f>
        <v>5678.24</v>
      </c>
      <c r="AN234" s="21" cm="1">
        <f t="array" ref="AN234">_xlfn.UNIQUE(AC234)</f>
        <v>45016</v>
      </c>
    </row>
    <row r="235" spans="1:40" x14ac:dyDescent="0.35">
      <c r="A235" t="s">
        <v>339</v>
      </c>
      <c r="B235" s="21">
        <v>45303</v>
      </c>
      <c r="C235" s="10">
        <v>45320</v>
      </c>
      <c r="D235" s="3">
        <f t="shared" si="36"/>
        <v>17</v>
      </c>
      <c r="E235" s="10" t="str">
        <f t="shared" si="37"/>
        <v>Q1-2024</v>
      </c>
      <c r="F235" t="s">
        <v>646</v>
      </c>
      <c r="G235" t="s">
        <v>653</v>
      </c>
      <c r="H235" t="s">
        <v>695</v>
      </c>
      <c r="I235" t="s">
        <v>704</v>
      </c>
      <c r="J235" t="s">
        <v>710</v>
      </c>
      <c r="K235" t="s">
        <v>716</v>
      </c>
      <c r="L235" t="s">
        <v>726</v>
      </c>
      <c r="M235" t="s">
        <v>1057</v>
      </c>
      <c r="N235" s="3">
        <v>310.02</v>
      </c>
      <c r="O235" s="3">
        <v>619.51</v>
      </c>
      <c r="P235" s="6">
        <v>4.2000000000000003E-2</v>
      </c>
      <c r="Q235" s="6">
        <f>IF(Table1[[#This Row],[DiscountPct]]&gt;25%,25%,Table1[[#This Row],[DiscountPct]])</f>
        <v>4.2000000000000003E-2</v>
      </c>
      <c r="R235" s="5">
        <v>4</v>
      </c>
      <c r="S235" s="6">
        <f t="shared" si="38"/>
        <v>0.99829043287529851</v>
      </c>
      <c r="T235" s="8">
        <f t="shared" si="39"/>
        <v>2373.9623200000001</v>
      </c>
      <c r="U235" s="8">
        <f t="shared" si="40"/>
        <v>1240.08</v>
      </c>
      <c r="V235" s="9">
        <f t="shared" si="41"/>
        <v>1133.8823200000002</v>
      </c>
      <c r="W235" s="6">
        <f t="shared" si="42"/>
        <v>0.47763282106347843</v>
      </c>
      <c r="X235" t="str" cm="1">
        <f t="array" ref="X235">_xlfn.IFS(S235&lt;=25%, "Low", S235&lt;=75%, "Medium", S235&gt;75%, "High")</f>
        <v>High</v>
      </c>
      <c r="Y235" s="8">
        <f>Table1[[#This Row],[Quantity]]*(Table1[[#This Row],[UnitPrice]]*(1-Table1[[#This Row],[DiscountPct]]))</f>
        <v>2373.9623200000001</v>
      </c>
      <c r="Z235" s="9">
        <f t="shared" si="43"/>
        <v>1133.8823200000002</v>
      </c>
      <c r="AA235">
        <f>COUNTIF($G$2:G236,G235)</f>
        <v>25</v>
      </c>
      <c r="AB235" s="21">
        <f t="shared" si="44"/>
        <v>44988</v>
      </c>
      <c r="AC235" s="21">
        <f t="shared" si="45"/>
        <v>45016</v>
      </c>
      <c r="AD235" s="5">
        <f>(Table1[[#This Row],[OrderDate]]-Table1[[#This Row],[Date of first order]])/30</f>
        <v>10.5</v>
      </c>
      <c r="AE235" t="str">
        <f t="shared" si="46"/>
        <v>Poor</v>
      </c>
      <c r="AF235">
        <f>COUNTIF(AE$2:AE236,AE235)</f>
        <v>166</v>
      </c>
      <c r="AG235" t="str">
        <f t="shared" si="47"/>
        <v>False</v>
      </c>
      <c r="AH235" s="7">
        <f>Table1[[#This Row],[UnitPrice]]*(1-Table1[[#This Row],[Disc Scenario]])*Table1[[#This Row],[Quantity]]</f>
        <v>2373.9623200000001</v>
      </c>
      <c r="AI235">
        <f>ROUNDDOWN((Table1[[#This Row],[Quantity]]*(1+20%)),0)</f>
        <v>4</v>
      </c>
      <c r="AJ235" s="7">
        <f>Table1[[#This Row],[Quantity increase by 20%]]*Table1[[#This Row],[UnitPrice]]</f>
        <v>2478.04</v>
      </c>
      <c r="AK235">
        <f>ROUNDDOWN(Table1[[#This Row],[Quantity]]*(1+20%),0)</f>
        <v>4</v>
      </c>
      <c r="AL235" s="7">
        <f>Table1[[#This Row],[UnitCost]]*(1+15%)</f>
        <v>356.52299999999997</v>
      </c>
      <c r="AM235" s="9">
        <f>Table1[[#This Row],[Quantity]]*Table1[[#This Row],[Cost of unit by inflation 15%]]</f>
        <v>1426.0919999999999</v>
      </c>
      <c r="AN235" s="21" cm="1">
        <f t="array" ref="AN235">_xlfn.UNIQUE(AC235)</f>
        <v>45016</v>
      </c>
    </row>
    <row r="236" spans="1:40" x14ac:dyDescent="0.35">
      <c r="A236" t="s">
        <v>297</v>
      </c>
      <c r="B236" s="21">
        <v>45304</v>
      </c>
      <c r="C236" s="10">
        <v>45327</v>
      </c>
      <c r="D236" s="3">
        <f t="shared" si="36"/>
        <v>23</v>
      </c>
      <c r="E236" s="10" t="str">
        <f t="shared" si="37"/>
        <v>Q1-2024</v>
      </c>
      <c r="F236" t="s">
        <v>648</v>
      </c>
      <c r="G236" t="s">
        <v>655</v>
      </c>
      <c r="H236" t="s">
        <v>697</v>
      </c>
      <c r="I236" t="s">
        <v>701</v>
      </c>
      <c r="J236" t="s">
        <v>710</v>
      </c>
      <c r="K236" t="s">
        <v>716</v>
      </c>
      <c r="L236" t="s">
        <v>730</v>
      </c>
      <c r="M236" t="s">
        <v>1015</v>
      </c>
      <c r="N236" s="3">
        <v>1017.93</v>
      </c>
      <c r="O236" s="3">
        <v>1529.14</v>
      </c>
      <c r="P236" s="6">
        <v>0.155</v>
      </c>
      <c r="Q236" s="6">
        <f>IF(Table1[[#This Row],[DiscountPct]]&gt;25%,25%,Table1[[#This Row],[DiscountPct]])</f>
        <v>0.155</v>
      </c>
      <c r="R236" s="5">
        <v>12</v>
      </c>
      <c r="S236" s="6">
        <f t="shared" si="38"/>
        <v>0.50220545617085677</v>
      </c>
      <c r="T236" s="8">
        <f t="shared" si="39"/>
        <v>15505.479600000001</v>
      </c>
      <c r="U236" s="8">
        <f t="shared" si="40"/>
        <v>12215.16</v>
      </c>
      <c r="V236" s="9">
        <f t="shared" si="41"/>
        <v>3290.3196000000007</v>
      </c>
      <c r="W236" s="6">
        <f t="shared" si="42"/>
        <v>0.21220366508366503</v>
      </c>
      <c r="X236" t="str" cm="1">
        <f t="array" ref="X236">_xlfn.IFS(S236&lt;=25%, "Low", S236&lt;=75%, "Medium", S236&gt;75%, "High")</f>
        <v>Medium</v>
      </c>
      <c r="Y236" s="8">
        <f>Table1[[#This Row],[Quantity]]*(Table1[[#This Row],[UnitPrice]]*(1-Table1[[#This Row],[DiscountPct]]))</f>
        <v>15505.479599999999</v>
      </c>
      <c r="Z236" s="9">
        <f t="shared" si="43"/>
        <v>3290.3195999999989</v>
      </c>
      <c r="AA236">
        <f>COUNTIF($G$2:G237,G236)</f>
        <v>19</v>
      </c>
      <c r="AB236" s="21">
        <f t="shared" si="44"/>
        <v>44988</v>
      </c>
      <c r="AC236" s="21">
        <f t="shared" si="45"/>
        <v>45016</v>
      </c>
      <c r="AD236" s="5">
        <f>(Table1[[#This Row],[OrderDate]]-Table1[[#This Row],[Date of first order]])/30</f>
        <v>10.533333333333333</v>
      </c>
      <c r="AE236" t="str">
        <f t="shared" si="46"/>
        <v>Poor</v>
      </c>
      <c r="AF236">
        <f>COUNTIF(AE$2:AE237,AE236)</f>
        <v>166</v>
      </c>
      <c r="AG236" t="str">
        <f t="shared" si="47"/>
        <v>False</v>
      </c>
      <c r="AH236" s="7">
        <f>Table1[[#This Row],[UnitPrice]]*(1-Table1[[#This Row],[Disc Scenario]])*Table1[[#This Row],[Quantity]]</f>
        <v>15505.479599999999</v>
      </c>
      <c r="AI236">
        <f>ROUNDDOWN((Table1[[#This Row],[Quantity]]*(1+20%)),0)</f>
        <v>14</v>
      </c>
      <c r="AJ236" s="7">
        <f>Table1[[#This Row],[Quantity increase by 20%]]*Table1[[#This Row],[UnitPrice]]</f>
        <v>21407.960000000003</v>
      </c>
      <c r="AK236">
        <f>ROUNDDOWN(Table1[[#This Row],[Quantity]]*(1+20%),0)</f>
        <v>14</v>
      </c>
      <c r="AL236" s="7">
        <f>Table1[[#This Row],[UnitCost]]*(1+15%)</f>
        <v>1170.6194999999998</v>
      </c>
      <c r="AM236" s="9">
        <f>Table1[[#This Row],[Quantity]]*Table1[[#This Row],[Cost of unit by inflation 15%]]</f>
        <v>14047.433999999997</v>
      </c>
      <c r="AN236" s="21" cm="1">
        <f t="array" ref="AN236">_xlfn.UNIQUE(AC236)</f>
        <v>45016</v>
      </c>
    </row>
    <row r="237" spans="1:40" x14ac:dyDescent="0.35">
      <c r="A237" t="s">
        <v>537</v>
      </c>
      <c r="B237" s="21">
        <v>45304</v>
      </c>
      <c r="C237" s="10">
        <v>45306</v>
      </c>
      <c r="D237" s="3">
        <f t="shared" si="36"/>
        <v>2</v>
      </c>
      <c r="E237" s="10" t="str">
        <f t="shared" si="37"/>
        <v>Q1-2024</v>
      </c>
      <c r="F237" t="s">
        <v>647</v>
      </c>
      <c r="G237" t="s">
        <v>659</v>
      </c>
      <c r="H237" t="s">
        <v>685</v>
      </c>
      <c r="I237" t="s">
        <v>702</v>
      </c>
      <c r="J237" t="s">
        <v>710</v>
      </c>
      <c r="K237" t="s">
        <v>717</v>
      </c>
      <c r="L237" t="s">
        <v>726</v>
      </c>
      <c r="M237" t="s">
        <v>1254</v>
      </c>
      <c r="N237" s="3">
        <v>1061.3699999999999</v>
      </c>
      <c r="O237" s="3">
        <v>1938.33</v>
      </c>
      <c r="P237" s="6">
        <v>0.17</v>
      </c>
      <c r="Q237" s="6">
        <f>IF(Table1[[#This Row],[DiscountPct]]&gt;25%,25%,Table1[[#This Row],[DiscountPct]])</f>
        <v>0.17</v>
      </c>
      <c r="R237" s="5">
        <v>4</v>
      </c>
      <c r="S237" s="6">
        <f t="shared" si="38"/>
        <v>0.82625286186720948</v>
      </c>
      <c r="T237" s="8">
        <f t="shared" si="39"/>
        <v>6435.2555999999995</v>
      </c>
      <c r="U237" s="8">
        <f t="shared" si="40"/>
        <v>4245.4799999999996</v>
      </c>
      <c r="V237" s="9">
        <f t="shared" si="41"/>
        <v>2189.7755999999999</v>
      </c>
      <c r="W237" s="6">
        <f t="shared" si="42"/>
        <v>0.34027795259600879</v>
      </c>
      <c r="X237" t="str" cm="1">
        <f t="array" ref="X237">_xlfn.IFS(S237&lt;=25%, "Low", S237&lt;=75%, "Medium", S237&gt;75%, "High")</f>
        <v>High</v>
      </c>
      <c r="Y237" s="8">
        <f>Table1[[#This Row],[Quantity]]*(Table1[[#This Row],[UnitPrice]]*(1-Table1[[#This Row],[DiscountPct]]))</f>
        <v>6435.2555999999995</v>
      </c>
      <c r="Z237" s="9">
        <f t="shared" si="43"/>
        <v>2189.7755999999999</v>
      </c>
      <c r="AA237">
        <f>COUNTIF($G$2:G238,G237)</f>
        <v>21</v>
      </c>
      <c r="AB237" s="21">
        <f t="shared" si="44"/>
        <v>44988</v>
      </c>
      <c r="AC237" s="21">
        <f t="shared" si="45"/>
        <v>45016</v>
      </c>
      <c r="AD237" s="5">
        <f>(Table1[[#This Row],[OrderDate]]-Table1[[#This Row],[Date of first order]])/30</f>
        <v>10.533333333333333</v>
      </c>
      <c r="AE237" t="str">
        <f t="shared" si="46"/>
        <v>Good</v>
      </c>
      <c r="AF237">
        <f>COUNTIF(AE$2:AE238,AE237)</f>
        <v>70</v>
      </c>
      <c r="AG237" t="str">
        <f t="shared" si="47"/>
        <v>False</v>
      </c>
      <c r="AH237" s="7">
        <f>Table1[[#This Row],[UnitPrice]]*(1-Table1[[#This Row],[Disc Scenario]])*Table1[[#This Row],[Quantity]]</f>
        <v>6435.2555999999995</v>
      </c>
      <c r="AI237">
        <f>ROUNDDOWN((Table1[[#This Row],[Quantity]]*(1+20%)),0)</f>
        <v>4</v>
      </c>
      <c r="AJ237" s="7">
        <f>Table1[[#This Row],[Quantity increase by 20%]]*Table1[[#This Row],[UnitPrice]]</f>
        <v>7753.32</v>
      </c>
      <c r="AK237">
        <f>ROUNDDOWN(Table1[[#This Row],[Quantity]]*(1+20%),0)</f>
        <v>4</v>
      </c>
      <c r="AL237" s="7">
        <f>Table1[[#This Row],[UnitCost]]*(1+15%)</f>
        <v>1220.5754999999997</v>
      </c>
      <c r="AM237" s="9">
        <f>Table1[[#This Row],[Quantity]]*Table1[[#This Row],[Cost of unit by inflation 15%]]</f>
        <v>4882.3019999999988</v>
      </c>
      <c r="AN237" s="21" cm="1">
        <f t="array" ref="AN237">_xlfn.UNIQUE(AC237)</f>
        <v>45016</v>
      </c>
    </row>
    <row r="238" spans="1:40" x14ac:dyDescent="0.35">
      <c r="A238" t="s">
        <v>116</v>
      </c>
      <c r="B238" s="21">
        <v>45304</v>
      </c>
      <c r="C238" s="10">
        <v>45313</v>
      </c>
      <c r="D238" s="3">
        <f t="shared" si="36"/>
        <v>9</v>
      </c>
      <c r="E238" s="10" t="str">
        <f t="shared" si="37"/>
        <v>Q1-2024</v>
      </c>
      <c r="F238" t="s">
        <v>646</v>
      </c>
      <c r="G238" t="s">
        <v>653</v>
      </c>
      <c r="H238" t="s">
        <v>690</v>
      </c>
      <c r="I238" t="s">
        <v>705</v>
      </c>
      <c r="J238" t="s">
        <v>708</v>
      </c>
      <c r="K238" t="s">
        <v>712</v>
      </c>
      <c r="L238" t="s">
        <v>726</v>
      </c>
      <c r="M238" t="s">
        <v>834</v>
      </c>
      <c r="N238" s="3">
        <v>313.60000000000002</v>
      </c>
      <c r="O238" s="3">
        <v>334.28</v>
      </c>
      <c r="P238" s="6">
        <v>0.14000000000000001</v>
      </c>
      <c r="Q238" s="6">
        <f>IF(Table1[[#This Row],[DiscountPct]]&gt;25%,25%,Table1[[#This Row],[DiscountPct]])</f>
        <v>0.14000000000000001</v>
      </c>
      <c r="R238" s="5">
        <v>22</v>
      </c>
      <c r="S238" s="6">
        <f t="shared" si="38"/>
        <v>6.5943877551020241E-2</v>
      </c>
      <c r="T238" s="8">
        <f t="shared" si="39"/>
        <v>6324.5775999999996</v>
      </c>
      <c r="U238" s="8">
        <f t="shared" si="40"/>
        <v>6899.2000000000007</v>
      </c>
      <c r="V238" s="9">
        <f t="shared" si="41"/>
        <v>-574.62240000000111</v>
      </c>
      <c r="W238" s="6">
        <f t="shared" si="42"/>
        <v>-9.0855458868905517E-2</v>
      </c>
      <c r="X238" t="str" cm="1">
        <f t="array" ref="X238">_xlfn.IFS(S238&lt;=25%, "Low", S238&lt;=75%, "Medium", S238&gt;75%, "High")</f>
        <v>Low</v>
      </c>
      <c r="Y238" s="8">
        <f>Table1[[#This Row],[Quantity]]*(Table1[[#This Row],[UnitPrice]]*(1-Table1[[#This Row],[DiscountPct]]))</f>
        <v>6324.5775999999996</v>
      </c>
      <c r="Z238" s="9">
        <f t="shared" si="43"/>
        <v>-574.62240000000111</v>
      </c>
      <c r="AA238">
        <f>COUNTIF($G$2:G239,G238)</f>
        <v>26</v>
      </c>
      <c r="AB238" s="21">
        <f t="shared" si="44"/>
        <v>44988</v>
      </c>
      <c r="AC238" s="21">
        <f t="shared" si="45"/>
        <v>45016</v>
      </c>
      <c r="AD238" s="5">
        <f>(Table1[[#This Row],[OrderDate]]-Table1[[#This Row],[Date of first order]])/30</f>
        <v>10.533333333333333</v>
      </c>
      <c r="AE238" t="str">
        <f t="shared" si="46"/>
        <v>Poor</v>
      </c>
      <c r="AF238">
        <f>COUNTIF(AE$2:AE239,AE238)</f>
        <v>168</v>
      </c>
      <c r="AG238" t="str">
        <f t="shared" si="47"/>
        <v>False</v>
      </c>
      <c r="AH238" s="7">
        <f>Table1[[#This Row],[UnitPrice]]*(1-Table1[[#This Row],[Disc Scenario]])*Table1[[#This Row],[Quantity]]</f>
        <v>6324.5775999999996</v>
      </c>
      <c r="AI238">
        <f>ROUNDDOWN((Table1[[#This Row],[Quantity]]*(1+20%)),0)</f>
        <v>26</v>
      </c>
      <c r="AJ238" s="7">
        <f>Table1[[#This Row],[Quantity increase by 20%]]*Table1[[#This Row],[UnitPrice]]</f>
        <v>8691.2799999999988</v>
      </c>
      <c r="AK238">
        <f>ROUNDDOWN(Table1[[#This Row],[Quantity]]*(1+20%),0)</f>
        <v>26</v>
      </c>
      <c r="AL238" s="7">
        <f>Table1[[#This Row],[UnitCost]]*(1+15%)</f>
        <v>360.64</v>
      </c>
      <c r="AM238" s="9">
        <f>Table1[[#This Row],[Quantity]]*Table1[[#This Row],[Cost of unit by inflation 15%]]</f>
        <v>7934.08</v>
      </c>
      <c r="AN238" s="21" cm="1">
        <f t="array" ref="AN238">_xlfn.UNIQUE(AC238)</f>
        <v>45016</v>
      </c>
    </row>
    <row r="239" spans="1:40" x14ac:dyDescent="0.35">
      <c r="A239" t="s">
        <v>432</v>
      </c>
      <c r="B239" s="21">
        <v>45307</v>
      </c>
      <c r="C239" s="10">
        <v>45333</v>
      </c>
      <c r="D239" s="3">
        <f t="shared" si="36"/>
        <v>26</v>
      </c>
      <c r="E239" s="10" t="str">
        <f t="shared" si="37"/>
        <v>Q1-2024</v>
      </c>
      <c r="F239" t="s">
        <v>648</v>
      </c>
      <c r="G239" t="s">
        <v>655</v>
      </c>
      <c r="H239" t="s">
        <v>697</v>
      </c>
      <c r="I239" t="s">
        <v>702</v>
      </c>
      <c r="J239" t="s">
        <v>709</v>
      </c>
      <c r="K239" t="s">
        <v>717</v>
      </c>
      <c r="L239" t="s">
        <v>731</v>
      </c>
      <c r="M239" t="s">
        <v>1149</v>
      </c>
      <c r="N239" s="3">
        <v>504.93</v>
      </c>
      <c r="O239" s="3">
        <v>819.06</v>
      </c>
      <c r="P239" s="6">
        <v>0.22600000000000001</v>
      </c>
      <c r="Q239" s="6">
        <f>IF(Table1[[#This Row],[DiscountPct]]&gt;25%,25%,Table1[[#This Row],[DiscountPct]])</f>
        <v>0.22600000000000001</v>
      </c>
      <c r="R239" s="5">
        <v>15</v>
      </c>
      <c r="S239" s="6">
        <f t="shared" si="38"/>
        <v>0.62212583922523901</v>
      </c>
      <c r="T239" s="8">
        <f t="shared" si="39"/>
        <v>9509.2865999999995</v>
      </c>
      <c r="U239" s="8">
        <f t="shared" si="40"/>
        <v>7573.95</v>
      </c>
      <c r="V239" s="9">
        <f t="shared" si="41"/>
        <v>1935.3365999999996</v>
      </c>
      <c r="W239" s="6">
        <f t="shared" si="42"/>
        <v>0.20352069312959814</v>
      </c>
      <c r="X239" t="str" cm="1">
        <f t="array" ref="X239">_xlfn.IFS(S239&lt;=25%, "Low", S239&lt;=75%, "Medium", S239&gt;75%, "High")</f>
        <v>Medium</v>
      </c>
      <c r="Y239" s="8">
        <f>Table1[[#This Row],[Quantity]]*(Table1[[#This Row],[UnitPrice]]*(1-Table1[[#This Row],[DiscountPct]]))</f>
        <v>9509.2865999999995</v>
      </c>
      <c r="Z239" s="9">
        <f t="shared" si="43"/>
        <v>1935.3365999999996</v>
      </c>
      <c r="AA239">
        <f>COUNTIF($G$2:G240,G239)</f>
        <v>20</v>
      </c>
      <c r="AB239" s="21">
        <f t="shared" si="44"/>
        <v>44988</v>
      </c>
      <c r="AC239" s="21">
        <f t="shared" si="45"/>
        <v>45016</v>
      </c>
      <c r="AD239" s="5">
        <f>(Table1[[#This Row],[OrderDate]]-Table1[[#This Row],[Date of first order]])/30</f>
        <v>10.633333333333333</v>
      </c>
      <c r="AE239" t="str">
        <f t="shared" si="46"/>
        <v>Poor</v>
      </c>
      <c r="AF239">
        <f>COUNTIF(AE$2:AE240,AE239)</f>
        <v>169</v>
      </c>
      <c r="AG239" t="str">
        <f t="shared" si="47"/>
        <v>True</v>
      </c>
      <c r="AH239" s="7">
        <f>Table1[[#This Row],[UnitPrice]]*(1-Table1[[#This Row],[Disc Scenario]])*Table1[[#This Row],[Quantity]]</f>
        <v>9509.2865999999995</v>
      </c>
      <c r="AI239">
        <f>ROUNDDOWN((Table1[[#This Row],[Quantity]]*(1+20%)),0)</f>
        <v>18</v>
      </c>
      <c r="AJ239" s="7">
        <f>Table1[[#This Row],[Quantity increase by 20%]]*Table1[[#This Row],[UnitPrice]]</f>
        <v>14743.079999999998</v>
      </c>
      <c r="AK239">
        <f>ROUNDDOWN(Table1[[#This Row],[Quantity]]*(1+20%),0)</f>
        <v>18</v>
      </c>
      <c r="AL239" s="7">
        <f>Table1[[#This Row],[UnitCost]]*(1+15%)</f>
        <v>580.66949999999997</v>
      </c>
      <c r="AM239" s="9">
        <f>Table1[[#This Row],[Quantity]]*Table1[[#This Row],[Cost of unit by inflation 15%]]</f>
        <v>8710.0424999999996</v>
      </c>
      <c r="AN239" s="21" cm="1">
        <f t="array" ref="AN239">_xlfn.UNIQUE(AC239)</f>
        <v>45016</v>
      </c>
    </row>
    <row r="240" spans="1:40" x14ac:dyDescent="0.35">
      <c r="A240" t="s">
        <v>372</v>
      </c>
      <c r="B240" s="21">
        <v>45309</v>
      </c>
      <c r="C240" s="10">
        <v>45325</v>
      </c>
      <c r="D240" s="3">
        <f t="shared" si="36"/>
        <v>16</v>
      </c>
      <c r="E240" s="10" t="str">
        <f t="shared" si="37"/>
        <v>Q1-2024</v>
      </c>
      <c r="F240" t="s">
        <v>645</v>
      </c>
      <c r="G240" t="s">
        <v>660</v>
      </c>
      <c r="H240" t="s">
        <v>694</v>
      </c>
      <c r="I240" t="s">
        <v>702</v>
      </c>
      <c r="J240" t="s">
        <v>709</v>
      </c>
      <c r="K240" t="s">
        <v>715</v>
      </c>
      <c r="L240" t="s">
        <v>727</v>
      </c>
      <c r="M240" t="s">
        <v>1090</v>
      </c>
      <c r="N240" s="3">
        <v>666.23</v>
      </c>
      <c r="O240" s="3">
        <v>1382.91</v>
      </c>
      <c r="P240" s="6">
        <v>0.17599999999999999</v>
      </c>
      <c r="Q240" s="6">
        <f>IF(Table1[[#This Row],[DiscountPct]]&gt;25%,25%,Table1[[#This Row],[DiscountPct]])</f>
        <v>0.17599999999999999</v>
      </c>
      <c r="R240" s="5">
        <v>13</v>
      </c>
      <c r="S240" s="6">
        <f t="shared" si="38"/>
        <v>1.0757245996127465</v>
      </c>
      <c r="T240" s="8">
        <f t="shared" si="39"/>
        <v>14813.731920000002</v>
      </c>
      <c r="U240" s="8">
        <f t="shared" si="40"/>
        <v>8660.99</v>
      </c>
      <c r="V240" s="9">
        <f t="shared" si="41"/>
        <v>6152.7419200000022</v>
      </c>
      <c r="W240" s="6">
        <f t="shared" si="42"/>
        <v>0.41534043907553048</v>
      </c>
      <c r="X240" t="str" cm="1">
        <f t="array" ref="X240">_xlfn.IFS(S240&lt;=25%, "Low", S240&lt;=75%, "Medium", S240&gt;75%, "High")</f>
        <v>High</v>
      </c>
      <c r="Y240" s="8">
        <f>Table1[[#This Row],[Quantity]]*(Table1[[#This Row],[UnitPrice]]*(1-Table1[[#This Row],[DiscountPct]]))</f>
        <v>14813.731920000002</v>
      </c>
      <c r="Z240" s="9">
        <f t="shared" si="43"/>
        <v>6152.7419200000022</v>
      </c>
      <c r="AA240">
        <f>COUNTIF($G$2:G241,G240)</f>
        <v>22</v>
      </c>
      <c r="AB240" s="21">
        <f t="shared" si="44"/>
        <v>44988</v>
      </c>
      <c r="AC240" s="21">
        <f t="shared" si="45"/>
        <v>45016</v>
      </c>
      <c r="AD240" s="5">
        <f>(Table1[[#This Row],[OrderDate]]-Table1[[#This Row],[Date of first order]])/30</f>
        <v>10.7</v>
      </c>
      <c r="AE240" t="str">
        <f t="shared" si="46"/>
        <v>Poor</v>
      </c>
      <c r="AF240">
        <f>COUNTIF(AE$2:AE241,AE240)</f>
        <v>170</v>
      </c>
      <c r="AG240" t="str">
        <f t="shared" si="47"/>
        <v>False</v>
      </c>
      <c r="AH240" s="7">
        <f>Table1[[#This Row],[UnitPrice]]*(1-Table1[[#This Row],[Disc Scenario]])*Table1[[#This Row],[Quantity]]</f>
        <v>14813.731920000002</v>
      </c>
      <c r="AI240">
        <f>ROUNDDOWN((Table1[[#This Row],[Quantity]]*(1+20%)),0)</f>
        <v>15</v>
      </c>
      <c r="AJ240" s="7">
        <f>Table1[[#This Row],[Quantity increase by 20%]]*Table1[[#This Row],[UnitPrice]]</f>
        <v>20743.650000000001</v>
      </c>
      <c r="AK240">
        <f>ROUNDDOWN(Table1[[#This Row],[Quantity]]*(1+20%),0)</f>
        <v>15</v>
      </c>
      <c r="AL240" s="7">
        <f>Table1[[#This Row],[UnitCost]]*(1+15%)</f>
        <v>766.16449999999998</v>
      </c>
      <c r="AM240" s="9">
        <f>Table1[[#This Row],[Quantity]]*Table1[[#This Row],[Cost of unit by inflation 15%]]</f>
        <v>9960.1384999999991</v>
      </c>
      <c r="AN240" s="21" cm="1">
        <f t="array" ref="AN240">_xlfn.UNIQUE(AC240)</f>
        <v>45016</v>
      </c>
    </row>
    <row r="241" spans="1:40" x14ac:dyDescent="0.35">
      <c r="A241" t="s">
        <v>28</v>
      </c>
      <c r="B241" s="21">
        <v>45311</v>
      </c>
      <c r="C241" s="10">
        <v>45335</v>
      </c>
      <c r="D241" s="3">
        <f t="shared" si="36"/>
        <v>24</v>
      </c>
      <c r="E241" s="10" t="str">
        <f t="shared" si="37"/>
        <v>Q1-2024</v>
      </c>
      <c r="F241" t="s">
        <v>648</v>
      </c>
      <c r="G241" t="s">
        <v>656</v>
      </c>
      <c r="H241" t="s">
        <v>672</v>
      </c>
      <c r="I241" t="s">
        <v>700</v>
      </c>
      <c r="J241" t="s">
        <v>706</v>
      </c>
      <c r="K241" t="s">
        <v>721</v>
      </c>
      <c r="L241" t="s">
        <v>727</v>
      </c>
      <c r="M241" t="s">
        <v>746</v>
      </c>
      <c r="N241" s="3">
        <v>643.53</v>
      </c>
      <c r="O241" s="3">
        <v>1439.01</v>
      </c>
      <c r="P241" s="6">
        <v>0</v>
      </c>
      <c r="Q241" s="6">
        <f>IF(Table1[[#This Row],[DiscountPct]]&gt;25%,25%,Table1[[#This Row],[DiscountPct]])</f>
        <v>0</v>
      </c>
      <c r="R241" s="5">
        <v>15</v>
      </c>
      <c r="S241" s="6">
        <f t="shared" si="38"/>
        <v>1.2361195282271225</v>
      </c>
      <c r="T241" s="8">
        <f t="shared" si="39"/>
        <v>21585.15</v>
      </c>
      <c r="U241" s="8">
        <f t="shared" si="40"/>
        <v>9652.9499999999989</v>
      </c>
      <c r="V241" s="9">
        <f t="shared" si="41"/>
        <v>11932.200000000003</v>
      </c>
      <c r="W241" s="6">
        <f t="shared" si="42"/>
        <v>0.55279671440782208</v>
      </c>
      <c r="X241" t="str" cm="1">
        <f t="array" ref="X241">_xlfn.IFS(S241&lt;=25%, "Low", S241&lt;=75%, "Medium", S241&gt;75%, "High")</f>
        <v>High</v>
      </c>
      <c r="Y241" s="8">
        <f>Table1[[#This Row],[Quantity]]*(Table1[[#This Row],[UnitPrice]]*(1-Table1[[#This Row],[DiscountPct]]))</f>
        <v>21585.15</v>
      </c>
      <c r="Z241" s="9">
        <f t="shared" si="43"/>
        <v>11932.200000000003</v>
      </c>
      <c r="AA241">
        <f>COUNTIF($G$2:G242,G241)</f>
        <v>18</v>
      </c>
      <c r="AB241" s="21">
        <f t="shared" si="44"/>
        <v>44988</v>
      </c>
      <c r="AC241" s="21">
        <f t="shared" si="45"/>
        <v>45016</v>
      </c>
      <c r="AD241" s="5">
        <f>(Table1[[#This Row],[OrderDate]]-Table1[[#This Row],[Date of first order]])/30</f>
        <v>10.766666666666667</v>
      </c>
      <c r="AE241" t="str">
        <f t="shared" si="46"/>
        <v>Poor</v>
      </c>
      <c r="AF241">
        <f>COUNTIF(AE$2:AE242,AE241)</f>
        <v>170</v>
      </c>
      <c r="AG241" t="str">
        <f t="shared" si="47"/>
        <v>False</v>
      </c>
      <c r="AH241" s="7">
        <f>Table1[[#This Row],[UnitPrice]]*(1-Table1[[#This Row],[Disc Scenario]])*Table1[[#This Row],[Quantity]]</f>
        <v>21585.15</v>
      </c>
      <c r="AI241">
        <f>ROUNDDOWN((Table1[[#This Row],[Quantity]]*(1+20%)),0)</f>
        <v>18</v>
      </c>
      <c r="AJ241" s="7">
        <f>Table1[[#This Row],[Quantity increase by 20%]]*Table1[[#This Row],[UnitPrice]]</f>
        <v>25902.18</v>
      </c>
      <c r="AK241">
        <f>ROUNDDOWN(Table1[[#This Row],[Quantity]]*(1+20%),0)</f>
        <v>18</v>
      </c>
      <c r="AL241" s="7">
        <f>Table1[[#This Row],[UnitCost]]*(1+15%)</f>
        <v>740.05949999999996</v>
      </c>
      <c r="AM241" s="9">
        <f>Table1[[#This Row],[Quantity]]*Table1[[#This Row],[Cost of unit by inflation 15%]]</f>
        <v>11100.8925</v>
      </c>
      <c r="AN241" s="21" cm="1">
        <f t="array" ref="AN241">_xlfn.UNIQUE(AC241)</f>
        <v>45016</v>
      </c>
    </row>
    <row r="242" spans="1:40" x14ac:dyDescent="0.35">
      <c r="A242" t="s">
        <v>103</v>
      </c>
      <c r="B242" s="21">
        <v>45312</v>
      </c>
      <c r="C242" s="10">
        <v>45316</v>
      </c>
      <c r="D242" s="3">
        <f t="shared" si="36"/>
        <v>4</v>
      </c>
      <c r="E242" s="10" t="str">
        <f t="shared" si="37"/>
        <v>Q1-2024</v>
      </c>
      <c r="F242" t="s">
        <v>646</v>
      </c>
      <c r="G242" t="s">
        <v>653</v>
      </c>
      <c r="H242" t="s">
        <v>679</v>
      </c>
      <c r="I242" t="s">
        <v>703</v>
      </c>
      <c r="J242" t="s">
        <v>710</v>
      </c>
      <c r="K242" t="s">
        <v>711</v>
      </c>
      <c r="L242" t="s">
        <v>731</v>
      </c>
      <c r="M242" t="s">
        <v>821</v>
      </c>
      <c r="N242" s="3">
        <v>523.70000000000005</v>
      </c>
      <c r="O242" s="3">
        <v>1109.92</v>
      </c>
      <c r="P242" s="6">
        <v>0.03</v>
      </c>
      <c r="Q242" s="6">
        <f>IF(Table1[[#This Row],[DiscountPct]]&gt;25%,25%,Table1[[#This Row],[DiscountPct]])</f>
        <v>0.03</v>
      </c>
      <c r="R242" s="5">
        <v>11</v>
      </c>
      <c r="S242" s="6">
        <f t="shared" si="38"/>
        <v>1.1193813251861753</v>
      </c>
      <c r="T242" s="8">
        <f t="shared" si="39"/>
        <v>11842.8464</v>
      </c>
      <c r="U242" s="8">
        <f t="shared" si="40"/>
        <v>5760.7000000000007</v>
      </c>
      <c r="V242" s="9">
        <f t="shared" si="41"/>
        <v>6082.1463999999996</v>
      </c>
      <c r="W242" s="6">
        <f t="shared" si="42"/>
        <v>0.51357133197302973</v>
      </c>
      <c r="X242" t="str" cm="1">
        <f t="array" ref="X242">_xlfn.IFS(S242&lt;=25%, "Low", S242&lt;=75%, "Medium", S242&gt;75%, "High")</f>
        <v>High</v>
      </c>
      <c r="Y242" s="8">
        <f>Table1[[#This Row],[Quantity]]*(Table1[[#This Row],[UnitPrice]]*(1-Table1[[#This Row],[DiscountPct]]))</f>
        <v>11842.8464</v>
      </c>
      <c r="Z242" s="9">
        <f t="shared" si="43"/>
        <v>6082.1463999999996</v>
      </c>
      <c r="AA242">
        <f>COUNTIF($G$2:G243,G242)</f>
        <v>27</v>
      </c>
      <c r="AB242" s="21">
        <f t="shared" si="44"/>
        <v>44988</v>
      </c>
      <c r="AC242" s="21">
        <f t="shared" si="45"/>
        <v>45016</v>
      </c>
      <c r="AD242" s="5">
        <f>(Table1[[#This Row],[OrderDate]]-Table1[[#This Row],[Date of first order]])/30</f>
        <v>10.8</v>
      </c>
      <c r="AE242" t="str">
        <f t="shared" si="46"/>
        <v>Good</v>
      </c>
      <c r="AF242">
        <f>COUNTIF(AE$2:AE243,AE242)</f>
        <v>71</v>
      </c>
      <c r="AG242" t="str">
        <f t="shared" si="47"/>
        <v>False</v>
      </c>
      <c r="AH242" s="7">
        <f>Table1[[#This Row],[UnitPrice]]*(1-Table1[[#This Row],[Disc Scenario]])*Table1[[#This Row],[Quantity]]</f>
        <v>11842.8464</v>
      </c>
      <c r="AI242">
        <f>ROUNDDOWN((Table1[[#This Row],[Quantity]]*(1+20%)),0)</f>
        <v>13</v>
      </c>
      <c r="AJ242" s="7">
        <f>Table1[[#This Row],[Quantity increase by 20%]]*Table1[[#This Row],[UnitPrice]]</f>
        <v>14428.960000000001</v>
      </c>
      <c r="AK242">
        <f>ROUNDDOWN(Table1[[#This Row],[Quantity]]*(1+20%),0)</f>
        <v>13</v>
      </c>
      <c r="AL242" s="7">
        <f>Table1[[#This Row],[UnitCost]]*(1+15%)</f>
        <v>602.255</v>
      </c>
      <c r="AM242" s="9">
        <f>Table1[[#This Row],[Quantity]]*Table1[[#This Row],[Cost of unit by inflation 15%]]</f>
        <v>6624.8050000000003</v>
      </c>
      <c r="AN242" s="21" cm="1">
        <f t="array" ref="AN242">_xlfn.UNIQUE(AC242)</f>
        <v>45016</v>
      </c>
    </row>
    <row r="243" spans="1:40" x14ac:dyDescent="0.35">
      <c r="A243" t="s">
        <v>578</v>
      </c>
      <c r="B243" s="21">
        <v>45315</v>
      </c>
      <c r="C243" s="10">
        <v>45326</v>
      </c>
      <c r="D243" s="3">
        <f t="shared" si="36"/>
        <v>11</v>
      </c>
      <c r="E243" s="10" t="str">
        <f t="shared" si="37"/>
        <v>Q1-2024</v>
      </c>
      <c r="F243" t="s">
        <v>648</v>
      </c>
      <c r="G243" t="s">
        <v>657</v>
      </c>
      <c r="H243" t="s">
        <v>692</v>
      </c>
      <c r="I243" t="s">
        <v>703</v>
      </c>
      <c r="J243" t="s">
        <v>706</v>
      </c>
      <c r="K243" t="s">
        <v>716</v>
      </c>
      <c r="L243" t="s">
        <v>730</v>
      </c>
      <c r="M243" t="s">
        <v>1294</v>
      </c>
      <c r="N243" s="3">
        <v>525.34</v>
      </c>
      <c r="O243" s="3">
        <v>1233.79</v>
      </c>
      <c r="P243" s="6">
        <v>0.14299999999999999</v>
      </c>
      <c r="Q243" s="6">
        <f>IF(Table1[[#This Row],[DiscountPct]]&gt;25%,25%,Table1[[#This Row],[DiscountPct]])</f>
        <v>0.14299999999999999</v>
      </c>
      <c r="R243" s="5">
        <v>4</v>
      </c>
      <c r="S243" s="6">
        <f t="shared" si="38"/>
        <v>1.348555221380439</v>
      </c>
      <c r="T243" s="8">
        <f t="shared" si="39"/>
        <v>4229.4321199999995</v>
      </c>
      <c r="U243" s="8">
        <f t="shared" si="40"/>
        <v>2101.36</v>
      </c>
      <c r="V243" s="9">
        <f t="shared" si="41"/>
        <v>2128.0721199999994</v>
      </c>
      <c r="W243" s="6">
        <f t="shared" si="42"/>
        <v>0.50315788494082736</v>
      </c>
      <c r="X243" t="str" cm="1">
        <f t="array" ref="X243">_xlfn.IFS(S243&lt;=25%, "Low", S243&lt;=75%, "Medium", S243&gt;75%, "High")</f>
        <v>High</v>
      </c>
      <c r="Y243" s="8">
        <f>Table1[[#This Row],[Quantity]]*(Table1[[#This Row],[UnitPrice]]*(1-Table1[[#This Row],[DiscountPct]]))</f>
        <v>4229.4321199999995</v>
      </c>
      <c r="Z243" s="9">
        <f t="shared" si="43"/>
        <v>2128.0721199999994</v>
      </c>
      <c r="AA243">
        <f>COUNTIF($G$2:G244,G243)</f>
        <v>22</v>
      </c>
      <c r="AB243" s="21">
        <f t="shared" si="44"/>
        <v>44988</v>
      </c>
      <c r="AC243" s="21">
        <f t="shared" si="45"/>
        <v>45016</v>
      </c>
      <c r="AD243" s="5">
        <f>(Table1[[#This Row],[OrderDate]]-Table1[[#This Row],[Date of first order]])/30</f>
        <v>10.9</v>
      </c>
      <c r="AE243" t="str">
        <f t="shared" si="46"/>
        <v>Poor</v>
      </c>
      <c r="AF243">
        <f>COUNTIF(AE$2:AE244,AE243)</f>
        <v>172</v>
      </c>
      <c r="AG243" t="str">
        <f t="shared" si="47"/>
        <v>False</v>
      </c>
      <c r="AH243" s="7">
        <f>Table1[[#This Row],[UnitPrice]]*(1-Table1[[#This Row],[Disc Scenario]])*Table1[[#This Row],[Quantity]]</f>
        <v>4229.4321199999995</v>
      </c>
      <c r="AI243">
        <f>ROUNDDOWN((Table1[[#This Row],[Quantity]]*(1+20%)),0)</f>
        <v>4</v>
      </c>
      <c r="AJ243" s="7">
        <f>Table1[[#This Row],[Quantity increase by 20%]]*Table1[[#This Row],[UnitPrice]]</f>
        <v>4935.16</v>
      </c>
      <c r="AK243">
        <f>ROUNDDOWN(Table1[[#This Row],[Quantity]]*(1+20%),0)</f>
        <v>4</v>
      </c>
      <c r="AL243" s="7">
        <f>Table1[[#This Row],[UnitCost]]*(1+15%)</f>
        <v>604.14099999999996</v>
      </c>
      <c r="AM243" s="9">
        <f>Table1[[#This Row],[Quantity]]*Table1[[#This Row],[Cost of unit by inflation 15%]]</f>
        <v>2416.5639999999999</v>
      </c>
      <c r="AN243" s="21" cm="1">
        <f t="array" ref="AN243">_xlfn.UNIQUE(AC243)</f>
        <v>45016</v>
      </c>
    </row>
    <row r="244" spans="1:40" x14ac:dyDescent="0.35">
      <c r="A244" t="s">
        <v>543</v>
      </c>
      <c r="B244" s="21">
        <v>45316</v>
      </c>
      <c r="C244" s="10">
        <v>45330</v>
      </c>
      <c r="D244" s="3">
        <f t="shared" si="36"/>
        <v>14</v>
      </c>
      <c r="E244" s="10" t="str">
        <f t="shared" si="37"/>
        <v>Q1-2024</v>
      </c>
      <c r="F244" t="s">
        <v>646</v>
      </c>
      <c r="G244" t="s">
        <v>651</v>
      </c>
      <c r="H244" t="s">
        <v>665</v>
      </c>
      <c r="I244" t="s">
        <v>703</v>
      </c>
      <c r="J244" t="s">
        <v>708</v>
      </c>
      <c r="K244" t="s">
        <v>713</v>
      </c>
      <c r="L244" t="s">
        <v>728</v>
      </c>
      <c r="M244" t="s">
        <v>1260</v>
      </c>
      <c r="N244" s="3">
        <v>937.16</v>
      </c>
      <c r="O244" s="3">
        <v>1069.77</v>
      </c>
      <c r="P244" s="6">
        <v>3.7999999999999999E-2</v>
      </c>
      <c r="Q244" s="6">
        <f>IF(Table1[[#This Row],[DiscountPct]]&gt;25%,25%,Table1[[#This Row],[DiscountPct]])</f>
        <v>3.7999999999999999E-2</v>
      </c>
      <c r="R244" s="5">
        <v>9</v>
      </c>
      <c r="S244" s="6">
        <f t="shared" si="38"/>
        <v>0.14150198471979172</v>
      </c>
      <c r="T244" s="8">
        <f t="shared" si="39"/>
        <v>9262.0686600000008</v>
      </c>
      <c r="U244" s="8">
        <f t="shared" si="40"/>
        <v>8434.44</v>
      </c>
      <c r="V244" s="9">
        <f t="shared" si="41"/>
        <v>827.62866000000031</v>
      </c>
      <c r="W244" s="6">
        <f t="shared" si="42"/>
        <v>8.9356783066645962E-2</v>
      </c>
      <c r="X244" t="str" cm="1">
        <f t="array" ref="X244">_xlfn.IFS(S244&lt;=25%, "Low", S244&lt;=75%, "Medium", S244&gt;75%, "High")</f>
        <v>Low</v>
      </c>
      <c r="Y244" s="8">
        <f>Table1[[#This Row],[Quantity]]*(Table1[[#This Row],[UnitPrice]]*(1-Table1[[#This Row],[DiscountPct]]))</f>
        <v>9262.068659999999</v>
      </c>
      <c r="Z244" s="9">
        <f t="shared" si="43"/>
        <v>827.62865999999849</v>
      </c>
      <c r="AA244">
        <f>COUNTIF($G$2:G245,G244)</f>
        <v>21</v>
      </c>
      <c r="AB244" s="21">
        <f t="shared" si="44"/>
        <v>44988</v>
      </c>
      <c r="AC244" s="21">
        <f t="shared" si="45"/>
        <v>45016</v>
      </c>
      <c r="AD244" s="5">
        <f>(Table1[[#This Row],[OrderDate]]-Table1[[#This Row],[Date of first order]])/30</f>
        <v>10.933333333333334</v>
      </c>
      <c r="AE244" t="str">
        <f t="shared" si="46"/>
        <v>Poor</v>
      </c>
      <c r="AF244">
        <f>COUNTIF(AE$2:AE245,AE244)</f>
        <v>172</v>
      </c>
      <c r="AG244" t="str">
        <f t="shared" si="47"/>
        <v>False</v>
      </c>
      <c r="AH244" s="7">
        <f>Table1[[#This Row],[UnitPrice]]*(1-Table1[[#This Row],[Disc Scenario]])*Table1[[#This Row],[Quantity]]</f>
        <v>9262.068659999999</v>
      </c>
      <c r="AI244">
        <f>ROUNDDOWN((Table1[[#This Row],[Quantity]]*(1+20%)),0)</f>
        <v>10</v>
      </c>
      <c r="AJ244" s="7">
        <f>Table1[[#This Row],[Quantity increase by 20%]]*Table1[[#This Row],[UnitPrice]]</f>
        <v>10697.7</v>
      </c>
      <c r="AK244">
        <f>ROUNDDOWN(Table1[[#This Row],[Quantity]]*(1+20%),0)</f>
        <v>10</v>
      </c>
      <c r="AL244" s="7">
        <f>Table1[[#This Row],[UnitCost]]*(1+15%)</f>
        <v>1077.7339999999999</v>
      </c>
      <c r="AM244" s="9">
        <f>Table1[[#This Row],[Quantity]]*Table1[[#This Row],[Cost of unit by inflation 15%]]</f>
        <v>9699.6059999999998</v>
      </c>
      <c r="AN244" s="21" cm="1">
        <f t="array" ref="AN244">_xlfn.UNIQUE(AC244)</f>
        <v>45016</v>
      </c>
    </row>
    <row r="245" spans="1:40" x14ac:dyDescent="0.35">
      <c r="A245" t="s">
        <v>288</v>
      </c>
      <c r="B245" s="21">
        <v>45316</v>
      </c>
      <c r="C245" s="10">
        <v>45318</v>
      </c>
      <c r="D245" s="3">
        <f t="shared" si="36"/>
        <v>2</v>
      </c>
      <c r="E245" s="10" t="str">
        <f t="shared" si="37"/>
        <v>Q1-2024</v>
      </c>
      <c r="F245" t="s">
        <v>647</v>
      </c>
      <c r="G245" t="s">
        <v>654</v>
      </c>
      <c r="H245" t="s">
        <v>669</v>
      </c>
      <c r="I245" t="s">
        <v>702</v>
      </c>
      <c r="J245" t="s">
        <v>708</v>
      </c>
      <c r="K245" t="s">
        <v>724</v>
      </c>
      <c r="L245" t="s">
        <v>730</v>
      </c>
      <c r="M245" t="s">
        <v>1006</v>
      </c>
      <c r="N245" s="3">
        <v>1410.97</v>
      </c>
      <c r="O245" s="3">
        <v>1650.75</v>
      </c>
      <c r="P245" s="6">
        <v>0.13500000000000001</v>
      </c>
      <c r="Q245" s="6">
        <f>IF(Table1[[#This Row],[DiscountPct]]&gt;25%,25%,Table1[[#This Row],[DiscountPct]])</f>
        <v>0.13500000000000001</v>
      </c>
      <c r="R245" s="5">
        <v>6</v>
      </c>
      <c r="S245" s="6">
        <f t="shared" si="38"/>
        <v>0.16993982862853213</v>
      </c>
      <c r="T245" s="8">
        <f t="shared" si="39"/>
        <v>8567.3924999999999</v>
      </c>
      <c r="U245" s="8">
        <f t="shared" si="40"/>
        <v>8465.82</v>
      </c>
      <c r="V245" s="9">
        <f t="shared" si="41"/>
        <v>101.57250000000022</v>
      </c>
      <c r="W245" s="6">
        <f t="shared" si="42"/>
        <v>1.1855707556295596E-2</v>
      </c>
      <c r="X245" t="str" cm="1">
        <f t="array" ref="X245">_xlfn.IFS(S245&lt;=25%, "Low", S245&lt;=75%, "Medium", S245&gt;75%, "High")</f>
        <v>Low</v>
      </c>
      <c r="Y245" s="8">
        <f>Table1[[#This Row],[Quantity]]*(Table1[[#This Row],[UnitPrice]]*(1-Table1[[#This Row],[DiscountPct]]))</f>
        <v>8567.3924999999999</v>
      </c>
      <c r="Z245" s="9">
        <f t="shared" si="43"/>
        <v>101.57250000000022</v>
      </c>
      <c r="AA245">
        <f>COUNTIF($G$2:G246,G245)</f>
        <v>24</v>
      </c>
      <c r="AB245" s="21">
        <f t="shared" si="44"/>
        <v>44988</v>
      </c>
      <c r="AC245" s="21">
        <f t="shared" si="45"/>
        <v>45016</v>
      </c>
      <c r="AD245" s="5">
        <f>(Table1[[#This Row],[OrderDate]]-Table1[[#This Row],[Date of first order]])/30</f>
        <v>10.933333333333334</v>
      </c>
      <c r="AE245" t="str">
        <f t="shared" si="46"/>
        <v>Good</v>
      </c>
      <c r="AF245">
        <f>COUNTIF(AE$2:AE246,AE245)</f>
        <v>73</v>
      </c>
      <c r="AG245" t="str">
        <f t="shared" si="47"/>
        <v>False</v>
      </c>
      <c r="AH245" s="7">
        <f>Table1[[#This Row],[UnitPrice]]*(1-Table1[[#This Row],[Disc Scenario]])*Table1[[#This Row],[Quantity]]</f>
        <v>8567.3924999999999</v>
      </c>
      <c r="AI245">
        <f>ROUNDDOWN((Table1[[#This Row],[Quantity]]*(1+20%)),0)</f>
        <v>7</v>
      </c>
      <c r="AJ245" s="7">
        <f>Table1[[#This Row],[Quantity increase by 20%]]*Table1[[#This Row],[UnitPrice]]</f>
        <v>11555.25</v>
      </c>
      <c r="AK245">
        <f>ROUNDDOWN(Table1[[#This Row],[Quantity]]*(1+20%),0)</f>
        <v>7</v>
      </c>
      <c r="AL245" s="7">
        <f>Table1[[#This Row],[UnitCost]]*(1+15%)</f>
        <v>1622.6154999999999</v>
      </c>
      <c r="AM245" s="9">
        <f>Table1[[#This Row],[Quantity]]*Table1[[#This Row],[Cost of unit by inflation 15%]]</f>
        <v>9735.6929999999993</v>
      </c>
      <c r="AN245" s="21" cm="1">
        <f t="array" ref="AN245">_xlfn.UNIQUE(AC245)</f>
        <v>45016</v>
      </c>
    </row>
    <row r="246" spans="1:40" x14ac:dyDescent="0.35">
      <c r="A246" t="s">
        <v>622</v>
      </c>
      <c r="B246" s="21">
        <v>45318</v>
      </c>
      <c r="C246" s="10">
        <v>45319</v>
      </c>
      <c r="D246" s="3">
        <f t="shared" si="36"/>
        <v>1</v>
      </c>
      <c r="E246" s="10" t="str">
        <f t="shared" si="37"/>
        <v>Q1-2024</v>
      </c>
      <c r="F246" t="s">
        <v>645</v>
      </c>
      <c r="G246" t="s">
        <v>660</v>
      </c>
      <c r="H246" t="s">
        <v>694</v>
      </c>
      <c r="I246" t="s">
        <v>705</v>
      </c>
      <c r="J246" t="s">
        <v>710</v>
      </c>
      <c r="K246" t="s">
        <v>718</v>
      </c>
      <c r="L246" t="s">
        <v>726</v>
      </c>
      <c r="M246" t="s">
        <v>1338</v>
      </c>
      <c r="N246" s="3">
        <v>109.75</v>
      </c>
      <c r="O246" s="3">
        <v>124.25</v>
      </c>
      <c r="P246" s="6">
        <v>0.12</v>
      </c>
      <c r="Q246" s="6">
        <f>IF(Table1[[#This Row],[DiscountPct]]&gt;25%,25%,Table1[[#This Row],[DiscountPct]])</f>
        <v>0.12</v>
      </c>
      <c r="R246" s="5">
        <v>19</v>
      </c>
      <c r="S246" s="6">
        <f t="shared" si="38"/>
        <v>0.13211845102505695</v>
      </c>
      <c r="T246" s="8">
        <f t="shared" si="39"/>
        <v>2077.46</v>
      </c>
      <c r="U246" s="8">
        <f t="shared" si="40"/>
        <v>2085.25</v>
      </c>
      <c r="V246" s="9">
        <f t="shared" si="41"/>
        <v>-7.7899999999999636</v>
      </c>
      <c r="W246" s="6">
        <f t="shared" si="42"/>
        <v>-3.7497713554051405E-3</v>
      </c>
      <c r="X246" t="str" cm="1">
        <f t="array" ref="X246">_xlfn.IFS(S246&lt;=25%, "Low", S246&lt;=75%, "Medium", S246&gt;75%, "High")</f>
        <v>Low</v>
      </c>
      <c r="Y246" s="8">
        <f>Table1[[#This Row],[Quantity]]*(Table1[[#This Row],[UnitPrice]]*(1-Table1[[#This Row],[DiscountPct]]))</f>
        <v>2077.46</v>
      </c>
      <c r="Z246" s="9">
        <f t="shared" si="43"/>
        <v>-7.7899999999999636</v>
      </c>
      <c r="AA246">
        <f>COUNTIF($G$2:G247,G246)</f>
        <v>24</v>
      </c>
      <c r="AB246" s="21">
        <f t="shared" si="44"/>
        <v>44988</v>
      </c>
      <c r="AC246" s="21">
        <f t="shared" si="45"/>
        <v>45016</v>
      </c>
      <c r="AD246" s="5">
        <f>(Table1[[#This Row],[OrderDate]]-Table1[[#This Row],[Date of first order]])/30</f>
        <v>11</v>
      </c>
      <c r="AE246" t="str">
        <f t="shared" si="46"/>
        <v>Good</v>
      </c>
      <c r="AF246">
        <f>COUNTIF(AE$2:AE247,AE246)</f>
        <v>74</v>
      </c>
      <c r="AG246" t="str">
        <f t="shared" si="47"/>
        <v>False</v>
      </c>
      <c r="AH246" s="7">
        <f>Table1[[#This Row],[UnitPrice]]*(1-Table1[[#This Row],[Disc Scenario]])*Table1[[#This Row],[Quantity]]</f>
        <v>2077.46</v>
      </c>
      <c r="AI246">
        <f>ROUNDDOWN((Table1[[#This Row],[Quantity]]*(1+20%)),0)</f>
        <v>22</v>
      </c>
      <c r="AJ246" s="7">
        <f>Table1[[#This Row],[Quantity increase by 20%]]*Table1[[#This Row],[UnitPrice]]</f>
        <v>2733.5</v>
      </c>
      <c r="AK246">
        <f>ROUNDDOWN(Table1[[#This Row],[Quantity]]*(1+20%),0)</f>
        <v>22</v>
      </c>
      <c r="AL246" s="7">
        <f>Table1[[#This Row],[UnitCost]]*(1+15%)</f>
        <v>126.21249999999999</v>
      </c>
      <c r="AM246" s="9">
        <f>Table1[[#This Row],[Quantity]]*Table1[[#This Row],[Cost of unit by inflation 15%]]</f>
        <v>2398.0374999999999</v>
      </c>
      <c r="AN246" s="21" cm="1">
        <f t="array" ref="AN246">_xlfn.UNIQUE(AC246)</f>
        <v>45016</v>
      </c>
    </row>
    <row r="247" spans="1:40" x14ac:dyDescent="0.35">
      <c r="A247" t="s">
        <v>301</v>
      </c>
      <c r="B247" s="21">
        <v>45319</v>
      </c>
      <c r="C247" s="10">
        <v>45321</v>
      </c>
      <c r="D247" s="3">
        <f t="shared" si="36"/>
        <v>2</v>
      </c>
      <c r="E247" s="10" t="str">
        <f t="shared" si="37"/>
        <v>Q1-2024</v>
      </c>
      <c r="F247" t="s">
        <v>645</v>
      </c>
      <c r="G247" t="s">
        <v>660</v>
      </c>
      <c r="H247" t="s">
        <v>694</v>
      </c>
      <c r="I247" t="s">
        <v>703</v>
      </c>
      <c r="J247" t="s">
        <v>710</v>
      </c>
      <c r="K247" t="s">
        <v>720</v>
      </c>
      <c r="L247" t="s">
        <v>732</v>
      </c>
      <c r="M247" t="s">
        <v>1019</v>
      </c>
      <c r="N247" s="3">
        <v>798.45</v>
      </c>
      <c r="O247" s="3">
        <v>1592.02</v>
      </c>
      <c r="P247" s="6">
        <v>6.6000000000000003E-2</v>
      </c>
      <c r="Q247" s="6">
        <f>IF(Table1[[#This Row],[DiscountPct]]&gt;25%,25%,Table1[[#This Row],[DiscountPct]])</f>
        <v>6.6000000000000003E-2</v>
      </c>
      <c r="R247" s="5">
        <v>18</v>
      </c>
      <c r="S247" s="6">
        <f t="shared" si="38"/>
        <v>0.99388815830671917</v>
      </c>
      <c r="T247" s="8">
        <f t="shared" si="39"/>
        <v>26765.040239999998</v>
      </c>
      <c r="U247" s="8">
        <f t="shared" si="40"/>
        <v>14372.1</v>
      </c>
      <c r="V247" s="9">
        <f t="shared" si="41"/>
        <v>12392.940239999998</v>
      </c>
      <c r="W247" s="6">
        <f t="shared" si="42"/>
        <v>0.46302714768494585</v>
      </c>
      <c r="X247" t="str" cm="1">
        <f t="array" ref="X247">_xlfn.IFS(S247&lt;=25%, "Low", S247&lt;=75%, "Medium", S247&gt;75%, "High")</f>
        <v>High</v>
      </c>
      <c r="Y247" s="8">
        <f>Table1[[#This Row],[Quantity]]*(Table1[[#This Row],[UnitPrice]]*(1-Table1[[#This Row],[DiscountPct]]))</f>
        <v>26765.040239999995</v>
      </c>
      <c r="Z247" s="9">
        <f t="shared" si="43"/>
        <v>12392.940239999994</v>
      </c>
      <c r="AA247">
        <f>COUNTIF($G$2:G248,G247)</f>
        <v>24</v>
      </c>
      <c r="AB247" s="21">
        <f t="shared" si="44"/>
        <v>44988</v>
      </c>
      <c r="AC247" s="21">
        <f t="shared" si="45"/>
        <v>45016</v>
      </c>
      <c r="AD247" s="5">
        <f>(Table1[[#This Row],[OrderDate]]-Table1[[#This Row],[Date of first order]])/30</f>
        <v>11.033333333333333</v>
      </c>
      <c r="AE247" t="str">
        <f t="shared" si="46"/>
        <v>Good</v>
      </c>
      <c r="AF247">
        <f>COUNTIF(AE$2:AE248,AE247)</f>
        <v>74</v>
      </c>
      <c r="AG247" t="str">
        <f t="shared" si="47"/>
        <v>False</v>
      </c>
      <c r="AH247" s="7">
        <f>Table1[[#This Row],[UnitPrice]]*(1-Table1[[#This Row],[Disc Scenario]])*Table1[[#This Row],[Quantity]]</f>
        <v>26765.040239999995</v>
      </c>
      <c r="AI247">
        <f>ROUNDDOWN((Table1[[#This Row],[Quantity]]*(1+20%)),0)</f>
        <v>21</v>
      </c>
      <c r="AJ247" s="7">
        <f>Table1[[#This Row],[Quantity increase by 20%]]*Table1[[#This Row],[UnitPrice]]</f>
        <v>33432.42</v>
      </c>
      <c r="AK247">
        <f>ROUNDDOWN(Table1[[#This Row],[Quantity]]*(1+20%),0)</f>
        <v>21</v>
      </c>
      <c r="AL247" s="7">
        <f>Table1[[#This Row],[UnitCost]]*(1+15%)</f>
        <v>918.21749999999997</v>
      </c>
      <c r="AM247" s="9">
        <f>Table1[[#This Row],[Quantity]]*Table1[[#This Row],[Cost of unit by inflation 15%]]</f>
        <v>16527.915000000001</v>
      </c>
      <c r="AN247" s="21" cm="1">
        <f t="array" ref="AN247">_xlfn.UNIQUE(AC247)</f>
        <v>45016</v>
      </c>
    </row>
    <row r="248" spans="1:40" x14ac:dyDescent="0.35">
      <c r="A248" t="s">
        <v>25</v>
      </c>
      <c r="B248" s="21">
        <v>45319</v>
      </c>
      <c r="C248" s="10">
        <v>45331</v>
      </c>
      <c r="D248" s="3">
        <f t="shared" si="36"/>
        <v>12</v>
      </c>
      <c r="E248" s="10" t="str">
        <f t="shared" si="37"/>
        <v>Q1-2024</v>
      </c>
      <c r="F248" t="s">
        <v>648</v>
      </c>
      <c r="G248" t="s">
        <v>655</v>
      </c>
      <c r="H248" t="s">
        <v>670</v>
      </c>
      <c r="I248" t="s">
        <v>700</v>
      </c>
      <c r="J248" t="s">
        <v>707</v>
      </c>
      <c r="K248" t="s">
        <v>714</v>
      </c>
      <c r="L248" t="s">
        <v>732</v>
      </c>
      <c r="M248" t="s">
        <v>743</v>
      </c>
      <c r="N248" s="3">
        <v>644.16999999999996</v>
      </c>
      <c r="O248" s="3">
        <v>700.12</v>
      </c>
      <c r="P248" s="6">
        <v>6.0000000000000001E-3</v>
      </c>
      <c r="Q248" s="6">
        <f>IF(Table1[[#This Row],[DiscountPct]]&gt;25%,25%,Table1[[#This Row],[DiscountPct]])</f>
        <v>6.0000000000000001E-3</v>
      </c>
      <c r="R248" s="5">
        <v>23</v>
      </c>
      <c r="S248" s="6">
        <f t="shared" si="38"/>
        <v>8.6855954173587796E-2</v>
      </c>
      <c r="T248" s="8">
        <f t="shared" si="39"/>
        <v>16006.14344</v>
      </c>
      <c r="U248" s="8">
        <f t="shared" si="40"/>
        <v>14815.91</v>
      </c>
      <c r="V248" s="9">
        <f t="shared" si="41"/>
        <v>1190.23344</v>
      </c>
      <c r="W248" s="6">
        <f t="shared" si="42"/>
        <v>7.436103796405813E-2</v>
      </c>
      <c r="X248" t="str" cm="1">
        <f t="array" ref="X248">_xlfn.IFS(S248&lt;=25%, "Low", S248&lt;=75%, "Medium", S248&gt;75%, "High")</f>
        <v>Low</v>
      </c>
      <c r="Y248" s="8">
        <f>Table1[[#This Row],[Quantity]]*(Table1[[#This Row],[UnitPrice]]*(1-Table1[[#This Row],[DiscountPct]]))</f>
        <v>16006.14344</v>
      </c>
      <c r="Z248" s="9">
        <f t="shared" si="43"/>
        <v>1190.23344</v>
      </c>
      <c r="AA248">
        <f>COUNTIF($G$2:G249,G248)</f>
        <v>21</v>
      </c>
      <c r="AB248" s="21">
        <f t="shared" si="44"/>
        <v>44988</v>
      </c>
      <c r="AC248" s="21">
        <f t="shared" si="45"/>
        <v>45016</v>
      </c>
      <c r="AD248" s="5">
        <f>(Table1[[#This Row],[OrderDate]]-Table1[[#This Row],[Date of first order]])/30</f>
        <v>11.033333333333333</v>
      </c>
      <c r="AE248" t="str">
        <f t="shared" si="46"/>
        <v>Poor</v>
      </c>
      <c r="AF248">
        <f>COUNTIF(AE$2:AE249,AE248)</f>
        <v>173</v>
      </c>
      <c r="AG248" t="str">
        <f t="shared" si="47"/>
        <v>False</v>
      </c>
      <c r="AH248" s="7">
        <f>Table1[[#This Row],[UnitPrice]]*(1-Table1[[#This Row],[Disc Scenario]])*Table1[[#This Row],[Quantity]]</f>
        <v>16006.14344</v>
      </c>
      <c r="AI248">
        <f>ROUNDDOWN((Table1[[#This Row],[Quantity]]*(1+20%)),0)</f>
        <v>27</v>
      </c>
      <c r="AJ248" s="7">
        <f>Table1[[#This Row],[Quantity increase by 20%]]*Table1[[#This Row],[UnitPrice]]</f>
        <v>18903.240000000002</v>
      </c>
      <c r="AK248">
        <f>ROUNDDOWN(Table1[[#This Row],[Quantity]]*(1+20%),0)</f>
        <v>27</v>
      </c>
      <c r="AL248" s="7">
        <f>Table1[[#This Row],[UnitCost]]*(1+15%)</f>
        <v>740.79549999999995</v>
      </c>
      <c r="AM248" s="9">
        <f>Table1[[#This Row],[Quantity]]*Table1[[#This Row],[Cost of unit by inflation 15%]]</f>
        <v>17038.2965</v>
      </c>
      <c r="AN248" s="21" cm="1">
        <f t="array" ref="AN248">_xlfn.UNIQUE(AC248)</f>
        <v>45016</v>
      </c>
    </row>
    <row r="249" spans="1:40" x14ac:dyDescent="0.35">
      <c r="A249" t="s">
        <v>624</v>
      </c>
      <c r="B249" s="21">
        <v>45323</v>
      </c>
      <c r="C249" s="10">
        <v>45323</v>
      </c>
      <c r="D249" s="3">
        <f t="shared" si="36"/>
        <v>0</v>
      </c>
      <c r="E249" s="10" t="str">
        <f t="shared" si="37"/>
        <v>Q1-2024</v>
      </c>
      <c r="F249" t="s">
        <v>647</v>
      </c>
      <c r="G249" t="s">
        <v>659</v>
      </c>
      <c r="H249" t="s">
        <v>696</v>
      </c>
      <c r="I249" t="s">
        <v>703</v>
      </c>
      <c r="J249" t="s">
        <v>709</v>
      </c>
      <c r="K249" t="s">
        <v>721</v>
      </c>
      <c r="L249" t="s">
        <v>727</v>
      </c>
      <c r="M249" t="s">
        <v>1340</v>
      </c>
      <c r="N249" s="3">
        <v>714.43</v>
      </c>
      <c r="O249" s="3">
        <v>1595.52</v>
      </c>
      <c r="P249" s="6">
        <v>0.19400000000000001</v>
      </c>
      <c r="Q249" s="6">
        <f>IF(Table1[[#This Row],[DiscountPct]]&gt;25%,25%,Table1[[#This Row],[DiscountPct]])</f>
        <v>0.19400000000000001</v>
      </c>
      <c r="R249" s="5">
        <v>14</v>
      </c>
      <c r="S249" s="6">
        <f t="shared" si="38"/>
        <v>1.2332768780706298</v>
      </c>
      <c r="T249" s="8">
        <f t="shared" si="39"/>
        <v>18003.847679999999</v>
      </c>
      <c r="U249" s="8">
        <f t="shared" si="40"/>
        <v>10002.019999999999</v>
      </c>
      <c r="V249" s="9">
        <f t="shared" si="41"/>
        <v>8001.8276800000003</v>
      </c>
      <c r="W249" s="6">
        <f t="shared" si="42"/>
        <v>0.44445097638151093</v>
      </c>
      <c r="X249" t="str" cm="1">
        <f t="array" ref="X249">_xlfn.IFS(S249&lt;=25%, "Low", S249&lt;=75%, "Medium", S249&gt;75%, "High")</f>
        <v>High</v>
      </c>
      <c r="Y249" s="8">
        <f>Table1[[#This Row],[Quantity]]*(Table1[[#This Row],[UnitPrice]]*(1-Table1[[#This Row],[DiscountPct]]))</f>
        <v>18003.847679999999</v>
      </c>
      <c r="Z249" s="9">
        <f t="shared" si="43"/>
        <v>8001.8276800000003</v>
      </c>
      <c r="AA249">
        <f>COUNTIF($G$2:G250,G249)</f>
        <v>22</v>
      </c>
      <c r="AB249" s="21">
        <f t="shared" si="44"/>
        <v>44988</v>
      </c>
      <c r="AC249" s="21">
        <f t="shared" si="45"/>
        <v>45016</v>
      </c>
      <c r="AD249" s="5">
        <f>(Table1[[#This Row],[OrderDate]]-Table1[[#This Row],[Date of first order]])/30</f>
        <v>11.166666666666666</v>
      </c>
      <c r="AE249" t="str">
        <f t="shared" si="46"/>
        <v>Good</v>
      </c>
      <c r="AF249">
        <f>COUNTIF(AE$2:AE250,AE249)</f>
        <v>75</v>
      </c>
      <c r="AG249" t="str">
        <f t="shared" si="47"/>
        <v>False</v>
      </c>
      <c r="AH249" s="7">
        <f>Table1[[#This Row],[UnitPrice]]*(1-Table1[[#This Row],[Disc Scenario]])*Table1[[#This Row],[Quantity]]</f>
        <v>18003.847679999999</v>
      </c>
      <c r="AI249">
        <f>ROUNDDOWN((Table1[[#This Row],[Quantity]]*(1+20%)),0)</f>
        <v>16</v>
      </c>
      <c r="AJ249" s="7">
        <f>Table1[[#This Row],[Quantity increase by 20%]]*Table1[[#This Row],[UnitPrice]]</f>
        <v>25528.32</v>
      </c>
      <c r="AK249">
        <f>ROUNDDOWN(Table1[[#This Row],[Quantity]]*(1+20%),0)</f>
        <v>16</v>
      </c>
      <c r="AL249" s="7">
        <f>Table1[[#This Row],[UnitCost]]*(1+15%)</f>
        <v>821.59449999999993</v>
      </c>
      <c r="AM249" s="9">
        <f>Table1[[#This Row],[Quantity]]*Table1[[#This Row],[Cost of unit by inflation 15%]]</f>
        <v>11502.322999999999</v>
      </c>
      <c r="AN249" s="21" cm="1">
        <f t="array" ref="AN249">_xlfn.UNIQUE(AC249)</f>
        <v>45016</v>
      </c>
    </row>
    <row r="250" spans="1:40" x14ac:dyDescent="0.35">
      <c r="A250" t="s">
        <v>170</v>
      </c>
      <c r="B250" s="21">
        <v>45323</v>
      </c>
      <c r="C250" s="10">
        <v>45343</v>
      </c>
      <c r="D250" s="3">
        <f t="shared" si="36"/>
        <v>20</v>
      </c>
      <c r="E250" s="10" t="str">
        <f t="shared" si="37"/>
        <v>Q1-2024</v>
      </c>
      <c r="F250" t="s">
        <v>648</v>
      </c>
      <c r="G250" t="s">
        <v>656</v>
      </c>
      <c r="H250" t="s">
        <v>689</v>
      </c>
      <c r="I250" t="s">
        <v>704</v>
      </c>
      <c r="J250" t="s">
        <v>708</v>
      </c>
      <c r="K250" t="s">
        <v>719</v>
      </c>
      <c r="L250" t="s">
        <v>728</v>
      </c>
      <c r="M250" t="s">
        <v>888</v>
      </c>
      <c r="N250" s="3">
        <v>656.2</v>
      </c>
      <c r="O250" s="3">
        <v>1467.17</v>
      </c>
      <c r="P250" s="6">
        <v>1.7999999999999999E-2</v>
      </c>
      <c r="Q250" s="6">
        <f>IF(Table1[[#This Row],[DiscountPct]]&gt;25%,25%,Table1[[#This Row],[DiscountPct]])</f>
        <v>1.7999999999999999E-2</v>
      </c>
      <c r="R250" s="5">
        <v>5</v>
      </c>
      <c r="S250" s="6">
        <f t="shared" si="38"/>
        <v>1.2358579701310575</v>
      </c>
      <c r="T250" s="8">
        <f t="shared" si="39"/>
        <v>7203.8047000000006</v>
      </c>
      <c r="U250" s="8">
        <f t="shared" si="40"/>
        <v>3281</v>
      </c>
      <c r="V250" s="9">
        <f t="shared" si="41"/>
        <v>3922.8047000000006</v>
      </c>
      <c r="W250" s="6">
        <f t="shared" si="42"/>
        <v>0.54454623124360946</v>
      </c>
      <c r="X250" t="str" cm="1">
        <f t="array" ref="X250">_xlfn.IFS(S250&lt;=25%, "Low", S250&lt;=75%, "Medium", S250&gt;75%, "High")</f>
        <v>High</v>
      </c>
      <c r="Y250" s="8">
        <f>Table1[[#This Row],[Quantity]]*(Table1[[#This Row],[UnitPrice]]*(1-Table1[[#This Row],[DiscountPct]]))</f>
        <v>7203.8047000000006</v>
      </c>
      <c r="Z250" s="9">
        <f t="shared" si="43"/>
        <v>3922.8047000000006</v>
      </c>
      <c r="AA250">
        <f>COUNTIF($G$2:G251,G250)</f>
        <v>19</v>
      </c>
      <c r="AB250" s="21">
        <f t="shared" si="44"/>
        <v>44988</v>
      </c>
      <c r="AC250" s="21">
        <f t="shared" si="45"/>
        <v>45016</v>
      </c>
      <c r="AD250" s="5">
        <f>(Table1[[#This Row],[OrderDate]]-Table1[[#This Row],[Date of first order]])/30</f>
        <v>11.166666666666666</v>
      </c>
      <c r="AE250" t="str">
        <f t="shared" si="46"/>
        <v>Poor</v>
      </c>
      <c r="AF250">
        <f>COUNTIF(AE$2:AE251,AE250)</f>
        <v>175</v>
      </c>
      <c r="AG250" t="str">
        <f t="shared" si="47"/>
        <v>False</v>
      </c>
      <c r="AH250" s="7">
        <f>Table1[[#This Row],[UnitPrice]]*(1-Table1[[#This Row],[Disc Scenario]])*Table1[[#This Row],[Quantity]]</f>
        <v>7203.8047000000006</v>
      </c>
      <c r="AI250">
        <f>ROUNDDOWN((Table1[[#This Row],[Quantity]]*(1+20%)),0)</f>
        <v>6</v>
      </c>
      <c r="AJ250" s="7">
        <f>Table1[[#This Row],[Quantity increase by 20%]]*Table1[[#This Row],[UnitPrice]]</f>
        <v>8803.02</v>
      </c>
      <c r="AK250">
        <f>ROUNDDOWN(Table1[[#This Row],[Quantity]]*(1+20%),0)</f>
        <v>6</v>
      </c>
      <c r="AL250" s="7">
        <f>Table1[[#This Row],[UnitCost]]*(1+15%)</f>
        <v>754.63</v>
      </c>
      <c r="AM250" s="9">
        <f>Table1[[#This Row],[Quantity]]*Table1[[#This Row],[Cost of unit by inflation 15%]]</f>
        <v>3773.15</v>
      </c>
      <c r="AN250" s="21" cm="1">
        <f t="array" ref="AN250">_xlfn.UNIQUE(AC250)</f>
        <v>45016</v>
      </c>
    </row>
    <row r="251" spans="1:40" x14ac:dyDescent="0.35">
      <c r="A251" t="s">
        <v>203</v>
      </c>
      <c r="B251" s="21">
        <v>45325</v>
      </c>
      <c r="C251" s="10">
        <v>45341</v>
      </c>
      <c r="D251" s="3">
        <f t="shared" si="36"/>
        <v>16</v>
      </c>
      <c r="E251" s="10" t="str">
        <f t="shared" si="37"/>
        <v>Q1-2024</v>
      </c>
      <c r="F251" t="s">
        <v>646</v>
      </c>
      <c r="G251" t="s">
        <v>658</v>
      </c>
      <c r="H251" t="s">
        <v>675</v>
      </c>
      <c r="I251" t="s">
        <v>704</v>
      </c>
      <c r="J251" t="s">
        <v>707</v>
      </c>
      <c r="K251" t="s">
        <v>721</v>
      </c>
      <c r="L251" t="s">
        <v>730</v>
      </c>
      <c r="M251" t="s">
        <v>921</v>
      </c>
      <c r="N251" s="3">
        <v>993.75</v>
      </c>
      <c r="O251" s="3">
        <v>1310.29</v>
      </c>
      <c r="P251" s="6">
        <v>0.215</v>
      </c>
      <c r="Q251" s="6">
        <f>IF(Table1[[#This Row],[DiscountPct]]&gt;25%,25%,Table1[[#This Row],[DiscountPct]])</f>
        <v>0.215</v>
      </c>
      <c r="R251" s="5">
        <v>19</v>
      </c>
      <c r="S251" s="6">
        <f t="shared" si="38"/>
        <v>0.31853081761006286</v>
      </c>
      <c r="T251" s="8">
        <f t="shared" si="39"/>
        <v>19542.975350000001</v>
      </c>
      <c r="U251" s="8">
        <f t="shared" si="40"/>
        <v>18881.25</v>
      </c>
      <c r="V251" s="9">
        <f t="shared" si="41"/>
        <v>661.72535000000062</v>
      </c>
      <c r="W251" s="6">
        <f t="shared" si="42"/>
        <v>3.3860010471742245E-2</v>
      </c>
      <c r="X251" t="str" cm="1">
        <f t="array" ref="X251">_xlfn.IFS(S251&lt;=25%, "Low", S251&lt;=75%, "Medium", S251&gt;75%, "High")</f>
        <v>Medium</v>
      </c>
      <c r="Y251" s="8">
        <f>Table1[[#This Row],[Quantity]]*(Table1[[#This Row],[UnitPrice]]*(1-Table1[[#This Row],[DiscountPct]]))</f>
        <v>19542.975350000001</v>
      </c>
      <c r="Z251" s="9">
        <f t="shared" si="43"/>
        <v>661.72535000000062</v>
      </c>
      <c r="AA251">
        <f>COUNTIF($G$2:G252,G251)</f>
        <v>19</v>
      </c>
      <c r="AB251" s="21">
        <f t="shared" si="44"/>
        <v>44988</v>
      </c>
      <c r="AC251" s="21">
        <f t="shared" si="45"/>
        <v>45016</v>
      </c>
      <c r="AD251" s="5">
        <f>(Table1[[#This Row],[OrderDate]]-Table1[[#This Row],[Date of first order]])/30</f>
        <v>11.233333333333333</v>
      </c>
      <c r="AE251" t="str">
        <f t="shared" si="46"/>
        <v>Poor</v>
      </c>
      <c r="AF251">
        <f>COUNTIF(AE$2:AE252,AE251)</f>
        <v>176</v>
      </c>
      <c r="AG251" t="str">
        <f t="shared" si="47"/>
        <v>True</v>
      </c>
      <c r="AH251" s="7">
        <f>Table1[[#This Row],[UnitPrice]]*(1-Table1[[#This Row],[Disc Scenario]])*Table1[[#This Row],[Quantity]]</f>
        <v>19542.975350000001</v>
      </c>
      <c r="AI251">
        <f>ROUNDDOWN((Table1[[#This Row],[Quantity]]*(1+20%)),0)</f>
        <v>22</v>
      </c>
      <c r="AJ251" s="7">
        <f>Table1[[#This Row],[Quantity increase by 20%]]*Table1[[#This Row],[UnitPrice]]</f>
        <v>28826.379999999997</v>
      </c>
      <c r="AK251">
        <f>ROUNDDOWN(Table1[[#This Row],[Quantity]]*(1+20%),0)</f>
        <v>22</v>
      </c>
      <c r="AL251" s="7">
        <f>Table1[[#This Row],[UnitCost]]*(1+15%)</f>
        <v>1142.8125</v>
      </c>
      <c r="AM251" s="9">
        <f>Table1[[#This Row],[Quantity]]*Table1[[#This Row],[Cost of unit by inflation 15%]]</f>
        <v>21713.4375</v>
      </c>
      <c r="AN251" s="21" cm="1">
        <f t="array" ref="AN251">_xlfn.UNIQUE(AC251)</f>
        <v>45016</v>
      </c>
    </row>
    <row r="252" spans="1:40" x14ac:dyDescent="0.35">
      <c r="A252" t="s">
        <v>191</v>
      </c>
      <c r="B252" s="21">
        <v>45325</v>
      </c>
      <c r="C252" s="10">
        <v>45343</v>
      </c>
      <c r="D252" s="3">
        <f t="shared" si="36"/>
        <v>18</v>
      </c>
      <c r="E252" s="10" t="str">
        <f t="shared" si="37"/>
        <v>Q1-2024</v>
      </c>
      <c r="F252" t="s">
        <v>648</v>
      </c>
      <c r="G252" t="s">
        <v>655</v>
      </c>
      <c r="H252" t="s">
        <v>697</v>
      </c>
      <c r="I252" t="s">
        <v>700</v>
      </c>
      <c r="J252" t="s">
        <v>706</v>
      </c>
      <c r="K252" t="s">
        <v>721</v>
      </c>
      <c r="L252" t="s">
        <v>726</v>
      </c>
      <c r="M252" t="s">
        <v>909</v>
      </c>
      <c r="N252" s="3">
        <v>39.229999999999997</v>
      </c>
      <c r="O252" s="3">
        <v>70.221699999999998</v>
      </c>
      <c r="P252" s="6">
        <v>0.17699999999999999</v>
      </c>
      <c r="Q252" s="6">
        <f>IF(Table1[[#This Row],[DiscountPct]]&gt;25%,25%,Table1[[#This Row],[DiscountPct]])</f>
        <v>0.17699999999999999</v>
      </c>
      <c r="R252" s="5">
        <v>13</v>
      </c>
      <c r="S252" s="6">
        <f t="shared" si="38"/>
        <v>0.79000000000000015</v>
      </c>
      <c r="T252" s="8">
        <f t="shared" si="39"/>
        <v>751.3019683</v>
      </c>
      <c r="U252" s="8">
        <f t="shared" si="40"/>
        <v>509.98999999999995</v>
      </c>
      <c r="V252" s="9">
        <f t="shared" si="41"/>
        <v>241.31196830000005</v>
      </c>
      <c r="W252" s="6">
        <f t="shared" si="42"/>
        <v>0.32119171582369999</v>
      </c>
      <c r="X252" t="str" cm="1">
        <f t="array" ref="X252">_xlfn.IFS(S252&lt;=25%, "Low", S252&lt;=75%, "Medium", S252&gt;75%, "High")</f>
        <v>High</v>
      </c>
      <c r="Y252" s="8">
        <f>Table1[[#This Row],[Quantity]]*(Table1[[#This Row],[UnitPrice]]*(1-Table1[[#This Row],[DiscountPct]]))</f>
        <v>751.30196829999988</v>
      </c>
      <c r="Z252" s="9">
        <f t="shared" si="43"/>
        <v>241.31196829999993</v>
      </c>
      <c r="AA252">
        <f>COUNTIF($G$2:G253,G252)</f>
        <v>22</v>
      </c>
      <c r="AB252" s="21">
        <f t="shared" si="44"/>
        <v>44988</v>
      </c>
      <c r="AC252" s="21">
        <f t="shared" si="45"/>
        <v>45016</v>
      </c>
      <c r="AD252" s="5">
        <f>(Table1[[#This Row],[OrderDate]]-Table1[[#This Row],[Date of first order]])/30</f>
        <v>11.233333333333333</v>
      </c>
      <c r="AE252" t="str">
        <f t="shared" si="46"/>
        <v>Poor</v>
      </c>
      <c r="AF252">
        <f>COUNTIF(AE$2:AE253,AE252)</f>
        <v>177</v>
      </c>
      <c r="AG252" t="str">
        <f t="shared" si="47"/>
        <v>False</v>
      </c>
      <c r="AH252" s="7">
        <f>Table1[[#This Row],[UnitPrice]]*(1-Table1[[#This Row],[Disc Scenario]])*Table1[[#This Row],[Quantity]]</f>
        <v>751.30196829999988</v>
      </c>
      <c r="AI252">
        <f>ROUNDDOWN((Table1[[#This Row],[Quantity]]*(1+20%)),0)</f>
        <v>15</v>
      </c>
      <c r="AJ252" s="7">
        <f>Table1[[#This Row],[Quantity increase by 20%]]*Table1[[#This Row],[UnitPrice]]</f>
        <v>1053.3254999999999</v>
      </c>
      <c r="AK252">
        <f>ROUNDDOWN(Table1[[#This Row],[Quantity]]*(1+20%),0)</f>
        <v>15</v>
      </c>
      <c r="AL252" s="7">
        <f>Table1[[#This Row],[UnitCost]]*(1+15%)</f>
        <v>45.114499999999992</v>
      </c>
      <c r="AM252" s="9">
        <f>Table1[[#This Row],[Quantity]]*Table1[[#This Row],[Cost of unit by inflation 15%]]</f>
        <v>586.48849999999993</v>
      </c>
      <c r="AN252" s="21" cm="1">
        <f t="array" ref="AN252">_xlfn.UNIQUE(AC252)</f>
        <v>45016</v>
      </c>
    </row>
    <row r="253" spans="1:40" x14ac:dyDescent="0.35">
      <c r="A253" t="s">
        <v>486</v>
      </c>
      <c r="B253" s="21">
        <v>45328</v>
      </c>
      <c r="C253" s="10">
        <v>45350</v>
      </c>
      <c r="D253" s="3">
        <f t="shared" si="36"/>
        <v>22</v>
      </c>
      <c r="E253" s="10" t="str">
        <f t="shared" si="37"/>
        <v>Q1-2024</v>
      </c>
      <c r="F253" t="s">
        <v>645</v>
      </c>
      <c r="G253" t="s">
        <v>649</v>
      </c>
      <c r="H253" t="s">
        <v>661</v>
      </c>
      <c r="I253" t="s">
        <v>702</v>
      </c>
      <c r="J253" t="s">
        <v>707</v>
      </c>
      <c r="K253" t="s">
        <v>722</v>
      </c>
      <c r="L253" t="s">
        <v>731</v>
      </c>
      <c r="M253" t="s">
        <v>1203</v>
      </c>
      <c r="N253" s="3">
        <v>834.93</v>
      </c>
      <c r="O253" s="3">
        <v>1588.53</v>
      </c>
      <c r="P253" s="6">
        <v>0.126</v>
      </c>
      <c r="Q253" s="6">
        <f>IF(Table1[[#This Row],[DiscountPct]]&gt;25%,25%,Table1[[#This Row],[DiscountPct]])</f>
        <v>0.126</v>
      </c>
      <c r="R253" s="5">
        <v>6</v>
      </c>
      <c r="S253" s="6">
        <f t="shared" si="38"/>
        <v>0.90259063634077119</v>
      </c>
      <c r="T253" s="8">
        <f t="shared" si="39"/>
        <v>8330.2513199999994</v>
      </c>
      <c r="U253" s="8">
        <f t="shared" si="40"/>
        <v>5009.58</v>
      </c>
      <c r="V253" s="9">
        <f t="shared" si="41"/>
        <v>3320.6713199999995</v>
      </c>
      <c r="W253" s="6">
        <f t="shared" si="42"/>
        <v>0.39862798761274343</v>
      </c>
      <c r="X253" t="str" cm="1">
        <f t="array" ref="X253">_xlfn.IFS(S253&lt;=25%, "Low", S253&lt;=75%, "Medium", S253&gt;75%, "High")</f>
        <v>High</v>
      </c>
      <c r="Y253" s="8">
        <f>Table1[[#This Row],[Quantity]]*(Table1[[#This Row],[UnitPrice]]*(1-Table1[[#This Row],[DiscountPct]]))</f>
        <v>8330.2513199999994</v>
      </c>
      <c r="Z253" s="9">
        <f t="shared" si="43"/>
        <v>3320.6713199999995</v>
      </c>
      <c r="AA253">
        <f>COUNTIF($G$2:G254,G253)</f>
        <v>21</v>
      </c>
      <c r="AB253" s="21">
        <f t="shared" si="44"/>
        <v>44988</v>
      </c>
      <c r="AC253" s="21">
        <f t="shared" si="45"/>
        <v>45016</v>
      </c>
      <c r="AD253" s="5">
        <f>(Table1[[#This Row],[OrderDate]]-Table1[[#This Row],[Date of first order]])/30</f>
        <v>11.333333333333334</v>
      </c>
      <c r="AE253" t="str">
        <f t="shared" si="46"/>
        <v>Poor</v>
      </c>
      <c r="AF253">
        <f>COUNTIF(AE$2:AE254,AE253)</f>
        <v>177</v>
      </c>
      <c r="AG253" t="str">
        <f t="shared" si="47"/>
        <v>False</v>
      </c>
      <c r="AH253" s="7">
        <f>Table1[[#This Row],[UnitPrice]]*(1-Table1[[#This Row],[Disc Scenario]])*Table1[[#This Row],[Quantity]]</f>
        <v>8330.2513199999994</v>
      </c>
      <c r="AI253">
        <f>ROUNDDOWN((Table1[[#This Row],[Quantity]]*(1+20%)),0)</f>
        <v>7</v>
      </c>
      <c r="AJ253" s="7">
        <f>Table1[[#This Row],[Quantity increase by 20%]]*Table1[[#This Row],[UnitPrice]]</f>
        <v>11119.71</v>
      </c>
      <c r="AK253">
        <f>ROUNDDOWN(Table1[[#This Row],[Quantity]]*(1+20%),0)</f>
        <v>7</v>
      </c>
      <c r="AL253" s="7">
        <f>Table1[[#This Row],[UnitCost]]*(1+15%)</f>
        <v>960.16949999999986</v>
      </c>
      <c r="AM253" s="9">
        <f>Table1[[#This Row],[Quantity]]*Table1[[#This Row],[Cost of unit by inflation 15%]]</f>
        <v>5761.0169999999989</v>
      </c>
      <c r="AN253" s="21" cm="1">
        <f t="array" ref="AN253">_xlfn.UNIQUE(AC253)</f>
        <v>45016</v>
      </c>
    </row>
    <row r="254" spans="1:40" x14ac:dyDescent="0.35">
      <c r="A254" t="s">
        <v>579</v>
      </c>
      <c r="B254" s="21">
        <v>45330</v>
      </c>
      <c r="C254" s="10">
        <v>45331</v>
      </c>
      <c r="D254" s="3">
        <f t="shared" si="36"/>
        <v>1</v>
      </c>
      <c r="E254" s="10" t="str">
        <f t="shared" si="37"/>
        <v>Q1-2024</v>
      </c>
      <c r="F254" t="s">
        <v>645</v>
      </c>
      <c r="G254" t="s">
        <v>649</v>
      </c>
      <c r="H254" t="s">
        <v>674</v>
      </c>
      <c r="I254" t="s">
        <v>700</v>
      </c>
      <c r="J254" t="s">
        <v>710</v>
      </c>
      <c r="K254" t="s">
        <v>720</v>
      </c>
      <c r="L254" t="s">
        <v>726</v>
      </c>
      <c r="M254" t="s">
        <v>1295</v>
      </c>
      <c r="N254" s="3">
        <v>1233.52</v>
      </c>
      <c r="O254" s="3">
        <v>1543.76</v>
      </c>
      <c r="P254" s="6">
        <v>0.126</v>
      </c>
      <c r="Q254" s="6">
        <f>IF(Table1[[#This Row],[DiscountPct]]&gt;25%,25%,Table1[[#This Row],[DiscountPct]])</f>
        <v>0.126</v>
      </c>
      <c r="R254" s="5">
        <v>13</v>
      </c>
      <c r="S254" s="6">
        <f t="shared" si="38"/>
        <v>0.2515078798884493</v>
      </c>
      <c r="T254" s="8">
        <f t="shared" si="39"/>
        <v>17540.201120000002</v>
      </c>
      <c r="U254" s="8">
        <f t="shared" si="40"/>
        <v>16035.76</v>
      </c>
      <c r="V254" s="9">
        <f t="shared" si="41"/>
        <v>1504.4411200000013</v>
      </c>
      <c r="W254" s="6">
        <f t="shared" si="42"/>
        <v>8.5771030201277493E-2</v>
      </c>
      <c r="X254" t="str" cm="1">
        <f t="array" ref="X254">_xlfn.IFS(S254&lt;=25%, "Low", S254&lt;=75%, "Medium", S254&gt;75%, "High")</f>
        <v>Medium</v>
      </c>
      <c r="Y254" s="8">
        <f>Table1[[#This Row],[Quantity]]*(Table1[[#This Row],[UnitPrice]]*(1-Table1[[#This Row],[DiscountPct]]))</f>
        <v>17540.201119999998</v>
      </c>
      <c r="Z254" s="9">
        <f t="shared" si="43"/>
        <v>1504.4411199999977</v>
      </c>
      <c r="AA254">
        <f>COUNTIF($G$2:G255,G254)</f>
        <v>22</v>
      </c>
      <c r="AB254" s="21">
        <f t="shared" si="44"/>
        <v>44988</v>
      </c>
      <c r="AC254" s="21">
        <f t="shared" si="45"/>
        <v>45016</v>
      </c>
      <c r="AD254" s="5">
        <f>(Table1[[#This Row],[OrderDate]]-Table1[[#This Row],[Date of first order]])/30</f>
        <v>11.4</v>
      </c>
      <c r="AE254" t="str">
        <f t="shared" si="46"/>
        <v>Good</v>
      </c>
      <c r="AF254">
        <f>COUNTIF(AE$2:AE255,AE254)</f>
        <v>76</v>
      </c>
      <c r="AG254" t="str">
        <f t="shared" si="47"/>
        <v>False</v>
      </c>
      <c r="AH254" s="7">
        <f>Table1[[#This Row],[UnitPrice]]*(1-Table1[[#This Row],[Disc Scenario]])*Table1[[#This Row],[Quantity]]</f>
        <v>17540.201119999998</v>
      </c>
      <c r="AI254">
        <f>ROUNDDOWN((Table1[[#This Row],[Quantity]]*(1+20%)),0)</f>
        <v>15</v>
      </c>
      <c r="AJ254" s="7">
        <f>Table1[[#This Row],[Quantity increase by 20%]]*Table1[[#This Row],[UnitPrice]]</f>
        <v>23156.400000000001</v>
      </c>
      <c r="AK254">
        <f>ROUNDDOWN(Table1[[#This Row],[Quantity]]*(1+20%),0)</f>
        <v>15</v>
      </c>
      <c r="AL254" s="7">
        <f>Table1[[#This Row],[UnitCost]]*(1+15%)</f>
        <v>1418.5479999999998</v>
      </c>
      <c r="AM254" s="9">
        <f>Table1[[#This Row],[Quantity]]*Table1[[#This Row],[Cost of unit by inflation 15%]]</f>
        <v>18441.123999999996</v>
      </c>
      <c r="AN254" s="21" cm="1">
        <f t="array" ref="AN254">_xlfn.UNIQUE(AC254)</f>
        <v>45016</v>
      </c>
    </row>
    <row r="255" spans="1:40" x14ac:dyDescent="0.35">
      <c r="A255" t="s">
        <v>210</v>
      </c>
      <c r="B255" s="21">
        <v>45333</v>
      </c>
      <c r="C255" s="10">
        <v>45354</v>
      </c>
      <c r="D255" s="3">
        <f t="shared" si="36"/>
        <v>21</v>
      </c>
      <c r="E255" s="10" t="str">
        <f t="shared" si="37"/>
        <v>Q1-2024</v>
      </c>
      <c r="F255" t="s">
        <v>645</v>
      </c>
      <c r="G255" t="s">
        <v>649</v>
      </c>
      <c r="H255" t="s">
        <v>661</v>
      </c>
      <c r="I255" t="s">
        <v>705</v>
      </c>
      <c r="J255" t="s">
        <v>707</v>
      </c>
      <c r="K255" t="s">
        <v>716</v>
      </c>
      <c r="L255" t="s">
        <v>729</v>
      </c>
      <c r="M255" t="s">
        <v>928</v>
      </c>
      <c r="N255" s="3">
        <v>516.86</v>
      </c>
      <c r="O255" s="3">
        <v>852.54</v>
      </c>
      <c r="P255" s="6">
        <v>5.0999999999999997E-2</v>
      </c>
      <c r="Q255" s="6">
        <f>IF(Table1[[#This Row],[DiscountPct]]&gt;25%,25%,Table1[[#This Row],[DiscountPct]])</f>
        <v>5.0999999999999997E-2</v>
      </c>
      <c r="R255" s="5">
        <v>14</v>
      </c>
      <c r="S255" s="6">
        <f t="shared" si="38"/>
        <v>0.64946020198893306</v>
      </c>
      <c r="T255" s="8">
        <f t="shared" si="39"/>
        <v>11326.846439999999</v>
      </c>
      <c r="U255" s="8">
        <f t="shared" si="40"/>
        <v>7236.04</v>
      </c>
      <c r="V255" s="9">
        <f t="shared" si="41"/>
        <v>4090.8064399999994</v>
      </c>
      <c r="W255" s="6">
        <f t="shared" si="42"/>
        <v>0.36116022775355994</v>
      </c>
      <c r="X255" t="str" cm="1">
        <f t="array" ref="X255">_xlfn.IFS(S255&lt;=25%, "Low", S255&lt;=75%, "Medium", S255&gt;75%, "High")</f>
        <v>Medium</v>
      </c>
      <c r="Y255" s="8">
        <f>Table1[[#This Row],[Quantity]]*(Table1[[#This Row],[UnitPrice]]*(1-Table1[[#This Row],[DiscountPct]]))</f>
        <v>11326.846439999999</v>
      </c>
      <c r="Z255" s="9">
        <f t="shared" si="43"/>
        <v>4090.8064399999994</v>
      </c>
      <c r="AA255">
        <f>COUNTIF($G$2:G256,G255)</f>
        <v>22</v>
      </c>
      <c r="AB255" s="21">
        <f t="shared" si="44"/>
        <v>44988</v>
      </c>
      <c r="AC255" s="21">
        <f t="shared" si="45"/>
        <v>45016</v>
      </c>
      <c r="AD255" s="5">
        <f>(Table1[[#This Row],[OrderDate]]-Table1[[#This Row],[Date of first order]])/30</f>
        <v>11.5</v>
      </c>
      <c r="AE255" t="str">
        <f t="shared" si="46"/>
        <v>Poor</v>
      </c>
      <c r="AF255">
        <f>COUNTIF(AE$2:AE256,AE255)</f>
        <v>178</v>
      </c>
      <c r="AG255" t="str">
        <f t="shared" si="47"/>
        <v>False</v>
      </c>
      <c r="AH255" s="7">
        <f>Table1[[#This Row],[UnitPrice]]*(1-Table1[[#This Row],[Disc Scenario]])*Table1[[#This Row],[Quantity]]</f>
        <v>11326.846439999999</v>
      </c>
      <c r="AI255">
        <f>ROUNDDOWN((Table1[[#This Row],[Quantity]]*(1+20%)),0)</f>
        <v>16</v>
      </c>
      <c r="AJ255" s="7">
        <f>Table1[[#This Row],[Quantity increase by 20%]]*Table1[[#This Row],[UnitPrice]]</f>
        <v>13640.64</v>
      </c>
      <c r="AK255">
        <f>ROUNDDOWN(Table1[[#This Row],[Quantity]]*(1+20%),0)</f>
        <v>16</v>
      </c>
      <c r="AL255" s="7">
        <f>Table1[[#This Row],[UnitCost]]*(1+15%)</f>
        <v>594.38900000000001</v>
      </c>
      <c r="AM255" s="9">
        <f>Table1[[#This Row],[Quantity]]*Table1[[#This Row],[Cost of unit by inflation 15%]]</f>
        <v>8321.4459999999999</v>
      </c>
      <c r="AN255" s="21" cm="1">
        <f t="array" ref="AN255">_xlfn.UNIQUE(AC255)</f>
        <v>45016</v>
      </c>
    </row>
    <row r="256" spans="1:40" x14ac:dyDescent="0.35">
      <c r="A256" t="s">
        <v>153</v>
      </c>
      <c r="B256" s="21">
        <v>45336</v>
      </c>
      <c r="C256" s="10">
        <v>45336</v>
      </c>
      <c r="D256" s="3">
        <f t="shared" si="36"/>
        <v>0</v>
      </c>
      <c r="E256" s="10" t="str">
        <f t="shared" si="37"/>
        <v>Q1-2024</v>
      </c>
      <c r="F256" t="s">
        <v>646</v>
      </c>
      <c r="G256" t="s">
        <v>658</v>
      </c>
      <c r="H256" t="s">
        <v>698</v>
      </c>
      <c r="I256" t="s">
        <v>700</v>
      </c>
      <c r="J256" t="s">
        <v>709</v>
      </c>
      <c r="K256" t="s">
        <v>715</v>
      </c>
      <c r="L256" t="s">
        <v>732</v>
      </c>
      <c r="M256" t="s">
        <v>871</v>
      </c>
      <c r="N256" s="3">
        <v>65.930000000000007</v>
      </c>
      <c r="O256" s="3">
        <v>84.9</v>
      </c>
      <c r="P256" s="6">
        <v>0.25900000000000001</v>
      </c>
      <c r="Q256" s="6">
        <f>IF(Table1[[#This Row],[DiscountPct]]&gt;25%,25%,Table1[[#This Row],[DiscountPct]])</f>
        <v>0.25</v>
      </c>
      <c r="R256" s="5">
        <v>23</v>
      </c>
      <c r="S256" s="6">
        <f t="shared" si="38"/>
        <v>0.28772940998028207</v>
      </c>
      <c r="T256" s="8">
        <f t="shared" si="39"/>
        <v>1446.9507000000001</v>
      </c>
      <c r="U256" s="8">
        <f t="shared" si="40"/>
        <v>1516.39</v>
      </c>
      <c r="V256" s="9">
        <f t="shared" si="41"/>
        <v>-69.439300000000003</v>
      </c>
      <c r="W256" s="6">
        <f t="shared" si="42"/>
        <v>-4.7990093926489688E-2</v>
      </c>
      <c r="X256" t="str" cm="1">
        <f t="array" ref="X256">_xlfn.IFS(S256&lt;=25%, "Low", S256&lt;=75%, "Medium", S256&gt;75%, "High")</f>
        <v>Medium</v>
      </c>
      <c r="Y256" s="8">
        <f>Table1[[#This Row],[Quantity]]*(Table1[[#This Row],[UnitPrice]]*(1-Table1[[#This Row],[DiscountPct]]))</f>
        <v>1446.9507000000001</v>
      </c>
      <c r="Z256" s="9">
        <f t="shared" si="43"/>
        <v>-69.439300000000003</v>
      </c>
      <c r="AA256">
        <f>COUNTIF($G$2:G257,G256)</f>
        <v>20</v>
      </c>
      <c r="AB256" s="21">
        <f t="shared" si="44"/>
        <v>44988</v>
      </c>
      <c r="AC256" s="21">
        <f t="shared" si="45"/>
        <v>45016</v>
      </c>
      <c r="AD256" s="5">
        <f>(Table1[[#This Row],[OrderDate]]-Table1[[#This Row],[Date of first order]])/30</f>
        <v>11.6</v>
      </c>
      <c r="AE256" t="str">
        <f t="shared" si="46"/>
        <v>Good</v>
      </c>
      <c r="AF256">
        <f>COUNTIF(AE$2:AE257,AE256)</f>
        <v>77</v>
      </c>
      <c r="AG256" t="str">
        <f t="shared" si="47"/>
        <v>True</v>
      </c>
      <c r="AH256" s="7">
        <f>Table1[[#This Row],[UnitPrice]]*(1-Table1[[#This Row],[Disc Scenario]])*Table1[[#This Row],[Quantity]]</f>
        <v>1464.5250000000001</v>
      </c>
      <c r="AI256">
        <f>ROUNDDOWN((Table1[[#This Row],[Quantity]]*(1+20%)),0)</f>
        <v>27</v>
      </c>
      <c r="AJ256" s="7">
        <f>Table1[[#This Row],[Quantity increase by 20%]]*Table1[[#This Row],[UnitPrice]]</f>
        <v>2292.3000000000002</v>
      </c>
      <c r="AK256">
        <f>ROUNDDOWN(Table1[[#This Row],[Quantity]]*(1+20%),0)</f>
        <v>27</v>
      </c>
      <c r="AL256" s="7">
        <f>Table1[[#This Row],[UnitCost]]*(1+15%)</f>
        <v>75.819500000000005</v>
      </c>
      <c r="AM256" s="9">
        <f>Table1[[#This Row],[Quantity]]*Table1[[#This Row],[Cost of unit by inflation 15%]]</f>
        <v>1743.8485000000001</v>
      </c>
      <c r="AN256" s="21" cm="1">
        <f t="array" ref="AN256">_xlfn.UNIQUE(AC256)</f>
        <v>45016</v>
      </c>
    </row>
    <row r="257" spans="1:40" x14ac:dyDescent="0.35">
      <c r="A257" t="s">
        <v>259</v>
      </c>
      <c r="B257" s="21">
        <v>45338</v>
      </c>
      <c r="C257" s="10">
        <v>45355</v>
      </c>
      <c r="D257" s="3">
        <f t="shared" si="36"/>
        <v>17</v>
      </c>
      <c r="E257" s="10" t="str">
        <f t="shared" si="37"/>
        <v>Q1-2024</v>
      </c>
      <c r="F257" t="s">
        <v>647</v>
      </c>
      <c r="G257" t="s">
        <v>652</v>
      </c>
      <c r="H257" t="s">
        <v>680</v>
      </c>
      <c r="I257" t="s">
        <v>702</v>
      </c>
      <c r="J257" t="s">
        <v>706</v>
      </c>
      <c r="K257" t="s">
        <v>725</v>
      </c>
      <c r="L257" t="s">
        <v>730</v>
      </c>
      <c r="M257" t="s">
        <v>977</v>
      </c>
      <c r="N257" s="3">
        <v>1350.98</v>
      </c>
      <c r="O257" s="3">
        <v>2210.4</v>
      </c>
      <c r="P257" s="6">
        <v>0.26300000000000001</v>
      </c>
      <c r="Q257" s="6">
        <f>IF(Table1[[#This Row],[DiscountPct]]&gt;25%,25%,Table1[[#This Row],[DiscountPct]])</f>
        <v>0.25</v>
      </c>
      <c r="R257" s="5">
        <v>6</v>
      </c>
      <c r="S257" s="6">
        <f t="shared" si="38"/>
        <v>0.63614561281440141</v>
      </c>
      <c r="T257" s="8">
        <f t="shared" si="39"/>
        <v>9774.3888000000006</v>
      </c>
      <c r="U257" s="8">
        <f t="shared" si="40"/>
        <v>8105.88</v>
      </c>
      <c r="V257" s="9">
        <f t="shared" si="41"/>
        <v>1668.5088000000005</v>
      </c>
      <c r="W257" s="6">
        <f t="shared" si="42"/>
        <v>0.17070211080615091</v>
      </c>
      <c r="X257" t="str" cm="1">
        <f t="array" ref="X257">_xlfn.IFS(S257&lt;=25%, "Low", S257&lt;=75%, "Medium", S257&gt;75%, "High")</f>
        <v>Medium</v>
      </c>
      <c r="Y257" s="8">
        <f>Table1[[#This Row],[Quantity]]*(Table1[[#This Row],[UnitPrice]]*(1-Table1[[#This Row],[DiscountPct]]))</f>
        <v>9774.3888000000006</v>
      </c>
      <c r="Z257" s="9">
        <f t="shared" si="43"/>
        <v>1668.5088000000005</v>
      </c>
      <c r="AA257">
        <f>COUNTIF($G$2:G258,G257)</f>
        <v>18</v>
      </c>
      <c r="AB257" s="21">
        <f t="shared" si="44"/>
        <v>44988</v>
      </c>
      <c r="AC257" s="21">
        <f t="shared" si="45"/>
        <v>45016</v>
      </c>
      <c r="AD257" s="5">
        <f>(Table1[[#This Row],[OrderDate]]-Table1[[#This Row],[Date of first order]])/30</f>
        <v>11.666666666666666</v>
      </c>
      <c r="AE257" t="str">
        <f t="shared" si="46"/>
        <v>Poor</v>
      </c>
      <c r="AF257">
        <f>COUNTIF(AE$2:AE258,AE257)</f>
        <v>180</v>
      </c>
      <c r="AG257" t="str">
        <f t="shared" si="47"/>
        <v>True</v>
      </c>
      <c r="AH257" s="7">
        <f>Table1[[#This Row],[UnitPrice]]*(1-Table1[[#This Row],[Disc Scenario]])*Table1[[#This Row],[Quantity]]</f>
        <v>9946.8000000000011</v>
      </c>
      <c r="AI257">
        <f>ROUNDDOWN((Table1[[#This Row],[Quantity]]*(1+20%)),0)</f>
        <v>7</v>
      </c>
      <c r="AJ257" s="7">
        <f>Table1[[#This Row],[Quantity increase by 20%]]*Table1[[#This Row],[UnitPrice]]</f>
        <v>15472.800000000001</v>
      </c>
      <c r="AK257">
        <f>ROUNDDOWN(Table1[[#This Row],[Quantity]]*(1+20%),0)</f>
        <v>7</v>
      </c>
      <c r="AL257" s="7">
        <f>Table1[[#This Row],[UnitCost]]*(1+15%)</f>
        <v>1553.627</v>
      </c>
      <c r="AM257" s="9">
        <f>Table1[[#This Row],[Quantity]]*Table1[[#This Row],[Cost of unit by inflation 15%]]</f>
        <v>9321.7619999999988</v>
      </c>
      <c r="AN257" s="21" cm="1">
        <f t="array" ref="AN257">_xlfn.UNIQUE(AC257)</f>
        <v>45016</v>
      </c>
    </row>
    <row r="258" spans="1:40" x14ac:dyDescent="0.35">
      <c r="A258" t="s">
        <v>356</v>
      </c>
      <c r="B258" s="21">
        <v>45339</v>
      </c>
      <c r="C258" s="10">
        <v>45355</v>
      </c>
      <c r="D258" s="3">
        <f t="shared" ref="D258:D321" si="48">DATEDIF(B258,C258,"d")</f>
        <v>16</v>
      </c>
      <c r="E258" s="10" t="str">
        <f t="shared" ref="E258:E321" si="49">"Q"&amp;ROUNDUP(MONTH(B258)/3,0)&amp; "-" &amp;YEAR(B258)</f>
        <v>Q1-2024</v>
      </c>
      <c r="F258" t="s">
        <v>646</v>
      </c>
      <c r="G258" t="s">
        <v>653</v>
      </c>
      <c r="H258" t="s">
        <v>679</v>
      </c>
      <c r="I258" t="s">
        <v>704</v>
      </c>
      <c r="J258" t="s">
        <v>708</v>
      </c>
      <c r="K258" t="s">
        <v>720</v>
      </c>
      <c r="L258" t="s">
        <v>729</v>
      </c>
      <c r="M258" t="s">
        <v>1074</v>
      </c>
      <c r="N258" s="3">
        <v>1231.8</v>
      </c>
      <c r="O258" s="3">
        <v>2015.99</v>
      </c>
      <c r="P258" s="6">
        <v>0.26100000000000001</v>
      </c>
      <c r="Q258" s="6">
        <f>IF(Table1[[#This Row],[DiscountPct]]&gt;25%,25%,Table1[[#This Row],[DiscountPct]])</f>
        <v>0.25</v>
      </c>
      <c r="R258" s="5">
        <v>6</v>
      </c>
      <c r="S258" s="6">
        <f t="shared" ref="S258:S321" si="50">(O258-N258)/N258</f>
        <v>0.63662120474102946</v>
      </c>
      <c r="T258" s="8">
        <f t="shared" ref="T258:T321" si="51">O258*R258*(1-P258)</f>
        <v>8938.8996600000009</v>
      </c>
      <c r="U258" s="8">
        <f t="shared" ref="U258:U321" si="52">N258*R258</f>
        <v>7390.7999999999993</v>
      </c>
      <c r="V258" s="9">
        <f t="shared" ref="V258:V321" si="53">T258-U258</f>
        <v>1548.0996600000017</v>
      </c>
      <c r="W258" s="6">
        <f t="shared" ref="W258:W321" si="54">V258/T258</f>
        <v>0.17318682599464391</v>
      </c>
      <c r="X258" t="str" cm="1">
        <f t="array" ref="X258">_xlfn.IFS(S258&lt;=25%, "Low", S258&lt;=75%, "Medium", S258&gt;75%, "High")</f>
        <v>Medium</v>
      </c>
      <c r="Y258" s="8">
        <f>Table1[[#This Row],[Quantity]]*(Table1[[#This Row],[UnitPrice]]*(1-Table1[[#This Row],[DiscountPct]]))</f>
        <v>8938.8996600000009</v>
      </c>
      <c r="Z258" s="9">
        <f t="shared" ref="Z258:Z321" si="55">Y258-(N258*R258)</f>
        <v>1548.0996600000017</v>
      </c>
      <c r="AA258">
        <f>COUNTIF($G$2:G259,G258)</f>
        <v>28</v>
      </c>
      <c r="AB258" s="21">
        <f t="shared" ref="AB258:AB321" si="56">IF(AA258=1,B258,AB257)</f>
        <v>44988</v>
      </c>
      <c r="AC258" s="21">
        <f t="shared" ref="AC258:AC321" si="57">EOMONTH(AB258,0)</f>
        <v>45016</v>
      </c>
      <c r="AD258" s="5">
        <f>(Table1[[#This Row],[OrderDate]]-Table1[[#This Row],[Date of first order]])/30</f>
        <v>11.7</v>
      </c>
      <c r="AE258" t="str">
        <f t="shared" ref="AE258:AE321" si="58">IF(D258&lt;=7,"Good","Poor")</f>
        <v>Poor</v>
      </c>
      <c r="AF258">
        <f>COUNTIF(AE$2:AE259,AE258)</f>
        <v>181</v>
      </c>
      <c r="AG258" t="str">
        <f t="shared" ref="AG258:AG321" si="59">IF(P258&gt;20%,"True","False")</f>
        <v>True</v>
      </c>
      <c r="AH258" s="7">
        <f>Table1[[#This Row],[UnitPrice]]*(1-Table1[[#This Row],[Disc Scenario]])*Table1[[#This Row],[Quantity]]</f>
        <v>9071.9549999999999</v>
      </c>
      <c r="AI258">
        <f>ROUNDDOWN((Table1[[#This Row],[Quantity]]*(1+20%)),0)</f>
        <v>7</v>
      </c>
      <c r="AJ258" s="7">
        <f>Table1[[#This Row],[Quantity increase by 20%]]*Table1[[#This Row],[UnitPrice]]</f>
        <v>14111.93</v>
      </c>
      <c r="AK258">
        <f>ROUNDDOWN(Table1[[#This Row],[Quantity]]*(1+20%),0)</f>
        <v>7</v>
      </c>
      <c r="AL258" s="7">
        <f>Table1[[#This Row],[UnitCost]]*(1+15%)</f>
        <v>1416.57</v>
      </c>
      <c r="AM258" s="9">
        <f>Table1[[#This Row],[Quantity]]*Table1[[#This Row],[Cost of unit by inflation 15%]]</f>
        <v>8499.42</v>
      </c>
      <c r="AN258" s="21" cm="1">
        <f t="array" ref="AN258">_xlfn.UNIQUE(AC258)</f>
        <v>45016</v>
      </c>
    </row>
    <row r="259" spans="1:40" x14ac:dyDescent="0.35">
      <c r="A259" t="s">
        <v>350</v>
      </c>
      <c r="B259" s="21">
        <v>45340</v>
      </c>
      <c r="C259" s="10">
        <v>45354</v>
      </c>
      <c r="D259" s="3">
        <f t="shared" si="48"/>
        <v>14</v>
      </c>
      <c r="E259" s="10" t="str">
        <f t="shared" si="49"/>
        <v>Q1-2024</v>
      </c>
      <c r="F259" t="s">
        <v>647</v>
      </c>
      <c r="G259" t="s">
        <v>654</v>
      </c>
      <c r="H259" t="s">
        <v>691</v>
      </c>
      <c r="I259" t="s">
        <v>705</v>
      </c>
      <c r="J259" t="s">
        <v>709</v>
      </c>
      <c r="K259" t="s">
        <v>719</v>
      </c>
      <c r="L259" t="s">
        <v>727</v>
      </c>
      <c r="M259" t="s">
        <v>1068</v>
      </c>
      <c r="N259" s="3">
        <v>624.23</v>
      </c>
      <c r="O259" s="3">
        <v>1318.37</v>
      </c>
      <c r="P259" s="6">
        <v>0.21</v>
      </c>
      <c r="Q259" s="6">
        <f>IF(Table1[[#This Row],[DiscountPct]]&gt;25%,25%,Table1[[#This Row],[DiscountPct]])</f>
        <v>0.21</v>
      </c>
      <c r="R259" s="5">
        <v>37</v>
      </c>
      <c r="S259" s="6">
        <f t="shared" si="50"/>
        <v>1.1119939765791453</v>
      </c>
      <c r="T259" s="8">
        <f t="shared" si="51"/>
        <v>38535.955099999999</v>
      </c>
      <c r="U259" s="8">
        <f t="shared" si="52"/>
        <v>23096.510000000002</v>
      </c>
      <c r="V259" s="9">
        <f t="shared" si="53"/>
        <v>15439.445099999997</v>
      </c>
      <c r="W259" s="6">
        <f t="shared" si="54"/>
        <v>0.40065038118128793</v>
      </c>
      <c r="X259" t="str" cm="1">
        <f t="array" ref="X259">_xlfn.IFS(S259&lt;=25%, "Low", S259&lt;=75%, "Medium", S259&gt;75%, "High")</f>
        <v>High</v>
      </c>
      <c r="Y259" s="8">
        <f>Table1[[#This Row],[Quantity]]*(Table1[[#This Row],[UnitPrice]]*(1-Table1[[#This Row],[DiscountPct]]))</f>
        <v>38535.955099999992</v>
      </c>
      <c r="Z259" s="9">
        <f t="shared" si="55"/>
        <v>15439.44509999999</v>
      </c>
      <c r="AA259">
        <f>COUNTIF($G$2:G260,G259)</f>
        <v>25</v>
      </c>
      <c r="AB259" s="21">
        <f t="shared" si="56"/>
        <v>44988</v>
      </c>
      <c r="AC259" s="21">
        <f t="shared" si="57"/>
        <v>45016</v>
      </c>
      <c r="AD259" s="5">
        <f>(Table1[[#This Row],[OrderDate]]-Table1[[#This Row],[Date of first order]])/30</f>
        <v>11.733333333333333</v>
      </c>
      <c r="AE259" t="str">
        <f t="shared" si="58"/>
        <v>Poor</v>
      </c>
      <c r="AF259">
        <f>COUNTIF(AE$2:AE260,AE259)</f>
        <v>182</v>
      </c>
      <c r="AG259" t="str">
        <f t="shared" si="59"/>
        <v>True</v>
      </c>
      <c r="AH259" s="7">
        <f>Table1[[#This Row],[UnitPrice]]*(1-Table1[[#This Row],[Disc Scenario]])*Table1[[#This Row],[Quantity]]</f>
        <v>38535.955099999992</v>
      </c>
      <c r="AI259">
        <f>ROUNDDOWN((Table1[[#This Row],[Quantity]]*(1+20%)),0)</f>
        <v>44</v>
      </c>
      <c r="AJ259" s="7">
        <f>Table1[[#This Row],[Quantity increase by 20%]]*Table1[[#This Row],[UnitPrice]]</f>
        <v>58008.28</v>
      </c>
      <c r="AK259">
        <f>ROUNDDOWN(Table1[[#This Row],[Quantity]]*(1+20%),0)</f>
        <v>44</v>
      </c>
      <c r="AL259" s="7">
        <f>Table1[[#This Row],[UnitCost]]*(1+15%)</f>
        <v>717.86450000000002</v>
      </c>
      <c r="AM259" s="9">
        <f>Table1[[#This Row],[Quantity]]*Table1[[#This Row],[Cost of unit by inflation 15%]]</f>
        <v>26560.986499999999</v>
      </c>
      <c r="AN259" s="21" cm="1">
        <f t="array" ref="AN259">_xlfn.UNIQUE(AC259)</f>
        <v>45016</v>
      </c>
    </row>
    <row r="260" spans="1:40" x14ac:dyDescent="0.35">
      <c r="A260" t="s">
        <v>167</v>
      </c>
      <c r="B260" s="21">
        <v>45340</v>
      </c>
      <c r="C260" s="10">
        <v>45355</v>
      </c>
      <c r="D260" s="3">
        <f t="shared" si="48"/>
        <v>15</v>
      </c>
      <c r="E260" s="10" t="str">
        <f t="shared" si="49"/>
        <v>Q1-2024</v>
      </c>
      <c r="F260" t="s">
        <v>645</v>
      </c>
      <c r="G260" t="s">
        <v>649</v>
      </c>
      <c r="H260" t="s">
        <v>661</v>
      </c>
      <c r="I260" t="s">
        <v>701</v>
      </c>
      <c r="J260" t="s">
        <v>710</v>
      </c>
      <c r="K260" t="s">
        <v>722</v>
      </c>
      <c r="L260" t="s">
        <v>727</v>
      </c>
      <c r="M260" t="s">
        <v>885</v>
      </c>
      <c r="N260" s="3">
        <v>928.68</v>
      </c>
      <c r="O260" s="3">
        <v>2145.17</v>
      </c>
      <c r="P260" s="6">
        <v>0.13600000000000001</v>
      </c>
      <c r="Q260" s="6">
        <f>IF(Table1[[#This Row],[DiscountPct]]&gt;25%,25%,Table1[[#This Row],[DiscountPct]])</f>
        <v>0.13600000000000001</v>
      </c>
      <c r="R260" s="5">
        <v>16</v>
      </c>
      <c r="S260" s="6">
        <f t="shared" si="50"/>
        <v>1.3099129947883019</v>
      </c>
      <c r="T260" s="8">
        <f t="shared" si="51"/>
        <v>29654.83008</v>
      </c>
      <c r="U260" s="8">
        <f t="shared" si="52"/>
        <v>14858.88</v>
      </c>
      <c r="V260" s="9">
        <f t="shared" si="53"/>
        <v>14795.950080000001</v>
      </c>
      <c r="W260" s="6">
        <f t="shared" si="54"/>
        <v>0.49893896003062177</v>
      </c>
      <c r="X260" t="str" cm="1">
        <f t="array" ref="X260">_xlfn.IFS(S260&lt;=25%, "Low", S260&lt;=75%, "Medium", S260&gt;75%, "High")</f>
        <v>High</v>
      </c>
      <c r="Y260" s="8">
        <f>Table1[[#This Row],[Quantity]]*(Table1[[#This Row],[UnitPrice]]*(1-Table1[[#This Row],[DiscountPct]]))</f>
        <v>29654.83008</v>
      </c>
      <c r="Z260" s="9">
        <f t="shared" si="55"/>
        <v>14795.950080000001</v>
      </c>
      <c r="AA260">
        <f>COUNTIF($G$2:G261,G260)</f>
        <v>23</v>
      </c>
      <c r="AB260" s="21">
        <f t="shared" si="56"/>
        <v>44988</v>
      </c>
      <c r="AC260" s="21">
        <f t="shared" si="57"/>
        <v>45016</v>
      </c>
      <c r="AD260" s="5">
        <f>(Table1[[#This Row],[OrderDate]]-Table1[[#This Row],[Date of first order]])/30</f>
        <v>11.733333333333333</v>
      </c>
      <c r="AE260" t="str">
        <f t="shared" si="58"/>
        <v>Poor</v>
      </c>
      <c r="AF260">
        <f>COUNTIF(AE$2:AE261,AE260)</f>
        <v>183</v>
      </c>
      <c r="AG260" t="str">
        <f t="shared" si="59"/>
        <v>False</v>
      </c>
      <c r="AH260" s="7">
        <f>Table1[[#This Row],[UnitPrice]]*(1-Table1[[#This Row],[Disc Scenario]])*Table1[[#This Row],[Quantity]]</f>
        <v>29654.83008</v>
      </c>
      <c r="AI260">
        <f>ROUNDDOWN((Table1[[#This Row],[Quantity]]*(1+20%)),0)</f>
        <v>19</v>
      </c>
      <c r="AJ260" s="7">
        <f>Table1[[#This Row],[Quantity increase by 20%]]*Table1[[#This Row],[UnitPrice]]</f>
        <v>40758.230000000003</v>
      </c>
      <c r="AK260">
        <f>ROUNDDOWN(Table1[[#This Row],[Quantity]]*(1+20%),0)</f>
        <v>19</v>
      </c>
      <c r="AL260" s="7">
        <f>Table1[[#This Row],[UnitCost]]*(1+15%)</f>
        <v>1067.982</v>
      </c>
      <c r="AM260" s="9">
        <f>Table1[[#This Row],[Quantity]]*Table1[[#This Row],[Cost of unit by inflation 15%]]</f>
        <v>17087.712</v>
      </c>
      <c r="AN260" s="21" cm="1">
        <f t="array" ref="AN260">_xlfn.UNIQUE(AC260)</f>
        <v>45016</v>
      </c>
    </row>
    <row r="261" spans="1:40" x14ac:dyDescent="0.35">
      <c r="A261" t="s">
        <v>336</v>
      </c>
      <c r="B261" s="21">
        <v>45340</v>
      </c>
      <c r="C261" s="10">
        <v>45362</v>
      </c>
      <c r="D261" s="3">
        <f t="shared" si="48"/>
        <v>22</v>
      </c>
      <c r="E261" s="10" t="str">
        <f t="shared" si="49"/>
        <v>Q1-2024</v>
      </c>
      <c r="F261" t="s">
        <v>647</v>
      </c>
      <c r="G261" t="s">
        <v>654</v>
      </c>
      <c r="H261" t="s">
        <v>669</v>
      </c>
      <c r="I261" t="s">
        <v>703</v>
      </c>
      <c r="J261" t="s">
        <v>707</v>
      </c>
      <c r="K261" t="s">
        <v>719</v>
      </c>
      <c r="L261" t="s">
        <v>726</v>
      </c>
      <c r="M261" t="s">
        <v>1054</v>
      </c>
      <c r="N261" s="3">
        <v>80.48</v>
      </c>
      <c r="O261" s="3">
        <v>168.20320000000001</v>
      </c>
      <c r="P261" s="6">
        <v>0.17599999999999999</v>
      </c>
      <c r="Q261" s="6">
        <f>IF(Table1[[#This Row],[DiscountPct]]&gt;25%,25%,Table1[[#This Row],[DiscountPct]])</f>
        <v>0.17599999999999999</v>
      </c>
      <c r="R261" s="5">
        <v>13</v>
      </c>
      <c r="S261" s="6">
        <f t="shared" si="50"/>
        <v>1.0900000000000001</v>
      </c>
      <c r="T261" s="8">
        <f t="shared" si="51"/>
        <v>1801.7926784000001</v>
      </c>
      <c r="U261" s="8">
        <f t="shared" si="52"/>
        <v>1046.24</v>
      </c>
      <c r="V261" s="9">
        <f t="shared" si="53"/>
        <v>755.5526784000001</v>
      </c>
      <c r="W261" s="6">
        <f t="shared" si="54"/>
        <v>0.41933385980396715</v>
      </c>
      <c r="X261" t="str" cm="1">
        <f t="array" ref="X261">_xlfn.IFS(S261&lt;=25%, "Low", S261&lt;=75%, "Medium", S261&gt;75%, "High")</f>
        <v>High</v>
      </c>
      <c r="Y261" s="8">
        <f>Table1[[#This Row],[Quantity]]*(Table1[[#This Row],[UnitPrice]]*(1-Table1[[#This Row],[DiscountPct]]))</f>
        <v>1801.7926784000001</v>
      </c>
      <c r="Z261" s="9">
        <f t="shared" si="55"/>
        <v>755.5526784000001</v>
      </c>
      <c r="AA261">
        <f>COUNTIF($G$2:G262,G261)</f>
        <v>26</v>
      </c>
      <c r="AB261" s="21">
        <f t="shared" si="56"/>
        <v>44988</v>
      </c>
      <c r="AC261" s="21">
        <f t="shared" si="57"/>
        <v>45016</v>
      </c>
      <c r="AD261" s="5">
        <f>(Table1[[#This Row],[OrderDate]]-Table1[[#This Row],[Date of first order]])/30</f>
        <v>11.733333333333333</v>
      </c>
      <c r="AE261" t="str">
        <f t="shared" si="58"/>
        <v>Poor</v>
      </c>
      <c r="AF261">
        <f>COUNTIF(AE$2:AE262,AE261)</f>
        <v>184</v>
      </c>
      <c r="AG261" t="str">
        <f t="shared" si="59"/>
        <v>False</v>
      </c>
      <c r="AH261" s="7">
        <f>Table1[[#This Row],[UnitPrice]]*(1-Table1[[#This Row],[Disc Scenario]])*Table1[[#This Row],[Quantity]]</f>
        <v>1801.7926784000001</v>
      </c>
      <c r="AI261">
        <f>ROUNDDOWN((Table1[[#This Row],[Quantity]]*(1+20%)),0)</f>
        <v>15</v>
      </c>
      <c r="AJ261" s="7">
        <f>Table1[[#This Row],[Quantity increase by 20%]]*Table1[[#This Row],[UnitPrice]]</f>
        <v>2523.0480000000002</v>
      </c>
      <c r="AK261">
        <f>ROUNDDOWN(Table1[[#This Row],[Quantity]]*(1+20%),0)</f>
        <v>15</v>
      </c>
      <c r="AL261" s="7">
        <f>Table1[[#This Row],[UnitCost]]*(1+15%)</f>
        <v>92.551999999999992</v>
      </c>
      <c r="AM261" s="9">
        <f>Table1[[#This Row],[Quantity]]*Table1[[#This Row],[Cost of unit by inflation 15%]]</f>
        <v>1203.1759999999999</v>
      </c>
      <c r="AN261" s="21" cm="1">
        <f t="array" ref="AN261">_xlfn.UNIQUE(AC261)</f>
        <v>45016</v>
      </c>
    </row>
    <row r="262" spans="1:40" x14ac:dyDescent="0.35">
      <c r="A262" t="s">
        <v>437</v>
      </c>
      <c r="B262" s="21">
        <v>45341</v>
      </c>
      <c r="C262" s="10">
        <v>45357</v>
      </c>
      <c r="D262" s="3">
        <f t="shared" si="48"/>
        <v>16</v>
      </c>
      <c r="E262" s="10" t="str">
        <f t="shared" si="49"/>
        <v>Q1-2024</v>
      </c>
      <c r="F262" t="s">
        <v>646</v>
      </c>
      <c r="G262" t="s">
        <v>658</v>
      </c>
      <c r="H262" t="s">
        <v>698</v>
      </c>
      <c r="I262" t="s">
        <v>701</v>
      </c>
      <c r="J262" t="s">
        <v>708</v>
      </c>
      <c r="K262" t="s">
        <v>718</v>
      </c>
      <c r="L262" t="s">
        <v>727</v>
      </c>
      <c r="M262" t="s">
        <v>1154</v>
      </c>
      <c r="N262" s="3">
        <v>1477.84</v>
      </c>
      <c r="O262" s="3">
        <v>3197.47</v>
      </c>
      <c r="P262" s="6">
        <v>0.24299999999999999</v>
      </c>
      <c r="Q262" s="6">
        <f>IF(Table1[[#This Row],[DiscountPct]]&gt;25%,25%,Table1[[#This Row],[DiscountPct]])</f>
        <v>0.24299999999999999</v>
      </c>
      <c r="R262" s="5">
        <v>24</v>
      </c>
      <c r="S262" s="6">
        <f t="shared" si="50"/>
        <v>1.1636104043739512</v>
      </c>
      <c r="T262" s="8">
        <f t="shared" si="51"/>
        <v>58091.634960000003</v>
      </c>
      <c r="U262" s="8">
        <f t="shared" si="52"/>
        <v>35468.159999999996</v>
      </c>
      <c r="V262" s="9">
        <f t="shared" si="53"/>
        <v>22623.474960000007</v>
      </c>
      <c r="W262" s="6">
        <f t="shared" si="54"/>
        <v>0.38944462443823091</v>
      </c>
      <c r="X262" t="str" cm="1">
        <f t="array" ref="X262">_xlfn.IFS(S262&lt;=25%, "Low", S262&lt;=75%, "Medium", S262&gt;75%, "High")</f>
        <v>High</v>
      </c>
      <c r="Y262" s="8">
        <f>Table1[[#This Row],[Quantity]]*(Table1[[#This Row],[UnitPrice]]*(1-Table1[[#This Row],[DiscountPct]]))</f>
        <v>58091.634959999996</v>
      </c>
      <c r="Z262" s="9">
        <f t="shared" si="55"/>
        <v>22623.47496</v>
      </c>
      <c r="AA262">
        <f>COUNTIF($G$2:G263,G262)</f>
        <v>21</v>
      </c>
      <c r="AB262" s="21">
        <f t="shared" si="56"/>
        <v>44988</v>
      </c>
      <c r="AC262" s="21">
        <f t="shared" si="57"/>
        <v>45016</v>
      </c>
      <c r="AD262" s="5">
        <f>(Table1[[#This Row],[OrderDate]]-Table1[[#This Row],[Date of first order]])/30</f>
        <v>11.766666666666667</v>
      </c>
      <c r="AE262" t="str">
        <f t="shared" si="58"/>
        <v>Poor</v>
      </c>
      <c r="AF262">
        <f>COUNTIF(AE$2:AE263,AE262)</f>
        <v>184</v>
      </c>
      <c r="AG262" t="str">
        <f t="shared" si="59"/>
        <v>True</v>
      </c>
      <c r="AH262" s="7">
        <f>Table1[[#This Row],[UnitPrice]]*(1-Table1[[#This Row],[Disc Scenario]])*Table1[[#This Row],[Quantity]]</f>
        <v>58091.634959999996</v>
      </c>
      <c r="AI262">
        <f>ROUNDDOWN((Table1[[#This Row],[Quantity]]*(1+20%)),0)</f>
        <v>28</v>
      </c>
      <c r="AJ262" s="7">
        <f>Table1[[#This Row],[Quantity increase by 20%]]*Table1[[#This Row],[UnitPrice]]</f>
        <v>89529.159999999989</v>
      </c>
      <c r="AK262">
        <f>ROUNDDOWN(Table1[[#This Row],[Quantity]]*(1+20%),0)</f>
        <v>28</v>
      </c>
      <c r="AL262" s="7">
        <f>Table1[[#This Row],[UnitCost]]*(1+15%)</f>
        <v>1699.5159999999998</v>
      </c>
      <c r="AM262" s="9">
        <f>Table1[[#This Row],[Quantity]]*Table1[[#This Row],[Cost of unit by inflation 15%]]</f>
        <v>40788.383999999998</v>
      </c>
      <c r="AN262" s="21" cm="1">
        <f t="array" ref="AN262">_xlfn.UNIQUE(AC262)</f>
        <v>45016</v>
      </c>
    </row>
    <row r="263" spans="1:40" x14ac:dyDescent="0.35">
      <c r="A263" t="s">
        <v>582</v>
      </c>
      <c r="B263" s="21">
        <v>45342</v>
      </c>
      <c r="C263" s="10">
        <v>45342</v>
      </c>
      <c r="D263" s="3">
        <f t="shared" si="48"/>
        <v>0</v>
      </c>
      <c r="E263" s="10" t="str">
        <f t="shared" si="49"/>
        <v>Q1-2024</v>
      </c>
      <c r="F263" t="s">
        <v>647</v>
      </c>
      <c r="G263" t="s">
        <v>659</v>
      </c>
      <c r="H263" t="s">
        <v>699</v>
      </c>
      <c r="I263" t="s">
        <v>705</v>
      </c>
      <c r="J263" t="s">
        <v>707</v>
      </c>
      <c r="K263" t="s">
        <v>711</v>
      </c>
      <c r="L263" t="s">
        <v>728</v>
      </c>
      <c r="M263" t="s">
        <v>1298</v>
      </c>
      <c r="N263" s="3">
        <v>1407.05</v>
      </c>
      <c r="O263" s="3">
        <v>2858.93</v>
      </c>
      <c r="P263" s="6">
        <v>0</v>
      </c>
      <c r="Q263" s="6">
        <f>IF(Table1[[#This Row],[DiscountPct]]&gt;25%,25%,Table1[[#This Row],[DiscountPct]])</f>
        <v>0</v>
      </c>
      <c r="R263" s="5">
        <v>12</v>
      </c>
      <c r="S263" s="6">
        <f t="shared" si="50"/>
        <v>1.0318609857503287</v>
      </c>
      <c r="T263" s="8">
        <f t="shared" si="51"/>
        <v>34307.159999999996</v>
      </c>
      <c r="U263" s="8">
        <f t="shared" si="52"/>
        <v>16884.599999999999</v>
      </c>
      <c r="V263" s="9">
        <f t="shared" si="53"/>
        <v>17422.559999999998</v>
      </c>
      <c r="W263" s="6">
        <f t="shared" si="54"/>
        <v>0.50784034586366222</v>
      </c>
      <c r="X263" t="str" cm="1">
        <f t="array" ref="X263">_xlfn.IFS(S263&lt;=25%, "Low", S263&lt;=75%, "Medium", S263&gt;75%, "High")</f>
        <v>High</v>
      </c>
      <c r="Y263" s="8">
        <f>Table1[[#This Row],[Quantity]]*(Table1[[#This Row],[UnitPrice]]*(1-Table1[[#This Row],[DiscountPct]]))</f>
        <v>34307.159999999996</v>
      </c>
      <c r="Z263" s="9">
        <f t="shared" si="55"/>
        <v>17422.559999999998</v>
      </c>
      <c r="AA263">
        <f>COUNTIF($G$2:G264,G263)</f>
        <v>23</v>
      </c>
      <c r="AB263" s="21">
        <f t="shared" si="56"/>
        <v>44988</v>
      </c>
      <c r="AC263" s="21">
        <f t="shared" si="57"/>
        <v>45016</v>
      </c>
      <c r="AD263" s="5">
        <f>(Table1[[#This Row],[OrderDate]]-Table1[[#This Row],[Date of first order]])/30</f>
        <v>11.8</v>
      </c>
      <c r="AE263" t="str">
        <f t="shared" si="58"/>
        <v>Good</v>
      </c>
      <c r="AF263">
        <f>COUNTIF(AE$2:AE264,AE263)</f>
        <v>78</v>
      </c>
      <c r="AG263" t="str">
        <f t="shared" si="59"/>
        <v>False</v>
      </c>
      <c r="AH263" s="7">
        <f>Table1[[#This Row],[UnitPrice]]*(1-Table1[[#This Row],[Disc Scenario]])*Table1[[#This Row],[Quantity]]</f>
        <v>34307.159999999996</v>
      </c>
      <c r="AI263">
        <f>ROUNDDOWN((Table1[[#This Row],[Quantity]]*(1+20%)),0)</f>
        <v>14</v>
      </c>
      <c r="AJ263" s="7">
        <f>Table1[[#This Row],[Quantity increase by 20%]]*Table1[[#This Row],[UnitPrice]]</f>
        <v>40025.019999999997</v>
      </c>
      <c r="AK263">
        <f>ROUNDDOWN(Table1[[#This Row],[Quantity]]*(1+20%),0)</f>
        <v>14</v>
      </c>
      <c r="AL263" s="7">
        <f>Table1[[#This Row],[UnitCost]]*(1+15%)</f>
        <v>1618.1074999999998</v>
      </c>
      <c r="AM263" s="9">
        <f>Table1[[#This Row],[Quantity]]*Table1[[#This Row],[Cost of unit by inflation 15%]]</f>
        <v>19417.289999999997</v>
      </c>
      <c r="AN263" s="21" cm="1">
        <f t="array" ref="AN263">_xlfn.UNIQUE(AC263)</f>
        <v>45016</v>
      </c>
    </row>
    <row r="264" spans="1:40" x14ac:dyDescent="0.35">
      <c r="A264" t="s">
        <v>441</v>
      </c>
      <c r="B264" s="21">
        <v>45347</v>
      </c>
      <c r="C264" s="10">
        <v>45360</v>
      </c>
      <c r="D264" s="3">
        <f t="shared" si="48"/>
        <v>13</v>
      </c>
      <c r="E264" s="10" t="str">
        <f t="shared" si="49"/>
        <v>Q1-2024</v>
      </c>
      <c r="F264" t="s">
        <v>648</v>
      </c>
      <c r="G264" t="s">
        <v>656</v>
      </c>
      <c r="H264" t="s">
        <v>672</v>
      </c>
      <c r="I264" t="s">
        <v>704</v>
      </c>
      <c r="J264" t="s">
        <v>709</v>
      </c>
      <c r="K264" t="s">
        <v>717</v>
      </c>
      <c r="L264" t="s">
        <v>731</v>
      </c>
      <c r="M264" t="s">
        <v>1158</v>
      </c>
      <c r="N264" s="3">
        <v>322.44</v>
      </c>
      <c r="O264" s="3">
        <v>395.61</v>
      </c>
      <c r="P264" s="6">
        <v>0</v>
      </c>
      <c r="Q264" s="6">
        <f>IF(Table1[[#This Row],[DiscountPct]]&gt;25%,25%,Table1[[#This Row],[DiscountPct]])</f>
        <v>0</v>
      </c>
      <c r="R264" s="5">
        <v>34</v>
      </c>
      <c r="S264" s="6">
        <f t="shared" si="50"/>
        <v>0.22692593970971348</v>
      </c>
      <c r="T264" s="8">
        <f t="shared" si="51"/>
        <v>13450.74</v>
      </c>
      <c r="U264" s="8">
        <f t="shared" si="52"/>
        <v>10962.96</v>
      </c>
      <c r="V264" s="9">
        <f t="shared" si="53"/>
        <v>2487.7800000000007</v>
      </c>
      <c r="W264" s="6">
        <f t="shared" si="54"/>
        <v>0.18495487980586947</v>
      </c>
      <c r="X264" t="str" cm="1">
        <f t="array" ref="X264">_xlfn.IFS(S264&lt;=25%, "Low", S264&lt;=75%, "Medium", S264&gt;75%, "High")</f>
        <v>Low</v>
      </c>
      <c r="Y264" s="8">
        <f>Table1[[#This Row],[Quantity]]*(Table1[[#This Row],[UnitPrice]]*(1-Table1[[#This Row],[DiscountPct]]))</f>
        <v>13450.74</v>
      </c>
      <c r="Z264" s="9">
        <f t="shared" si="55"/>
        <v>2487.7800000000007</v>
      </c>
      <c r="AA264">
        <f>COUNTIF($G$2:G265,G264)</f>
        <v>20</v>
      </c>
      <c r="AB264" s="21">
        <f t="shared" si="56"/>
        <v>44988</v>
      </c>
      <c r="AC264" s="21">
        <f t="shared" si="57"/>
        <v>45016</v>
      </c>
      <c r="AD264" s="5">
        <f>(Table1[[#This Row],[OrderDate]]-Table1[[#This Row],[Date of first order]])/30</f>
        <v>11.966666666666667</v>
      </c>
      <c r="AE264" t="str">
        <f t="shared" si="58"/>
        <v>Poor</v>
      </c>
      <c r="AF264">
        <f>COUNTIF(AE$2:AE265,AE264)</f>
        <v>186</v>
      </c>
      <c r="AG264" t="str">
        <f t="shared" si="59"/>
        <v>False</v>
      </c>
      <c r="AH264" s="7">
        <f>Table1[[#This Row],[UnitPrice]]*(1-Table1[[#This Row],[Disc Scenario]])*Table1[[#This Row],[Quantity]]</f>
        <v>13450.74</v>
      </c>
      <c r="AI264">
        <f>ROUNDDOWN((Table1[[#This Row],[Quantity]]*(1+20%)),0)</f>
        <v>40</v>
      </c>
      <c r="AJ264" s="7">
        <f>Table1[[#This Row],[Quantity increase by 20%]]*Table1[[#This Row],[UnitPrice]]</f>
        <v>15824.400000000001</v>
      </c>
      <c r="AK264">
        <f>ROUNDDOWN(Table1[[#This Row],[Quantity]]*(1+20%),0)</f>
        <v>40</v>
      </c>
      <c r="AL264" s="7">
        <f>Table1[[#This Row],[UnitCost]]*(1+15%)</f>
        <v>370.80599999999998</v>
      </c>
      <c r="AM264" s="9">
        <f>Table1[[#This Row],[Quantity]]*Table1[[#This Row],[Cost of unit by inflation 15%]]</f>
        <v>12607.403999999999</v>
      </c>
      <c r="AN264" s="21" cm="1">
        <f t="array" ref="AN264">_xlfn.UNIQUE(AC264)</f>
        <v>45016</v>
      </c>
    </row>
    <row r="265" spans="1:40" x14ac:dyDescent="0.35">
      <c r="A265" t="s">
        <v>438</v>
      </c>
      <c r="B265" s="21">
        <v>45349</v>
      </c>
      <c r="C265" s="10">
        <v>45377</v>
      </c>
      <c r="D265" s="3">
        <f t="shared" si="48"/>
        <v>28</v>
      </c>
      <c r="E265" s="10" t="str">
        <f t="shared" si="49"/>
        <v>Q1-2024</v>
      </c>
      <c r="F265" t="s">
        <v>646</v>
      </c>
      <c r="G265" t="s">
        <v>653</v>
      </c>
      <c r="H265" t="s">
        <v>690</v>
      </c>
      <c r="I265" t="s">
        <v>701</v>
      </c>
      <c r="J265" t="s">
        <v>708</v>
      </c>
      <c r="K265" t="s">
        <v>714</v>
      </c>
      <c r="L265" t="s">
        <v>730</v>
      </c>
      <c r="M265" t="s">
        <v>1155</v>
      </c>
      <c r="N265" s="3">
        <v>1035.19</v>
      </c>
      <c r="O265" s="3">
        <v>2322.6999999999998</v>
      </c>
      <c r="P265" s="6">
        <v>0.17299999999999999</v>
      </c>
      <c r="Q265" s="6">
        <f>IF(Table1[[#This Row],[DiscountPct]]&gt;25%,25%,Table1[[#This Row],[DiscountPct]])</f>
        <v>0.17299999999999999</v>
      </c>
      <c r="R265" s="5">
        <v>8</v>
      </c>
      <c r="S265" s="6">
        <f t="shared" si="50"/>
        <v>1.2437426945778067</v>
      </c>
      <c r="T265" s="8">
        <f t="shared" si="51"/>
        <v>15366.983199999999</v>
      </c>
      <c r="U265" s="8">
        <f t="shared" si="52"/>
        <v>8281.52</v>
      </c>
      <c r="V265" s="9">
        <f t="shared" si="53"/>
        <v>7085.4631999999983</v>
      </c>
      <c r="W265" s="6">
        <f t="shared" si="54"/>
        <v>0.46108355217047409</v>
      </c>
      <c r="X265" t="str" cm="1">
        <f t="array" ref="X265">_xlfn.IFS(S265&lt;=25%, "Low", S265&lt;=75%, "Medium", S265&gt;75%, "High")</f>
        <v>High</v>
      </c>
      <c r="Y265" s="8">
        <f>Table1[[#This Row],[Quantity]]*(Table1[[#This Row],[UnitPrice]]*(1-Table1[[#This Row],[DiscountPct]]))</f>
        <v>15366.983199999999</v>
      </c>
      <c r="Z265" s="9">
        <f t="shared" si="55"/>
        <v>7085.4631999999983</v>
      </c>
      <c r="AA265">
        <f>COUNTIF($G$2:G266,G265)</f>
        <v>29</v>
      </c>
      <c r="AB265" s="21">
        <f t="shared" si="56"/>
        <v>44988</v>
      </c>
      <c r="AC265" s="21">
        <f t="shared" si="57"/>
        <v>45016</v>
      </c>
      <c r="AD265" s="5">
        <f>(Table1[[#This Row],[OrderDate]]-Table1[[#This Row],[Date of first order]])/30</f>
        <v>12.033333333333333</v>
      </c>
      <c r="AE265" t="str">
        <f t="shared" si="58"/>
        <v>Poor</v>
      </c>
      <c r="AF265">
        <f>COUNTIF(AE$2:AE266,AE265)</f>
        <v>187</v>
      </c>
      <c r="AG265" t="str">
        <f t="shared" si="59"/>
        <v>False</v>
      </c>
      <c r="AH265" s="7">
        <f>Table1[[#This Row],[UnitPrice]]*(1-Table1[[#This Row],[Disc Scenario]])*Table1[[#This Row],[Quantity]]</f>
        <v>15366.983199999999</v>
      </c>
      <c r="AI265">
        <f>ROUNDDOWN((Table1[[#This Row],[Quantity]]*(1+20%)),0)</f>
        <v>9</v>
      </c>
      <c r="AJ265" s="7">
        <f>Table1[[#This Row],[Quantity increase by 20%]]*Table1[[#This Row],[UnitPrice]]</f>
        <v>20904.3</v>
      </c>
      <c r="AK265">
        <f>ROUNDDOWN(Table1[[#This Row],[Quantity]]*(1+20%),0)</f>
        <v>9</v>
      </c>
      <c r="AL265" s="7">
        <f>Table1[[#This Row],[UnitCost]]*(1+15%)</f>
        <v>1190.4684999999999</v>
      </c>
      <c r="AM265" s="9">
        <f>Table1[[#This Row],[Quantity]]*Table1[[#This Row],[Cost of unit by inflation 15%]]</f>
        <v>9523.7479999999996</v>
      </c>
      <c r="AN265" s="21" cm="1">
        <f t="array" ref="AN265">_xlfn.UNIQUE(AC265)</f>
        <v>45016</v>
      </c>
    </row>
    <row r="266" spans="1:40" x14ac:dyDescent="0.35">
      <c r="A266" t="s">
        <v>228</v>
      </c>
      <c r="B266" s="21">
        <v>45351</v>
      </c>
      <c r="C266" s="10">
        <v>45381</v>
      </c>
      <c r="D266" s="3">
        <f t="shared" si="48"/>
        <v>30</v>
      </c>
      <c r="E266" s="10" t="str">
        <f t="shared" si="49"/>
        <v>Q1-2024</v>
      </c>
      <c r="F266" t="s">
        <v>646</v>
      </c>
      <c r="G266" t="s">
        <v>651</v>
      </c>
      <c r="H266" t="s">
        <v>693</v>
      </c>
      <c r="I266" t="s">
        <v>704</v>
      </c>
      <c r="J266" t="s">
        <v>710</v>
      </c>
      <c r="K266" t="s">
        <v>713</v>
      </c>
      <c r="L266" t="s">
        <v>728</v>
      </c>
      <c r="M266" t="s">
        <v>946</v>
      </c>
      <c r="N266" s="3">
        <v>231.11</v>
      </c>
      <c r="O266" s="3">
        <v>318.17</v>
      </c>
      <c r="P266" s="6">
        <v>0.20100000000000001</v>
      </c>
      <c r="Q266" s="6">
        <f>IF(Table1[[#This Row],[DiscountPct]]&gt;25%,25%,Table1[[#This Row],[DiscountPct]])</f>
        <v>0.20100000000000001</v>
      </c>
      <c r="R266" s="5">
        <v>60</v>
      </c>
      <c r="S266" s="6">
        <f t="shared" si="50"/>
        <v>0.37670373415256803</v>
      </c>
      <c r="T266" s="8">
        <f t="shared" si="51"/>
        <v>15253.069799999999</v>
      </c>
      <c r="U266" s="8">
        <f t="shared" si="52"/>
        <v>13866.6</v>
      </c>
      <c r="V266" s="9">
        <f t="shared" si="53"/>
        <v>1386.4697999999989</v>
      </c>
      <c r="W266" s="6">
        <f t="shared" si="54"/>
        <v>9.0897754889969692E-2</v>
      </c>
      <c r="X266" t="str" cm="1">
        <f t="array" ref="X266">_xlfn.IFS(S266&lt;=25%, "Low", S266&lt;=75%, "Medium", S266&gt;75%, "High")</f>
        <v>Medium</v>
      </c>
      <c r="Y266" s="8">
        <f>Table1[[#This Row],[Quantity]]*(Table1[[#This Row],[UnitPrice]]*(1-Table1[[#This Row],[DiscountPct]]))</f>
        <v>15253.069799999999</v>
      </c>
      <c r="Z266" s="9">
        <f t="shared" si="55"/>
        <v>1386.4697999999989</v>
      </c>
      <c r="AA266">
        <f>COUNTIF($G$2:G267,G266)</f>
        <v>22</v>
      </c>
      <c r="AB266" s="21">
        <f t="shared" si="56"/>
        <v>44988</v>
      </c>
      <c r="AC266" s="21">
        <f t="shared" si="57"/>
        <v>45016</v>
      </c>
      <c r="AD266" s="5">
        <f>(Table1[[#This Row],[OrderDate]]-Table1[[#This Row],[Date of first order]])/30</f>
        <v>12.1</v>
      </c>
      <c r="AE266" t="str">
        <f t="shared" si="58"/>
        <v>Poor</v>
      </c>
      <c r="AF266">
        <f>COUNTIF(AE$2:AE267,AE266)</f>
        <v>187</v>
      </c>
      <c r="AG266" t="str">
        <f t="shared" si="59"/>
        <v>True</v>
      </c>
      <c r="AH266" s="7">
        <f>Table1[[#This Row],[UnitPrice]]*(1-Table1[[#This Row],[Disc Scenario]])*Table1[[#This Row],[Quantity]]</f>
        <v>15253.069799999999</v>
      </c>
      <c r="AI266">
        <f>ROUNDDOWN((Table1[[#This Row],[Quantity]]*(1+20%)),0)</f>
        <v>72</v>
      </c>
      <c r="AJ266" s="7">
        <f>Table1[[#This Row],[Quantity increase by 20%]]*Table1[[#This Row],[UnitPrice]]</f>
        <v>22908.240000000002</v>
      </c>
      <c r="AK266">
        <f>ROUNDDOWN(Table1[[#This Row],[Quantity]]*(1+20%),0)</f>
        <v>72</v>
      </c>
      <c r="AL266" s="7">
        <f>Table1[[#This Row],[UnitCost]]*(1+15%)</f>
        <v>265.7765</v>
      </c>
      <c r="AM266" s="9">
        <f>Table1[[#This Row],[Quantity]]*Table1[[#This Row],[Cost of unit by inflation 15%]]</f>
        <v>15946.59</v>
      </c>
      <c r="AN266" s="21" cm="1">
        <f t="array" ref="AN266">_xlfn.UNIQUE(AC266)</f>
        <v>45016</v>
      </c>
    </row>
    <row r="267" spans="1:40" x14ac:dyDescent="0.35">
      <c r="A267" t="s">
        <v>506</v>
      </c>
      <c r="B267" s="21">
        <v>45351</v>
      </c>
      <c r="C267" s="10">
        <v>45352</v>
      </c>
      <c r="D267" s="3">
        <f t="shared" si="48"/>
        <v>1</v>
      </c>
      <c r="E267" s="10" t="str">
        <f t="shared" si="49"/>
        <v>Q1-2024</v>
      </c>
      <c r="F267" t="s">
        <v>647</v>
      </c>
      <c r="G267" t="s">
        <v>654</v>
      </c>
      <c r="H267" t="s">
        <v>669</v>
      </c>
      <c r="I267" t="s">
        <v>702</v>
      </c>
      <c r="J267" t="s">
        <v>710</v>
      </c>
      <c r="K267" t="s">
        <v>713</v>
      </c>
      <c r="L267" t="s">
        <v>729</v>
      </c>
      <c r="M267" t="s">
        <v>1223</v>
      </c>
      <c r="N267" s="3">
        <v>5.34</v>
      </c>
      <c r="O267" s="3">
        <v>12.69</v>
      </c>
      <c r="P267" s="6">
        <v>0.13200000000000001</v>
      </c>
      <c r="Q267" s="6">
        <f>IF(Table1[[#This Row],[DiscountPct]]&gt;25%,25%,Table1[[#This Row],[DiscountPct]])</f>
        <v>0.13200000000000001</v>
      </c>
      <c r="R267" s="5">
        <v>10</v>
      </c>
      <c r="S267" s="6">
        <f t="shared" si="50"/>
        <v>1.3764044943820224</v>
      </c>
      <c r="T267" s="8">
        <f t="shared" si="51"/>
        <v>110.14919999999999</v>
      </c>
      <c r="U267" s="8">
        <f t="shared" si="52"/>
        <v>53.4</v>
      </c>
      <c r="V267" s="9">
        <f t="shared" si="53"/>
        <v>56.749199999999995</v>
      </c>
      <c r="W267" s="6">
        <f t="shared" si="54"/>
        <v>0.51520301554618642</v>
      </c>
      <c r="X267" t="str" cm="1">
        <f t="array" ref="X267">_xlfn.IFS(S267&lt;=25%, "Low", S267&lt;=75%, "Medium", S267&gt;75%, "High")</f>
        <v>High</v>
      </c>
      <c r="Y267" s="8">
        <f>Table1[[#This Row],[Quantity]]*(Table1[[#This Row],[UnitPrice]]*(1-Table1[[#This Row],[DiscountPct]]))</f>
        <v>110.14920000000001</v>
      </c>
      <c r="Z267" s="9">
        <f t="shared" si="55"/>
        <v>56.749200000000009</v>
      </c>
      <c r="AA267">
        <f>COUNTIF($G$2:G268,G267)</f>
        <v>27</v>
      </c>
      <c r="AB267" s="21">
        <f t="shared" si="56"/>
        <v>44988</v>
      </c>
      <c r="AC267" s="21">
        <f t="shared" si="57"/>
        <v>45016</v>
      </c>
      <c r="AD267" s="5">
        <f>(Table1[[#This Row],[OrderDate]]-Table1[[#This Row],[Date of first order]])/30</f>
        <v>12.1</v>
      </c>
      <c r="AE267" t="str">
        <f t="shared" si="58"/>
        <v>Good</v>
      </c>
      <c r="AF267">
        <f>COUNTIF(AE$2:AE268,AE267)</f>
        <v>79</v>
      </c>
      <c r="AG267" t="str">
        <f t="shared" si="59"/>
        <v>False</v>
      </c>
      <c r="AH267" s="7">
        <f>Table1[[#This Row],[UnitPrice]]*(1-Table1[[#This Row],[Disc Scenario]])*Table1[[#This Row],[Quantity]]</f>
        <v>110.14920000000001</v>
      </c>
      <c r="AI267">
        <f>ROUNDDOWN((Table1[[#This Row],[Quantity]]*(1+20%)),0)</f>
        <v>12</v>
      </c>
      <c r="AJ267" s="7">
        <f>Table1[[#This Row],[Quantity increase by 20%]]*Table1[[#This Row],[UnitPrice]]</f>
        <v>152.28</v>
      </c>
      <c r="AK267">
        <f>ROUNDDOWN(Table1[[#This Row],[Quantity]]*(1+20%),0)</f>
        <v>12</v>
      </c>
      <c r="AL267" s="7">
        <f>Table1[[#This Row],[UnitCost]]*(1+15%)</f>
        <v>6.1409999999999991</v>
      </c>
      <c r="AM267" s="9">
        <f>Table1[[#This Row],[Quantity]]*Table1[[#This Row],[Cost of unit by inflation 15%]]</f>
        <v>61.409999999999989</v>
      </c>
      <c r="AN267" s="21" cm="1">
        <f t="array" ref="AN267">_xlfn.UNIQUE(AC267)</f>
        <v>45016</v>
      </c>
    </row>
    <row r="268" spans="1:40" x14ac:dyDescent="0.35">
      <c r="A268" t="s">
        <v>309</v>
      </c>
      <c r="B268" s="21">
        <v>45353</v>
      </c>
      <c r="C268" s="10">
        <v>45367</v>
      </c>
      <c r="D268" s="3">
        <f t="shared" si="48"/>
        <v>14</v>
      </c>
      <c r="E268" s="10" t="str">
        <f t="shared" si="49"/>
        <v>Q1-2024</v>
      </c>
      <c r="F268" t="s">
        <v>647</v>
      </c>
      <c r="G268" t="s">
        <v>652</v>
      </c>
      <c r="H268" t="s">
        <v>687</v>
      </c>
      <c r="I268" t="s">
        <v>702</v>
      </c>
      <c r="J268" t="s">
        <v>710</v>
      </c>
      <c r="K268" t="s">
        <v>718</v>
      </c>
      <c r="L268" t="s">
        <v>727</v>
      </c>
      <c r="M268" t="s">
        <v>1027</v>
      </c>
      <c r="N268" s="3">
        <v>248.24</v>
      </c>
      <c r="O268" s="3">
        <v>464.05</v>
      </c>
      <c r="P268" s="6">
        <v>0.16900000000000001</v>
      </c>
      <c r="Q268" s="6">
        <f>IF(Table1[[#This Row],[DiscountPct]]&gt;25%,25%,Table1[[#This Row],[DiscountPct]])</f>
        <v>0.16900000000000001</v>
      </c>
      <c r="R268" s="5">
        <v>11</v>
      </c>
      <c r="S268" s="6">
        <f t="shared" si="50"/>
        <v>0.86936029648727031</v>
      </c>
      <c r="T268" s="8">
        <f t="shared" si="51"/>
        <v>4241.88105</v>
      </c>
      <c r="U268" s="8">
        <f t="shared" si="52"/>
        <v>2730.6400000000003</v>
      </c>
      <c r="V268" s="9">
        <f t="shared" si="53"/>
        <v>1511.2410499999996</v>
      </c>
      <c r="W268" s="6">
        <f t="shared" si="54"/>
        <v>0.3562667203975462</v>
      </c>
      <c r="X268" t="str" cm="1">
        <f t="array" ref="X268">_xlfn.IFS(S268&lt;=25%, "Low", S268&lt;=75%, "Medium", S268&gt;75%, "High")</f>
        <v>High</v>
      </c>
      <c r="Y268" s="8">
        <f>Table1[[#This Row],[Quantity]]*(Table1[[#This Row],[UnitPrice]]*(1-Table1[[#This Row],[DiscountPct]]))</f>
        <v>4241.88105</v>
      </c>
      <c r="Z268" s="9">
        <f t="shared" si="55"/>
        <v>1511.2410499999996</v>
      </c>
      <c r="AA268">
        <f>COUNTIF($G$2:G269,G268)</f>
        <v>19</v>
      </c>
      <c r="AB268" s="21">
        <f t="shared" si="56"/>
        <v>44988</v>
      </c>
      <c r="AC268" s="21">
        <f t="shared" si="57"/>
        <v>45016</v>
      </c>
      <c r="AD268" s="5">
        <f>(Table1[[#This Row],[OrderDate]]-Table1[[#This Row],[Date of first order]])/30</f>
        <v>12.166666666666666</v>
      </c>
      <c r="AE268" t="str">
        <f t="shared" si="58"/>
        <v>Poor</v>
      </c>
      <c r="AF268">
        <f>COUNTIF(AE$2:AE269,AE268)</f>
        <v>189</v>
      </c>
      <c r="AG268" t="str">
        <f t="shared" si="59"/>
        <v>False</v>
      </c>
      <c r="AH268" s="7">
        <f>Table1[[#This Row],[UnitPrice]]*(1-Table1[[#This Row],[Disc Scenario]])*Table1[[#This Row],[Quantity]]</f>
        <v>4241.88105</v>
      </c>
      <c r="AI268">
        <f>ROUNDDOWN((Table1[[#This Row],[Quantity]]*(1+20%)),0)</f>
        <v>13</v>
      </c>
      <c r="AJ268" s="7">
        <f>Table1[[#This Row],[Quantity increase by 20%]]*Table1[[#This Row],[UnitPrice]]</f>
        <v>6032.6500000000005</v>
      </c>
      <c r="AK268">
        <f>ROUNDDOWN(Table1[[#This Row],[Quantity]]*(1+20%),0)</f>
        <v>13</v>
      </c>
      <c r="AL268" s="7">
        <f>Table1[[#This Row],[UnitCost]]*(1+15%)</f>
        <v>285.476</v>
      </c>
      <c r="AM268" s="9">
        <f>Table1[[#This Row],[Quantity]]*Table1[[#This Row],[Cost of unit by inflation 15%]]</f>
        <v>3140.2359999999999</v>
      </c>
      <c r="AN268" s="21" cm="1">
        <f t="array" ref="AN268">_xlfn.UNIQUE(AC268)</f>
        <v>45016</v>
      </c>
    </row>
    <row r="269" spans="1:40" x14ac:dyDescent="0.35">
      <c r="A269" t="s">
        <v>524</v>
      </c>
      <c r="B269" s="21">
        <v>45353</v>
      </c>
      <c r="C269" s="10">
        <v>45374</v>
      </c>
      <c r="D269" s="3">
        <f t="shared" si="48"/>
        <v>21</v>
      </c>
      <c r="E269" s="10" t="str">
        <f t="shared" si="49"/>
        <v>Q1-2024</v>
      </c>
      <c r="F269" t="s">
        <v>647</v>
      </c>
      <c r="G269" t="s">
        <v>659</v>
      </c>
      <c r="H269" t="s">
        <v>676</v>
      </c>
      <c r="I269" t="s">
        <v>704</v>
      </c>
      <c r="J269" t="s">
        <v>707</v>
      </c>
      <c r="K269" t="s">
        <v>720</v>
      </c>
      <c r="L269" t="s">
        <v>726</v>
      </c>
      <c r="M269" t="s">
        <v>1241</v>
      </c>
      <c r="N269" s="3">
        <v>225.01</v>
      </c>
      <c r="O269" s="3">
        <v>333.48</v>
      </c>
      <c r="P269" s="6">
        <v>0.11899999999999999</v>
      </c>
      <c r="Q269" s="6">
        <f>IF(Table1[[#This Row],[DiscountPct]]&gt;25%,25%,Table1[[#This Row],[DiscountPct]])</f>
        <v>0.11899999999999999</v>
      </c>
      <c r="R269" s="5">
        <v>12</v>
      </c>
      <c r="S269" s="6">
        <f t="shared" si="50"/>
        <v>0.48206746366828157</v>
      </c>
      <c r="T269" s="8">
        <f t="shared" si="51"/>
        <v>3525.5505600000001</v>
      </c>
      <c r="U269" s="8">
        <f t="shared" si="52"/>
        <v>2700.12</v>
      </c>
      <c r="V269" s="9">
        <f t="shared" si="53"/>
        <v>825.43056000000024</v>
      </c>
      <c r="W269" s="6">
        <f t="shared" si="54"/>
        <v>0.23412813004729685</v>
      </c>
      <c r="X269" t="str" cm="1">
        <f t="array" ref="X269">_xlfn.IFS(S269&lt;=25%, "Low", S269&lt;=75%, "Medium", S269&gt;75%, "High")</f>
        <v>Medium</v>
      </c>
      <c r="Y269" s="8">
        <f>Table1[[#This Row],[Quantity]]*(Table1[[#This Row],[UnitPrice]]*(1-Table1[[#This Row],[DiscountPct]]))</f>
        <v>3525.5505600000001</v>
      </c>
      <c r="Z269" s="9">
        <f t="shared" si="55"/>
        <v>825.43056000000024</v>
      </c>
      <c r="AA269">
        <f>COUNTIF($G$2:G270,G269)</f>
        <v>24</v>
      </c>
      <c r="AB269" s="21">
        <f t="shared" si="56"/>
        <v>44988</v>
      </c>
      <c r="AC269" s="21">
        <f t="shared" si="57"/>
        <v>45016</v>
      </c>
      <c r="AD269" s="5">
        <f>(Table1[[#This Row],[OrderDate]]-Table1[[#This Row],[Date of first order]])/30</f>
        <v>12.166666666666666</v>
      </c>
      <c r="AE269" t="str">
        <f t="shared" si="58"/>
        <v>Poor</v>
      </c>
      <c r="AF269">
        <f>COUNTIF(AE$2:AE270,AE269)</f>
        <v>190</v>
      </c>
      <c r="AG269" t="str">
        <f t="shared" si="59"/>
        <v>False</v>
      </c>
      <c r="AH269" s="7">
        <f>Table1[[#This Row],[UnitPrice]]*(1-Table1[[#This Row],[Disc Scenario]])*Table1[[#This Row],[Quantity]]</f>
        <v>3525.5505600000001</v>
      </c>
      <c r="AI269">
        <f>ROUNDDOWN((Table1[[#This Row],[Quantity]]*(1+20%)),0)</f>
        <v>14</v>
      </c>
      <c r="AJ269" s="7">
        <f>Table1[[#This Row],[Quantity increase by 20%]]*Table1[[#This Row],[UnitPrice]]</f>
        <v>4668.72</v>
      </c>
      <c r="AK269">
        <f>ROUNDDOWN(Table1[[#This Row],[Quantity]]*(1+20%),0)</f>
        <v>14</v>
      </c>
      <c r="AL269" s="7">
        <f>Table1[[#This Row],[UnitCost]]*(1+15%)</f>
        <v>258.76149999999996</v>
      </c>
      <c r="AM269" s="9">
        <f>Table1[[#This Row],[Quantity]]*Table1[[#This Row],[Cost of unit by inflation 15%]]</f>
        <v>3105.1379999999995</v>
      </c>
      <c r="AN269" s="21" cm="1">
        <f t="array" ref="AN269">_xlfn.UNIQUE(AC269)</f>
        <v>45016</v>
      </c>
    </row>
    <row r="270" spans="1:40" x14ac:dyDescent="0.35">
      <c r="A270" t="s">
        <v>388</v>
      </c>
      <c r="B270" s="21">
        <v>45354</v>
      </c>
      <c r="C270" s="10">
        <v>45370</v>
      </c>
      <c r="D270" s="3">
        <f t="shared" si="48"/>
        <v>16</v>
      </c>
      <c r="E270" s="10" t="str">
        <f t="shared" si="49"/>
        <v>Q1-2024</v>
      </c>
      <c r="F270" t="s">
        <v>646</v>
      </c>
      <c r="G270" t="s">
        <v>658</v>
      </c>
      <c r="H270" t="s">
        <v>698</v>
      </c>
      <c r="I270" t="s">
        <v>703</v>
      </c>
      <c r="J270" t="s">
        <v>709</v>
      </c>
      <c r="K270" t="s">
        <v>714</v>
      </c>
      <c r="L270" t="s">
        <v>729</v>
      </c>
      <c r="M270" t="s">
        <v>1106</v>
      </c>
      <c r="N270" s="3">
        <v>988.83</v>
      </c>
      <c r="O270" s="3">
        <v>1206.04</v>
      </c>
      <c r="P270" s="6">
        <v>6.3E-2</v>
      </c>
      <c r="Q270" s="6">
        <f>IF(Table1[[#This Row],[DiscountPct]]&gt;25%,25%,Table1[[#This Row],[DiscountPct]])</f>
        <v>6.3E-2</v>
      </c>
      <c r="R270" s="5">
        <v>34</v>
      </c>
      <c r="S270" s="6">
        <f t="shared" si="50"/>
        <v>0.21966364289109341</v>
      </c>
      <c r="T270" s="8">
        <f t="shared" si="51"/>
        <v>38422.022320000004</v>
      </c>
      <c r="U270" s="8">
        <f t="shared" si="52"/>
        <v>33620.22</v>
      </c>
      <c r="V270" s="9">
        <f t="shared" si="53"/>
        <v>4801.8023200000025</v>
      </c>
      <c r="W270" s="6">
        <f t="shared" si="54"/>
        <v>0.12497526236406606</v>
      </c>
      <c r="X270" t="str" cm="1">
        <f t="array" ref="X270">_xlfn.IFS(S270&lt;=25%, "Low", S270&lt;=75%, "Medium", S270&gt;75%, "High")</f>
        <v>Low</v>
      </c>
      <c r="Y270" s="8">
        <f>Table1[[#This Row],[Quantity]]*(Table1[[#This Row],[UnitPrice]]*(1-Table1[[#This Row],[DiscountPct]]))</f>
        <v>38422.022320000004</v>
      </c>
      <c r="Z270" s="9">
        <f t="shared" si="55"/>
        <v>4801.8023200000025</v>
      </c>
      <c r="AA270">
        <f>COUNTIF($G$2:G271,G270)</f>
        <v>22</v>
      </c>
      <c r="AB270" s="21">
        <f t="shared" si="56"/>
        <v>44988</v>
      </c>
      <c r="AC270" s="21">
        <f t="shared" si="57"/>
        <v>45016</v>
      </c>
      <c r="AD270" s="5">
        <f>(Table1[[#This Row],[OrderDate]]-Table1[[#This Row],[Date of first order]])/30</f>
        <v>12.2</v>
      </c>
      <c r="AE270" t="str">
        <f t="shared" si="58"/>
        <v>Poor</v>
      </c>
      <c r="AF270">
        <f>COUNTIF(AE$2:AE271,AE270)</f>
        <v>191</v>
      </c>
      <c r="AG270" t="str">
        <f t="shared" si="59"/>
        <v>False</v>
      </c>
      <c r="AH270" s="7">
        <f>Table1[[#This Row],[UnitPrice]]*(1-Table1[[#This Row],[Disc Scenario]])*Table1[[#This Row],[Quantity]]</f>
        <v>38422.022320000004</v>
      </c>
      <c r="AI270">
        <f>ROUNDDOWN((Table1[[#This Row],[Quantity]]*(1+20%)),0)</f>
        <v>40</v>
      </c>
      <c r="AJ270" s="7">
        <f>Table1[[#This Row],[Quantity increase by 20%]]*Table1[[#This Row],[UnitPrice]]</f>
        <v>48241.599999999999</v>
      </c>
      <c r="AK270">
        <f>ROUNDDOWN(Table1[[#This Row],[Quantity]]*(1+20%),0)</f>
        <v>40</v>
      </c>
      <c r="AL270" s="7">
        <f>Table1[[#This Row],[UnitCost]]*(1+15%)</f>
        <v>1137.1544999999999</v>
      </c>
      <c r="AM270" s="9">
        <f>Table1[[#This Row],[Quantity]]*Table1[[#This Row],[Cost of unit by inflation 15%]]</f>
        <v>38663.252999999997</v>
      </c>
      <c r="AN270" s="21" cm="1">
        <f t="array" ref="AN270">_xlfn.UNIQUE(AC270)</f>
        <v>45016</v>
      </c>
    </row>
    <row r="271" spans="1:40" x14ac:dyDescent="0.35">
      <c r="A271" t="s">
        <v>559</v>
      </c>
      <c r="B271" s="21">
        <v>45355</v>
      </c>
      <c r="C271" s="10">
        <v>45367</v>
      </c>
      <c r="D271" s="3">
        <f t="shared" si="48"/>
        <v>12</v>
      </c>
      <c r="E271" s="10" t="str">
        <f t="shared" si="49"/>
        <v>Q1-2024</v>
      </c>
      <c r="F271" t="s">
        <v>645</v>
      </c>
      <c r="G271" t="s">
        <v>660</v>
      </c>
      <c r="H271" t="s">
        <v>681</v>
      </c>
      <c r="I271" t="s">
        <v>705</v>
      </c>
      <c r="J271" t="s">
        <v>709</v>
      </c>
      <c r="K271" t="s">
        <v>723</v>
      </c>
      <c r="L271" t="s">
        <v>731</v>
      </c>
      <c r="M271" t="s">
        <v>1275</v>
      </c>
      <c r="N271" s="3">
        <v>441.08</v>
      </c>
      <c r="O271" s="3">
        <v>1054.29</v>
      </c>
      <c r="P271" s="6">
        <v>0.23699999999999999</v>
      </c>
      <c r="Q271" s="6">
        <f>IF(Table1[[#This Row],[DiscountPct]]&gt;25%,25%,Table1[[#This Row],[DiscountPct]])</f>
        <v>0.23699999999999999</v>
      </c>
      <c r="R271" s="5">
        <v>6</v>
      </c>
      <c r="S271" s="6">
        <f t="shared" si="50"/>
        <v>1.3902466672712435</v>
      </c>
      <c r="T271" s="8">
        <f t="shared" si="51"/>
        <v>4826.5396199999996</v>
      </c>
      <c r="U271" s="8">
        <f t="shared" si="52"/>
        <v>2646.48</v>
      </c>
      <c r="V271" s="9">
        <f t="shared" si="53"/>
        <v>2180.0596199999995</v>
      </c>
      <c r="W271" s="6">
        <f t="shared" si="54"/>
        <v>0.45168169985932899</v>
      </c>
      <c r="X271" t="str" cm="1">
        <f t="array" ref="X271">_xlfn.IFS(S271&lt;=25%, "Low", S271&lt;=75%, "Medium", S271&gt;75%, "High")</f>
        <v>High</v>
      </c>
      <c r="Y271" s="8">
        <f>Table1[[#This Row],[Quantity]]*(Table1[[#This Row],[UnitPrice]]*(1-Table1[[#This Row],[DiscountPct]]))</f>
        <v>4826.5396199999996</v>
      </c>
      <c r="Z271" s="9">
        <f t="shared" si="55"/>
        <v>2180.0596199999995</v>
      </c>
      <c r="AA271">
        <f>COUNTIF($G$2:G272,G271)</f>
        <v>25</v>
      </c>
      <c r="AB271" s="21">
        <f t="shared" si="56"/>
        <v>44988</v>
      </c>
      <c r="AC271" s="21">
        <f t="shared" si="57"/>
        <v>45016</v>
      </c>
      <c r="AD271" s="5">
        <f>(Table1[[#This Row],[OrderDate]]-Table1[[#This Row],[Date of first order]])/30</f>
        <v>12.233333333333333</v>
      </c>
      <c r="AE271" t="str">
        <f t="shared" si="58"/>
        <v>Poor</v>
      </c>
      <c r="AF271">
        <f>COUNTIF(AE$2:AE272,AE271)</f>
        <v>192</v>
      </c>
      <c r="AG271" t="str">
        <f t="shared" si="59"/>
        <v>True</v>
      </c>
      <c r="AH271" s="7">
        <f>Table1[[#This Row],[UnitPrice]]*(1-Table1[[#This Row],[Disc Scenario]])*Table1[[#This Row],[Quantity]]</f>
        <v>4826.5396199999996</v>
      </c>
      <c r="AI271">
        <f>ROUNDDOWN((Table1[[#This Row],[Quantity]]*(1+20%)),0)</f>
        <v>7</v>
      </c>
      <c r="AJ271" s="7">
        <f>Table1[[#This Row],[Quantity increase by 20%]]*Table1[[#This Row],[UnitPrice]]</f>
        <v>7380.03</v>
      </c>
      <c r="AK271">
        <f>ROUNDDOWN(Table1[[#This Row],[Quantity]]*(1+20%),0)</f>
        <v>7</v>
      </c>
      <c r="AL271" s="7">
        <f>Table1[[#This Row],[UnitCost]]*(1+15%)</f>
        <v>507.24199999999996</v>
      </c>
      <c r="AM271" s="9">
        <f>Table1[[#This Row],[Quantity]]*Table1[[#This Row],[Cost of unit by inflation 15%]]</f>
        <v>3043.4519999999998</v>
      </c>
      <c r="AN271" s="21" cm="1">
        <f t="array" ref="AN271">_xlfn.UNIQUE(AC271)</f>
        <v>45016</v>
      </c>
    </row>
    <row r="272" spans="1:40" x14ac:dyDescent="0.35">
      <c r="A272" t="s">
        <v>258</v>
      </c>
      <c r="B272" s="21">
        <v>45357</v>
      </c>
      <c r="C272" s="10">
        <v>45377</v>
      </c>
      <c r="D272" s="3">
        <f t="shared" si="48"/>
        <v>20</v>
      </c>
      <c r="E272" s="10" t="str">
        <f t="shared" si="49"/>
        <v>Q1-2024</v>
      </c>
      <c r="F272" t="s">
        <v>645</v>
      </c>
      <c r="G272" t="s">
        <v>650</v>
      </c>
      <c r="H272" t="s">
        <v>662</v>
      </c>
      <c r="I272" t="s">
        <v>703</v>
      </c>
      <c r="J272" t="s">
        <v>708</v>
      </c>
      <c r="K272" t="s">
        <v>713</v>
      </c>
      <c r="L272" t="s">
        <v>729</v>
      </c>
      <c r="M272" t="s">
        <v>976</v>
      </c>
      <c r="N272" s="3">
        <v>65.64</v>
      </c>
      <c r="O272" s="3">
        <v>151.88</v>
      </c>
      <c r="P272" s="6">
        <v>0.16700000000000001</v>
      </c>
      <c r="Q272" s="6">
        <f>IF(Table1[[#This Row],[DiscountPct]]&gt;25%,25%,Table1[[#This Row],[DiscountPct]])</f>
        <v>0.16700000000000001</v>
      </c>
      <c r="R272" s="5">
        <v>23</v>
      </c>
      <c r="S272" s="6">
        <f t="shared" si="50"/>
        <v>1.3138330286410724</v>
      </c>
      <c r="T272" s="8">
        <f t="shared" si="51"/>
        <v>2909.8689199999999</v>
      </c>
      <c r="U272" s="8">
        <f t="shared" si="52"/>
        <v>1509.72</v>
      </c>
      <c r="V272" s="9">
        <f t="shared" si="53"/>
        <v>1400.1489199999999</v>
      </c>
      <c r="W272" s="6">
        <f t="shared" si="54"/>
        <v>0.48117250587356353</v>
      </c>
      <c r="X272" t="str" cm="1">
        <f t="array" ref="X272">_xlfn.IFS(S272&lt;=25%, "Low", S272&lt;=75%, "Medium", S272&gt;75%, "High")</f>
        <v>High</v>
      </c>
      <c r="Y272" s="8">
        <f>Table1[[#This Row],[Quantity]]*(Table1[[#This Row],[UnitPrice]]*(1-Table1[[#This Row],[DiscountPct]]))</f>
        <v>2909.8689199999999</v>
      </c>
      <c r="Z272" s="9">
        <f t="shared" si="55"/>
        <v>1400.1489199999999</v>
      </c>
      <c r="AA272">
        <f>COUNTIF($G$2:G273,G272)</f>
        <v>16</v>
      </c>
      <c r="AB272" s="21">
        <f t="shared" si="56"/>
        <v>44988</v>
      </c>
      <c r="AC272" s="21">
        <f t="shared" si="57"/>
        <v>45016</v>
      </c>
      <c r="AD272" s="5">
        <f>(Table1[[#This Row],[OrderDate]]-Table1[[#This Row],[Date of first order]])/30</f>
        <v>12.3</v>
      </c>
      <c r="AE272" t="str">
        <f t="shared" si="58"/>
        <v>Poor</v>
      </c>
      <c r="AF272">
        <f>COUNTIF(AE$2:AE273,AE272)</f>
        <v>193</v>
      </c>
      <c r="AG272" t="str">
        <f t="shared" si="59"/>
        <v>False</v>
      </c>
      <c r="AH272" s="7">
        <f>Table1[[#This Row],[UnitPrice]]*(1-Table1[[#This Row],[Disc Scenario]])*Table1[[#This Row],[Quantity]]</f>
        <v>2909.8689199999999</v>
      </c>
      <c r="AI272">
        <f>ROUNDDOWN((Table1[[#This Row],[Quantity]]*(1+20%)),0)</f>
        <v>27</v>
      </c>
      <c r="AJ272" s="7">
        <f>Table1[[#This Row],[Quantity increase by 20%]]*Table1[[#This Row],[UnitPrice]]</f>
        <v>4100.76</v>
      </c>
      <c r="AK272">
        <f>ROUNDDOWN(Table1[[#This Row],[Quantity]]*(1+20%),0)</f>
        <v>27</v>
      </c>
      <c r="AL272" s="7">
        <f>Table1[[#This Row],[UnitCost]]*(1+15%)</f>
        <v>75.48599999999999</v>
      </c>
      <c r="AM272" s="9">
        <f>Table1[[#This Row],[Quantity]]*Table1[[#This Row],[Cost of unit by inflation 15%]]</f>
        <v>1736.1779999999999</v>
      </c>
      <c r="AN272" s="21" cm="1">
        <f t="array" ref="AN272">_xlfn.UNIQUE(AC272)</f>
        <v>45016</v>
      </c>
    </row>
    <row r="273" spans="1:40" x14ac:dyDescent="0.35">
      <c r="A273" t="s">
        <v>51</v>
      </c>
      <c r="B273" s="21">
        <v>45358</v>
      </c>
      <c r="C273" s="10">
        <v>45376</v>
      </c>
      <c r="D273" s="3">
        <f t="shared" si="48"/>
        <v>18</v>
      </c>
      <c r="E273" s="10" t="str">
        <f t="shared" si="49"/>
        <v>Q1-2024</v>
      </c>
      <c r="F273" t="s">
        <v>648</v>
      </c>
      <c r="G273" t="s">
        <v>655</v>
      </c>
      <c r="H273" t="s">
        <v>683</v>
      </c>
      <c r="I273" t="s">
        <v>700</v>
      </c>
      <c r="J273" t="s">
        <v>707</v>
      </c>
      <c r="K273" t="s">
        <v>716</v>
      </c>
      <c r="L273" t="s">
        <v>726</v>
      </c>
      <c r="M273" t="s">
        <v>769</v>
      </c>
      <c r="N273" s="3">
        <v>712.84</v>
      </c>
      <c r="O273" s="3">
        <v>927.51</v>
      </c>
      <c r="P273" s="6">
        <v>0.24299999999999999</v>
      </c>
      <c r="Q273" s="6">
        <f>IF(Table1[[#This Row],[DiscountPct]]&gt;25%,25%,Table1[[#This Row],[DiscountPct]])</f>
        <v>0.24299999999999999</v>
      </c>
      <c r="R273" s="5">
        <v>27</v>
      </c>
      <c r="S273" s="6">
        <f t="shared" si="50"/>
        <v>0.30114752258571342</v>
      </c>
      <c r="T273" s="8">
        <f t="shared" si="51"/>
        <v>18957.37689</v>
      </c>
      <c r="U273" s="8">
        <f t="shared" si="52"/>
        <v>19246.68</v>
      </c>
      <c r="V273" s="9">
        <f t="shared" si="53"/>
        <v>-289.30311000000074</v>
      </c>
      <c r="W273" s="6">
        <f t="shared" si="54"/>
        <v>-1.5260714163076427E-2</v>
      </c>
      <c r="X273" t="str" cm="1">
        <f t="array" ref="X273">_xlfn.IFS(S273&lt;=25%, "Low", S273&lt;=75%, "Medium", S273&gt;75%, "High")</f>
        <v>Medium</v>
      </c>
      <c r="Y273" s="8">
        <f>Table1[[#This Row],[Quantity]]*(Table1[[#This Row],[UnitPrice]]*(1-Table1[[#This Row],[DiscountPct]]))</f>
        <v>18957.37689</v>
      </c>
      <c r="Z273" s="9">
        <f t="shared" si="55"/>
        <v>-289.30311000000074</v>
      </c>
      <c r="AA273">
        <f>COUNTIF($G$2:G274,G273)</f>
        <v>24</v>
      </c>
      <c r="AB273" s="21">
        <f t="shared" si="56"/>
        <v>44988</v>
      </c>
      <c r="AC273" s="21">
        <f t="shared" si="57"/>
        <v>45016</v>
      </c>
      <c r="AD273" s="5">
        <f>(Table1[[#This Row],[OrderDate]]-Table1[[#This Row],[Date of first order]])/30</f>
        <v>12.333333333333334</v>
      </c>
      <c r="AE273" t="str">
        <f t="shared" si="58"/>
        <v>Poor</v>
      </c>
      <c r="AF273">
        <f>COUNTIF(AE$2:AE274,AE273)</f>
        <v>194</v>
      </c>
      <c r="AG273" t="str">
        <f t="shared" si="59"/>
        <v>True</v>
      </c>
      <c r="AH273" s="7">
        <f>Table1[[#This Row],[UnitPrice]]*(1-Table1[[#This Row],[Disc Scenario]])*Table1[[#This Row],[Quantity]]</f>
        <v>18957.37689</v>
      </c>
      <c r="AI273">
        <f>ROUNDDOWN((Table1[[#This Row],[Quantity]]*(1+20%)),0)</f>
        <v>32</v>
      </c>
      <c r="AJ273" s="7">
        <f>Table1[[#This Row],[Quantity increase by 20%]]*Table1[[#This Row],[UnitPrice]]</f>
        <v>29680.32</v>
      </c>
      <c r="AK273">
        <f>ROUNDDOWN(Table1[[#This Row],[Quantity]]*(1+20%),0)</f>
        <v>32</v>
      </c>
      <c r="AL273" s="7">
        <f>Table1[[#This Row],[UnitCost]]*(1+15%)</f>
        <v>819.76599999999996</v>
      </c>
      <c r="AM273" s="9">
        <f>Table1[[#This Row],[Quantity]]*Table1[[#This Row],[Cost of unit by inflation 15%]]</f>
        <v>22133.682000000001</v>
      </c>
      <c r="AN273" s="21" cm="1">
        <f t="array" ref="AN273">_xlfn.UNIQUE(AC273)</f>
        <v>45016</v>
      </c>
    </row>
    <row r="274" spans="1:40" x14ac:dyDescent="0.35">
      <c r="A274" t="s">
        <v>475</v>
      </c>
      <c r="B274" s="21">
        <v>45358</v>
      </c>
      <c r="C274" s="10">
        <v>45385</v>
      </c>
      <c r="D274" s="3">
        <f t="shared" si="48"/>
        <v>27</v>
      </c>
      <c r="E274" s="10" t="str">
        <f t="shared" si="49"/>
        <v>Q1-2024</v>
      </c>
      <c r="F274" t="s">
        <v>648</v>
      </c>
      <c r="G274" t="s">
        <v>655</v>
      </c>
      <c r="H274" t="s">
        <v>697</v>
      </c>
      <c r="I274" t="s">
        <v>700</v>
      </c>
      <c r="J274" t="s">
        <v>710</v>
      </c>
      <c r="K274" t="s">
        <v>723</v>
      </c>
      <c r="L274" t="s">
        <v>727</v>
      </c>
      <c r="M274" t="s">
        <v>1192</v>
      </c>
      <c r="N274" s="3">
        <v>738.16</v>
      </c>
      <c r="O274" s="3">
        <v>956.49</v>
      </c>
      <c r="P274" s="6">
        <v>0.152</v>
      </c>
      <c r="Q274" s="6">
        <f>IF(Table1[[#This Row],[DiscountPct]]&gt;25%,25%,Table1[[#This Row],[DiscountPct]])</f>
        <v>0.152</v>
      </c>
      <c r="R274" s="5">
        <v>5</v>
      </c>
      <c r="S274" s="6">
        <f t="shared" si="50"/>
        <v>0.29577598352660678</v>
      </c>
      <c r="T274" s="8">
        <f t="shared" si="51"/>
        <v>4055.5175999999997</v>
      </c>
      <c r="U274" s="8">
        <f t="shared" si="52"/>
        <v>3690.7999999999997</v>
      </c>
      <c r="V274" s="9">
        <f t="shared" si="53"/>
        <v>364.71759999999995</v>
      </c>
      <c r="W274" s="6">
        <f t="shared" si="54"/>
        <v>8.9931208780847108E-2</v>
      </c>
      <c r="X274" t="str" cm="1">
        <f t="array" ref="X274">_xlfn.IFS(S274&lt;=25%, "Low", S274&lt;=75%, "Medium", S274&gt;75%, "High")</f>
        <v>Medium</v>
      </c>
      <c r="Y274" s="8">
        <f>Table1[[#This Row],[Quantity]]*(Table1[[#This Row],[UnitPrice]]*(1-Table1[[#This Row],[DiscountPct]]))</f>
        <v>4055.5176000000001</v>
      </c>
      <c r="Z274" s="9">
        <f t="shared" si="55"/>
        <v>364.7176000000004</v>
      </c>
      <c r="AA274">
        <f>COUNTIF($G$2:G275,G274)</f>
        <v>24</v>
      </c>
      <c r="AB274" s="21">
        <f t="shared" si="56"/>
        <v>44988</v>
      </c>
      <c r="AC274" s="21">
        <f t="shared" si="57"/>
        <v>45016</v>
      </c>
      <c r="AD274" s="5">
        <f>(Table1[[#This Row],[OrderDate]]-Table1[[#This Row],[Date of first order]])/30</f>
        <v>12.333333333333334</v>
      </c>
      <c r="AE274" t="str">
        <f t="shared" si="58"/>
        <v>Poor</v>
      </c>
      <c r="AF274">
        <f>COUNTIF(AE$2:AE275,AE274)</f>
        <v>195</v>
      </c>
      <c r="AG274" t="str">
        <f t="shared" si="59"/>
        <v>False</v>
      </c>
      <c r="AH274" s="7">
        <f>Table1[[#This Row],[UnitPrice]]*(1-Table1[[#This Row],[Disc Scenario]])*Table1[[#This Row],[Quantity]]</f>
        <v>4055.5176000000001</v>
      </c>
      <c r="AI274">
        <f>ROUNDDOWN((Table1[[#This Row],[Quantity]]*(1+20%)),0)</f>
        <v>6</v>
      </c>
      <c r="AJ274" s="7">
        <f>Table1[[#This Row],[Quantity increase by 20%]]*Table1[[#This Row],[UnitPrice]]</f>
        <v>5738.9400000000005</v>
      </c>
      <c r="AK274">
        <f>ROUNDDOWN(Table1[[#This Row],[Quantity]]*(1+20%),0)</f>
        <v>6</v>
      </c>
      <c r="AL274" s="7">
        <f>Table1[[#This Row],[UnitCost]]*(1+15%)</f>
        <v>848.8839999999999</v>
      </c>
      <c r="AM274" s="9">
        <f>Table1[[#This Row],[Quantity]]*Table1[[#This Row],[Cost of unit by inflation 15%]]</f>
        <v>4244.4199999999992</v>
      </c>
      <c r="AN274" s="21" cm="1">
        <f t="array" ref="AN274">_xlfn.UNIQUE(AC274)</f>
        <v>45016</v>
      </c>
    </row>
    <row r="275" spans="1:40" x14ac:dyDescent="0.35">
      <c r="A275" t="s">
        <v>613</v>
      </c>
      <c r="B275" s="21">
        <v>45360</v>
      </c>
      <c r="C275" s="10">
        <v>45373</v>
      </c>
      <c r="D275" s="3">
        <f t="shared" si="48"/>
        <v>13</v>
      </c>
      <c r="E275" s="10" t="str">
        <f t="shared" si="49"/>
        <v>Q1-2024</v>
      </c>
      <c r="F275" t="s">
        <v>648</v>
      </c>
      <c r="G275" t="s">
        <v>657</v>
      </c>
      <c r="H275" t="s">
        <v>692</v>
      </c>
      <c r="I275" t="s">
        <v>703</v>
      </c>
      <c r="J275" t="s">
        <v>707</v>
      </c>
      <c r="K275" t="s">
        <v>717</v>
      </c>
      <c r="L275" t="s">
        <v>730</v>
      </c>
      <c r="M275" t="s">
        <v>1329</v>
      </c>
      <c r="N275" s="3">
        <v>985.45</v>
      </c>
      <c r="O275" s="3">
        <v>1802.44</v>
      </c>
      <c r="P275" s="6">
        <v>8.9999999999999993E-3</v>
      </c>
      <c r="Q275" s="6">
        <f>IF(Table1[[#This Row],[DiscountPct]]&gt;25%,25%,Table1[[#This Row],[DiscountPct]])</f>
        <v>8.9999999999999993E-3</v>
      </c>
      <c r="R275" s="5">
        <v>19</v>
      </c>
      <c r="S275" s="6">
        <f t="shared" si="50"/>
        <v>0.82905271703282757</v>
      </c>
      <c r="T275" s="8">
        <f t="shared" si="51"/>
        <v>33938.142760000002</v>
      </c>
      <c r="U275" s="8">
        <f t="shared" si="52"/>
        <v>18723.55</v>
      </c>
      <c r="V275" s="9">
        <f t="shared" si="53"/>
        <v>15214.592760000003</v>
      </c>
      <c r="W275" s="6">
        <f t="shared" si="54"/>
        <v>0.44830363486867486</v>
      </c>
      <c r="X275" t="str" cm="1">
        <f t="array" ref="X275">_xlfn.IFS(S275&lt;=25%, "Low", S275&lt;=75%, "Medium", S275&gt;75%, "High")</f>
        <v>High</v>
      </c>
      <c r="Y275" s="8">
        <f>Table1[[#This Row],[Quantity]]*(Table1[[#This Row],[UnitPrice]]*(1-Table1[[#This Row],[DiscountPct]]))</f>
        <v>33938.142760000002</v>
      </c>
      <c r="Z275" s="9">
        <f t="shared" si="55"/>
        <v>15214.592760000003</v>
      </c>
      <c r="AA275">
        <f>COUNTIF($G$2:G276,G275)</f>
        <v>23</v>
      </c>
      <c r="AB275" s="21">
        <f t="shared" si="56"/>
        <v>44988</v>
      </c>
      <c r="AC275" s="21">
        <f t="shared" si="57"/>
        <v>45016</v>
      </c>
      <c r="AD275" s="5">
        <f>(Table1[[#This Row],[OrderDate]]-Table1[[#This Row],[Date of first order]])/30</f>
        <v>12.4</v>
      </c>
      <c r="AE275" t="str">
        <f t="shared" si="58"/>
        <v>Poor</v>
      </c>
      <c r="AF275">
        <f>COUNTIF(AE$2:AE276,AE275)</f>
        <v>196</v>
      </c>
      <c r="AG275" t="str">
        <f t="shared" si="59"/>
        <v>False</v>
      </c>
      <c r="AH275" s="7">
        <f>Table1[[#This Row],[UnitPrice]]*(1-Table1[[#This Row],[Disc Scenario]])*Table1[[#This Row],[Quantity]]</f>
        <v>33938.142760000002</v>
      </c>
      <c r="AI275">
        <f>ROUNDDOWN((Table1[[#This Row],[Quantity]]*(1+20%)),0)</f>
        <v>22</v>
      </c>
      <c r="AJ275" s="7">
        <f>Table1[[#This Row],[Quantity increase by 20%]]*Table1[[#This Row],[UnitPrice]]</f>
        <v>39653.68</v>
      </c>
      <c r="AK275">
        <f>ROUNDDOWN(Table1[[#This Row],[Quantity]]*(1+20%),0)</f>
        <v>22</v>
      </c>
      <c r="AL275" s="7">
        <f>Table1[[#This Row],[UnitCost]]*(1+15%)</f>
        <v>1133.2674999999999</v>
      </c>
      <c r="AM275" s="9">
        <f>Table1[[#This Row],[Quantity]]*Table1[[#This Row],[Cost of unit by inflation 15%]]</f>
        <v>21532.082499999997</v>
      </c>
      <c r="AN275" s="21" cm="1">
        <f t="array" ref="AN275">_xlfn.UNIQUE(AC275)</f>
        <v>45016</v>
      </c>
    </row>
    <row r="276" spans="1:40" x14ac:dyDescent="0.35">
      <c r="A276" t="s">
        <v>406</v>
      </c>
      <c r="B276" s="21">
        <v>45360</v>
      </c>
      <c r="C276" s="10">
        <v>45377</v>
      </c>
      <c r="D276" s="3">
        <f t="shared" si="48"/>
        <v>17</v>
      </c>
      <c r="E276" s="10" t="str">
        <f t="shared" si="49"/>
        <v>Q1-2024</v>
      </c>
      <c r="F276" t="s">
        <v>647</v>
      </c>
      <c r="G276" t="s">
        <v>659</v>
      </c>
      <c r="H276" t="s">
        <v>685</v>
      </c>
      <c r="I276" t="s">
        <v>701</v>
      </c>
      <c r="J276" t="s">
        <v>710</v>
      </c>
      <c r="K276" t="s">
        <v>713</v>
      </c>
      <c r="L276" t="s">
        <v>729</v>
      </c>
      <c r="M276" t="s">
        <v>1123</v>
      </c>
      <c r="N276" s="3">
        <v>1137.4100000000001</v>
      </c>
      <c r="O276" s="3">
        <v>1680.93</v>
      </c>
      <c r="P276" s="6">
        <v>0.254</v>
      </c>
      <c r="Q276" s="6">
        <f>IF(Table1[[#This Row],[DiscountPct]]&gt;25%,25%,Table1[[#This Row],[DiscountPct]])</f>
        <v>0.25</v>
      </c>
      <c r="R276" s="5">
        <v>9</v>
      </c>
      <c r="S276" s="6">
        <f t="shared" si="50"/>
        <v>0.47785758873229528</v>
      </c>
      <c r="T276" s="8">
        <f t="shared" si="51"/>
        <v>11285.764020000001</v>
      </c>
      <c r="U276" s="8">
        <f t="shared" si="52"/>
        <v>10236.69</v>
      </c>
      <c r="V276" s="9">
        <f t="shared" si="53"/>
        <v>1049.07402</v>
      </c>
      <c r="W276" s="6">
        <f t="shared" si="54"/>
        <v>9.2955516183121464E-2</v>
      </c>
      <c r="X276" t="str" cm="1">
        <f t="array" ref="X276">_xlfn.IFS(S276&lt;=25%, "Low", S276&lt;=75%, "Medium", S276&gt;75%, "High")</f>
        <v>Medium</v>
      </c>
      <c r="Y276" s="8">
        <f>Table1[[#This Row],[Quantity]]*(Table1[[#This Row],[UnitPrice]]*(1-Table1[[#This Row],[DiscountPct]]))</f>
        <v>11285.764020000001</v>
      </c>
      <c r="Z276" s="9">
        <f t="shared" si="55"/>
        <v>1049.07402</v>
      </c>
      <c r="AA276">
        <f>COUNTIF($G$2:G277,G276)</f>
        <v>25</v>
      </c>
      <c r="AB276" s="21">
        <f t="shared" si="56"/>
        <v>44988</v>
      </c>
      <c r="AC276" s="21">
        <f t="shared" si="57"/>
        <v>45016</v>
      </c>
      <c r="AD276" s="5">
        <f>(Table1[[#This Row],[OrderDate]]-Table1[[#This Row],[Date of first order]])/30</f>
        <v>12.4</v>
      </c>
      <c r="AE276" t="str">
        <f t="shared" si="58"/>
        <v>Poor</v>
      </c>
      <c r="AF276">
        <f>COUNTIF(AE$2:AE277,AE276)</f>
        <v>197</v>
      </c>
      <c r="AG276" t="str">
        <f t="shared" si="59"/>
        <v>True</v>
      </c>
      <c r="AH276" s="7">
        <f>Table1[[#This Row],[UnitPrice]]*(1-Table1[[#This Row],[Disc Scenario]])*Table1[[#This Row],[Quantity]]</f>
        <v>11346.2775</v>
      </c>
      <c r="AI276">
        <f>ROUNDDOWN((Table1[[#This Row],[Quantity]]*(1+20%)),0)</f>
        <v>10</v>
      </c>
      <c r="AJ276" s="7">
        <f>Table1[[#This Row],[Quantity increase by 20%]]*Table1[[#This Row],[UnitPrice]]</f>
        <v>16809.3</v>
      </c>
      <c r="AK276">
        <f>ROUNDDOWN(Table1[[#This Row],[Quantity]]*(1+20%),0)</f>
        <v>10</v>
      </c>
      <c r="AL276" s="7">
        <f>Table1[[#This Row],[UnitCost]]*(1+15%)</f>
        <v>1308.0215000000001</v>
      </c>
      <c r="AM276" s="9">
        <f>Table1[[#This Row],[Quantity]]*Table1[[#This Row],[Cost of unit by inflation 15%]]</f>
        <v>11772.193500000001</v>
      </c>
      <c r="AN276" s="21" cm="1">
        <f t="array" ref="AN276">_xlfn.UNIQUE(AC276)</f>
        <v>45016</v>
      </c>
    </row>
    <row r="277" spans="1:40" x14ac:dyDescent="0.35">
      <c r="A277" t="s">
        <v>376</v>
      </c>
      <c r="B277" s="21">
        <v>45360</v>
      </c>
      <c r="C277" s="10">
        <v>45377</v>
      </c>
      <c r="D277" s="3">
        <f t="shared" si="48"/>
        <v>17</v>
      </c>
      <c r="E277" s="10" t="str">
        <f t="shared" si="49"/>
        <v>Q1-2024</v>
      </c>
      <c r="F277" t="s">
        <v>646</v>
      </c>
      <c r="G277" t="s">
        <v>658</v>
      </c>
      <c r="H277" t="s">
        <v>675</v>
      </c>
      <c r="I277" t="s">
        <v>705</v>
      </c>
      <c r="J277" t="s">
        <v>707</v>
      </c>
      <c r="K277" t="s">
        <v>722</v>
      </c>
      <c r="L277" t="s">
        <v>731</v>
      </c>
      <c r="M277" t="s">
        <v>1094</v>
      </c>
      <c r="N277" s="3">
        <v>1029.67</v>
      </c>
      <c r="O277" s="3">
        <v>1118.43</v>
      </c>
      <c r="P277" s="6">
        <v>0.27200000000000002</v>
      </c>
      <c r="Q277" s="6">
        <f>IF(Table1[[#This Row],[DiscountPct]]&gt;25%,25%,Table1[[#This Row],[DiscountPct]])</f>
        <v>0.25</v>
      </c>
      <c r="R277" s="5">
        <v>9</v>
      </c>
      <c r="S277" s="6">
        <f t="shared" si="50"/>
        <v>8.6202375518369942E-2</v>
      </c>
      <c r="T277" s="8">
        <f t="shared" si="51"/>
        <v>7327.9533600000004</v>
      </c>
      <c r="U277" s="8">
        <f t="shared" si="52"/>
        <v>9267.0300000000007</v>
      </c>
      <c r="V277" s="9">
        <f t="shared" si="53"/>
        <v>-1939.0766400000002</v>
      </c>
      <c r="W277" s="6">
        <f t="shared" si="54"/>
        <v>-0.26461367106736061</v>
      </c>
      <c r="X277" t="str" cm="1">
        <f t="array" ref="X277">_xlfn.IFS(S277&lt;=25%, "Low", S277&lt;=75%, "Medium", S277&gt;75%, "High")</f>
        <v>Low</v>
      </c>
      <c r="Y277" s="8">
        <f>Table1[[#This Row],[Quantity]]*(Table1[[#This Row],[UnitPrice]]*(1-Table1[[#This Row],[DiscountPct]]))</f>
        <v>7327.9533599999995</v>
      </c>
      <c r="Z277" s="9">
        <f t="shared" si="55"/>
        <v>-1939.0766400000011</v>
      </c>
      <c r="AA277">
        <f>COUNTIF($G$2:G278,G277)</f>
        <v>23</v>
      </c>
      <c r="AB277" s="21">
        <f t="shared" si="56"/>
        <v>44988</v>
      </c>
      <c r="AC277" s="21">
        <f t="shared" si="57"/>
        <v>45016</v>
      </c>
      <c r="AD277" s="5">
        <f>(Table1[[#This Row],[OrderDate]]-Table1[[#This Row],[Date of first order]])/30</f>
        <v>12.4</v>
      </c>
      <c r="AE277" t="str">
        <f t="shared" si="58"/>
        <v>Poor</v>
      </c>
      <c r="AF277">
        <f>COUNTIF(AE$2:AE278,AE277)</f>
        <v>198</v>
      </c>
      <c r="AG277" t="str">
        <f t="shared" si="59"/>
        <v>True</v>
      </c>
      <c r="AH277" s="7">
        <f>Table1[[#This Row],[UnitPrice]]*(1-Table1[[#This Row],[Disc Scenario]])*Table1[[#This Row],[Quantity]]</f>
        <v>7549.4025000000001</v>
      </c>
      <c r="AI277">
        <f>ROUNDDOWN((Table1[[#This Row],[Quantity]]*(1+20%)),0)</f>
        <v>10</v>
      </c>
      <c r="AJ277" s="7">
        <f>Table1[[#This Row],[Quantity increase by 20%]]*Table1[[#This Row],[UnitPrice]]</f>
        <v>11184.300000000001</v>
      </c>
      <c r="AK277">
        <f>ROUNDDOWN(Table1[[#This Row],[Quantity]]*(1+20%),0)</f>
        <v>10</v>
      </c>
      <c r="AL277" s="7">
        <f>Table1[[#This Row],[UnitCost]]*(1+15%)</f>
        <v>1184.1205</v>
      </c>
      <c r="AM277" s="9">
        <f>Table1[[#This Row],[Quantity]]*Table1[[#This Row],[Cost of unit by inflation 15%]]</f>
        <v>10657.084500000001</v>
      </c>
      <c r="AN277" s="21" cm="1">
        <f t="array" ref="AN277">_xlfn.UNIQUE(AC277)</f>
        <v>45016</v>
      </c>
    </row>
    <row r="278" spans="1:40" x14ac:dyDescent="0.35">
      <c r="A278" t="s">
        <v>75</v>
      </c>
      <c r="B278" s="21">
        <v>45361</v>
      </c>
      <c r="C278" s="10">
        <v>45391</v>
      </c>
      <c r="D278" s="3">
        <f t="shared" si="48"/>
        <v>30</v>
      </c>
      <c r="E278" s="10" t="str">
        <f t="shared" si="49"/>
        <v>Q1-2024</v>
      </c>
      <c r="F278" t="s">
        <v>648</v>
      </c>
      <c r="G278" t="s">
        <v>656</v>
      </c>
      <c r="H278" t="s">
        <v>678</v>
      </c>
      <c r="I278" t="s">
        <v>700</v>
      </c>
      <c r="J278" t="s">
        <v>710</v>
      </c>
      <c r="K278" t="s">
        <v>713</v>
      </c>
      <c r="L278" t="s">
        <v>726</v>
      </c>
      <c r="M278" t="s">
        <v>793</v>
      </c>
      <c r="N278" s="3">
        <v>1176.56</v>
      </c>
      <c r="O278" s="3">
        <v>1911.89</v>
      </c>
      <c r="P278" s="6">
        <v>0.11899999999999999</v>
      </c>
      <c r="Q278" s="6">
        <f>IF(Table1[[#This Row],[DiscountPct]]&gt;25%,25%,Table1[[#This Row],[DiscountPct]])</f>
        <v>0.11899999999999999</v>
      </c>
      <c r="R278" s="5">
        <v>20</v>
      </c>
      <c r="S278" s="6">
        <f t="shared" si="50"/>
        <v>0.62498300129190199</v>
      </c>
      <c r="T278" s="8">
        <f t="shared" si="51"/>
        <v>33687.501800000005</v>
      </c>
      <c r="U278" s="8">
        <f t="shared" si="52"/>
        <v>23531.199999999997</v>
      </c>
      <c r="V278" s="9">
        <f t="shared" si="53"/>
        <v>10156.301800000008</v>
      </c>
      <c r="W278" s="6">
        <f t="shared" si="54"/>
        <v>0.30148575160892477</v>
      </c>
      <c r="X278" t="str" cm="1">
        <f t="array" ref="X278">_xlfn.IFS(S278&lt;=25%, "Low", S278&lt;=75%, "Medium", S278&gt;75%, "High")</f>
        <v>Medium</v>
      </c>
      <c r="Y278" s="8">
        <f>Table1[[#This Row],[Quantity]]*(Table1[[#This Row],[UnitPrice]]*(1-Table1[[#This Row],[DiscountPct]]))</f>
        <v>33687.501799999998</v>
      </c>
      <c r="Z278" s="9">
        <f t="shared" si="55"/>
        <v>10156.301800000001</v>
      </c>
      <c r="AA278">
        <f>COUNTIF($G$2:G279,G278)</f>
        <v>21</v>
      </c>
      <c r="AB278" s="21">
        <f t="shared" si="56"/>
        <v>44988</v>
      </c>
      <c r="AC278" s="21">
        <f t="shared" si="57"/>
        <v>45016</v>
      </c>
      <c r="AD278" s="5">
        <f>(Table1[[#This Row],[OrderDate]]-Table1[[#This Row],[Date of first order]])/30</f>
        <v>12.433333333333334</v>
      </c>
      <c r="AE278" t="str">
        <f t="shared" si="58"/>
        <v>Poor</v>
      </c>
      <c r="AF278">
        <f>COUNTIF(AE$2:AE279,AE278)</f>
        <v>199</v>
      </c>
      <c r="AG278" t="str">
        <f t="shared" si="59"/>
        <v>False</v>
      </c>
      <c r="AH278" s="7">
        <f>Table1[[#This Row],[UnitPrice]]*(1-Table1[[#This Row],[Disc Scenario]])*Table1[[#This Row],[Quantity]]</f>
        <v>33687.501799999998</v>
      </c>
      <c r="AI278">
        <f>ROUNDDOWN((Table1[[#This Row],[Quantity]]*(1+20%)),0)</f>
        <v>24</v>
      </c>
      <c r="AJ278" s="7">
        <f>Table1[[#This Row],[Quantity increase by 20%]]*Table1[[#This Row],[UnitPrice]]</f>
        <v>45885.36</v>
      </c>
      <c r="AK278">
        <f>ROUNDDOWN(Table1[[#This Row],[Quantity]]*(1+20%),0)</f>
        <v>24</v>
      </c>
      <c r="AL278" s="7">
        <f>Table1[[#This Row],[UnitCost]]*(1+15%)</f>
        <v>1353.0439999999999</v>
      </c>
      <c r="AM278" s="9">
        <f>Table1[[#This Row],[Quantity]]*Table1[[#This Row],[Cost of unit by inflation 15%]]</f>
        <v>27060.879999999997</v>
      </c>
      <c r="AN278" s="21" cm="1">
        <f t="array" ref="AN278">_xlfn.UNIQUE(AC278)</f>
        <v>45016</v>
      </c>
    </row>
    <row r="279" spans="1:40" x14ac:dyDescent="0.35">
      <c r="A279" t="s">
        <v>571</v>
      </c>
      <c r="B279" s="21">
        <v>45362</v>
      </c>
      <c r="C279" s="10">
        <v>45380</v>
      </c>
      <c r="D279" s="3">
        <f t="shared" si="48"/>
        <v>18</v>
      </c>
      <c r="E279" s="10" t="str">
        <f t="shared" si="49"/>
        <v>Q1-2024</v>
      </c>
      <c r="F279" t="s">
        <v>647</v>
      </c>
      <c r="G279" t="s">
        <v>659</v>
      </c>
      <c r="H279" t="s">
        <v>699</v>
      </c>
      <c r="I279" t="s">
        <v>700</v>
      </c>
      <c r="J279" t="s">
        <v>706</v>
      </c>
      <c r="K279" t="s">
        <v>723</v>
      </c>
      <c r="L279" t="s">
        <v>731</v>
      </c>
      <c r="M279" t="s">
        <v>1287</v>
      </c>
      <c r="N279" s="3">
        <v>710.98</v>
      </c>
      <c r="O279" s="3">
        <v>1481.45</v>
      </c>
      <c r="P279" s="6">
        <v>0.21099999999999999</v>
      </c>
      <c r="Q279" s="6">
        <f>IF(Table1[[#This Row],[DiscountPct]]&gt;25%,25%,Table1[[#This Row],[DiscountPct]])</f>
        <v>0.21099999999999999</v>
      </c>
      <c r="R279" s="5">
        <v>9</v>
      </c>
      <c r="S279" s="6">
        <f t="shared" si="50"/>
        <v>1.0836732397535795</v>
      </c>
      <c r="T279" s="8">
        <f t="shared" si="51"/>
        <v>10519.776450000001</v>
      </c>
      <c r="U279" s="8">
        <f t="shared" si="52"/>
        <v>6398.82</v>
      </c>
      <c r="V279" s="9">
        <f t="shared" si="53"/>
        <v>4120.9564500000015</v>
      </c>
      <c r="W279" s="6">
        <f t="shared" si="54"/>
        <v>0.39173422264120461</v>
      </c>
      <c r="X279" t="str" cm="1">
        <f t="array" ref="X279">_xlfn.IFS(S279&lt;=25%, "Low", S279&lt;=75%, "Medium", S279&gt;75%, "High")</f>
        <v>High</v>
      </c>
      <c r="Y279" s="8">
        <f>Table1[[#This Row],[Quantity]]*(Table1[[#This Row],[UnitPrice]]*(1-Table1[[#This Row],[DiscountPct]]))</f>
        <v>10519.776450000001</v>
      </c>
      <c r="Z279" s="9">
        <f t="shared" si="55"/>
        <v>4120.9564500000015</v>
      </c>
      <c r="AA279">
        <f>COUNTIF($G$2:G280,G279)</f>
        <v>26</v>
      </c>
      <c r="AB279" s="21">
        <f t="shared" si="56"/>
        <v>44988</v>
      </c>
      <c r="AC279" s="21">
        <f t="shared" si="57"/>
        <v>45016</v>
      </c>
      <c r="AD279" s="5">
        <f>(Table1[[#This Row],[OrderDate]]-Table1[[#This Row],[Date of first order]])/30</f>
        <v>12.466666666666667</v>
      </c>
      <c r="AE279" t="str">
        <f t="shared" si="58"/>
        <v>Poor</v>
      </c>
      <c r="AF279">
        <f>COUNTIF(AE$2:AE280,AE279)</f>
        <v>200</v>
      </c>
      <c r="AG279" t="str">
        <f t="shared" si="59"/>
        <v>True</v>
      </c>
      <c r="AH279" s="7">
        <f>Table1[[#This Row],[UnitPrice]]*(1-Table1[[#This Row],[Disc Scenario]])*Table1[[#This Row],[Quantity]]</f>
        <v>10519.776450000001</v>
      </c>
      <c r="AI279">
        <f>ROUNDDOWN((Table1[[#This Row],[Quantity]]*(1+20%)),0)</f>
        <v>10</v>
      </c>
      <c r="AJ279" s="7">
        <f>Table1[[#This Row],[Quantity increase by 20%]]*Table1[[#This Row],[UnitPrice]]</f>
        <v>14814.5</v>
      </c>
      <c r="AK279">
        <f>ROUNDDOWN(Table1[[#This Row],[Quantity]]*(1+20%),0)</f>
        <v>10</v>
      </c>
      <c r="AL279" s="7">
        <f>Table1[[#This Row],[UnitCost]]*(1+15%)</f>
        <v>817.62699999999995</v>
      </c>
      <c r="AM279" s="9">
        <f>Table1[[#This Row],[Quantity]]*Table1[[#This Row],[Cost of unit by inflation 15%]]</f>
        <v>7358.643</v>
      </c>
      <c r="AN279" s="21" cm="1">
        <f t="array" ref="AN279">_xlfn.UNIQUE(AC279)</f>
        <v>45016</v>
      </c>
    </row>
    <row r="280" spans="1:40" x14ac:dyDescent="0.35">
      <c r="A280" t="s">
        <v>15</v>
      </c>
      <c r="B280" s="21">
        <v>45362</v>
      </c>
      <c r="C280" s="10">
        <v>45388</v>
      </c>
      <c r="D280" s="3">
        <f t="shared" si="48"/>
        <v>26</v>
      </c>
      <c r="E280" s="10" t="str">
        <f t="shared" si="49"/>
        <v>Q1-2024</v>
      </c>
      <c r="F280" t="s">
        <v>645</v>
      </c>
      <c r="G280" t="s">
        <v>649</v>
      </c>
      <c r="H280" t="s">
        <v>661</v>
      </c>
      <c r="I280" t="s">
        <v>700</v>
      </c>
      <c r="J280" t="s">
        <v>706</v>
      </c>
      <c r="K280" t="s">
        <v>711</v>
      </c>
      <c r="L280" t="s">
        <v>726</v>
      </c>
      <c r="M280" t="s">
        <v>733</v>
      </c>
      <c r="N280" s="3">
        <v>279.24</v>
      </c>
      <c r="O280" s="3">
        <v>608.9</v>
      </c>
      <c r="P280" s="6">
        <v>0.112</v>
      </c>
      <c r="Q280" s="6">
        <f>IF(Table1[[#This Row],[DiscountPct]]&gt;25%,25%,Table1[[#This Row],[DiscountPct]])</f>
        <v>0.112</v>
      </c>
      <c r="R280" s="5">
        <v>9</v>
      </c>
      <c r="S280" s="6">
        <f t="shared" si="50"/>
        <v>1.1805615241369429</v>
      </c>
      <c r="T280" s="8">
        <f t="shared" si="51"/>
        <v>4866.3287999999993</v>
      </c>
      <c r="U280" s="8">
        <f t="shared" si="52"/>
        <v>2513.16</v>
      </c>
      <c r="V280" s="9">
        <f t="shared" si="53"/>
        <v>2353.1687999999995</v>
      </c>
      <c r="W280" s="6">
        <f t="shared" si="54"/>
        <v>0.48356140670149533</v>
      </c>
      <c r="X280" t="str" cm="1">
        <f t="array" ref="X280">_xlfn.IFS(S280&lt;=25%, "Low", S280&lt;=75%, "Medium", S280&gt;75%, "High")</f>
        <v>High</v>
      </c>
      <c r="Y280" s="8">
        <f>Table1[[#This Row],[Quantity]]*(Table1[[#This Row],[UnitPrice]]*(1-Table1[[#This Row],[DiscountPct]]))</f>
        <v>4866.3288000000002</v>
      </c>
      <c r="Z280" s="9">
        <f t="shared" si="55"/>
        <v>2353.1688000000004</v>
      </c>
      <c r="AA280">
        <f>COUNTIF($G$2:G281,G280)</f>
        <v>24</v>
      </c>
      <c r="AB280" s="21">
        <f t="shared" si="56"/>
        <v>44988</v>
      </c>
      <c r="AC280" s="21">
        <f t="shared" si="57"/>
        <v>45016</v>
      </c>
      <c r="AD280" s="5">
        <f>(Table1[[#This Row],[OrderDate]]-Table1[[#This Row],[Date of first order]])/30</f>
        <v>12.466666666666667</v>
      </c>
      <c r="AE280" t="str">
        <f t="shared" si="58"/>
        <v>Poor</v>
      </c>
      <c r="AF280">
        <f>COUNTIF(AE$2:AE281,AE280)</f>
        <v>201</v>
      </c>
      <c r="AG280" t="str">
        <f t="shared" si="59"/>
        <v>False</v>
      </c>
      <c r="AH280" s="7">
        <f>Table1[[#This Row],[UnitPrice]]*(1-Table1[[#This Row],[Disc Scenario]])*Table1[[#This Row],[Quantity]]</f>
        <v>4866.3288000000002</v>
      </c>
      <c r="AI280">
        <f>ROUNDDOWN((Table1[[#This Row],[Quantity]]*(1+20%)),0)</f>
        <v>10</v>
      </c>
      <c r="AJ280" s="7">
        <f>Table1[[#This Row],[Quantity increase by 20%]]*Table1[[#This Row],[UnitPrice]]</f>
        <v>6089</v>
      </c>
      <c r="AK280">
        <f>ROUNDDOWN(Table1[[#This Row],[Quantity]]*(1+20%),0)</f>
        <v>10</v>
      </c>
      <c r="AL280" s="7">
        <f>Table1[[#This Row],[UnitCost]]*(1+15%)</f>
        <v>321.12599999999998</v>
      </c>
      <c r="AM280" s="9">
        <f>Table1[[#This Row],[Quantity]]*Table1[[#This Row],[Cost of unit by inflation 15%]]</f>
        <v>2890.134</v>
      </c>
      <c r="AN280" s="21" cm="1">
        <f t="array" ref="AN280">_xlfn.UNIQUE(AC280)</f>
        <v>45016</v>
      </c>
    </row>
    <row r="281" spans="1:40" x14ac:dyDescent="0.35">
      <c r="A281" t="s">
        <v>600</v>
      </c>
      <c r="B281" s="21">
        <v>45364</v>
      </c>
      <c r="C281" s="10">
        <v>45388</v>
      </c>
      <c r="D281" s="3">
        <f t="shared" si="48"/>
        <v>24</v>
      </c>
      <c r="E281" s="10" t="str">
        <f t="shared" si="49"/>
        <v>Q1-2024</v>
      </c>
      <c r="F281" t="s">
        <v>645</v>
      </c>
      <c r="G281" t="s">
        <v>650</v>
      </c>
      <c r="H281" t="s">
        <v>668</v>
      </c>
      <c r="I281" t="s">
        <v>703</v>
      </c>
      <c r="J281" t="s">
        <v>709</v>
      </c>
      <c r="K281" t="s">
        <v>715</v>
      </c>
      <c r="L281" t="s">
        <v>726</v>
      </c>
      <c r="M281" t="s">
        <v>1316</v>
      </c>
      <c r="N281" s="3">
        <v>1232.78</v>
      </c>
      <c r="O281" s="3">
        <v>1731.75</v>
      </c>
      <c r="P281" s="6">
        <v>9.2999999999999999E-2</v>
      </c>
      <c r="Q281" s="6">
        <f>IF(Table1[[#This Row],[DiscountPct]]&gt;25%,25%,Table1[[#This Row],[DiscountPct]])</f>
        <v>9.2999999999999999E-2</v>
      </c>
      <c r="R281" s="5">
        <v>16</v>
      </c>
      <c r="S281" s="6">
        <f t="shared" si="50"/>
        <v>0.40475186164603583</v>
      </c>
      <c r="T281" s="8">
        <f t="shared" si="51"/>
        <v>25131.155999999999</v>
      </c>
      <c r="U281" s="8">
        <f t="shared" si="52"/>
        <v>19724.48</v>
      </c>
      <c r="V281" s="9">
        <f t="shared" si="53"/>
        <v>5406.6759999999995</v>
      </c>
      <c r="W281" s="6">
        <f t="shared" si="54"/>
        <v>0.21513837246484005</v>
      </c>
      <c r="X281" t="str" cm="1">
        <f t="array" ref="X281">_xlfn.IFS(S281&lt;=25%, "Low", S281&lt;=75%, "Medium", S281&gt;75%, "High")</f>
        <v>Medium</v>
      </c>
      <c r="Y281" s="8">
        <f>Table1[[#This Row],[Quantity]]*(Table1[[#This Row],[UnitPrice]]*(1-Table1[[#This Row],[DiscountPct]]))</f>
        <v>25131.155999999999</v>
      </c>
      <c r="Z281" s="9">
        <f t="shared" si="55"/>
        <v>5406.6759999999995</v>
      </c>
      <c r="AA281">
        <f>COUNTIF($G$2:G282,G281)</f>
        <v>17</v>
      </c>
      <c r="AB281" s="21">
        <f t="shared" si="56"/>
        <v>44988</v>
      </c>
      <c r="AC281" s="21">
        <f t="shared" si="57"/>
        <v>45016</v>
      </c>
      <c r="AD281" s="5">
        <f>(Table1[[#This Row],[OrderDate]]-Table1[[#This Row],[Date of first order]])/30</f>
        <v>12.533333333333333</v>
      </c>
      <c r="AE281" t="str">
        <f t="shared" si="58"/>
        <v>Poor</v>
      </c>
      <c r="AF281">
        <f>COUNTIF(AE$2:AE282,AE281)</f>
        <v>202</v>
      </c>
      <c r="AG281" t="str">
        <f t="shared" si="59"/>
        <v>False</v>
      </c>
      <c r="AH281" s="7">
        <f>Table1[[#This Row],[UnitPrice]]*(1-Table1[[#This Row],[Disc Scenario]])*Table1[[#This Row],[Quantity]]</f>
        <v>25131.155999999999</v>
      </c>
      <c r="AI281">
        <f>ROUNDDOWN((Table1[[#This Row],[Quantity]]*(1+20%)),0)</f>
        <v>19</v>
      </c>
      <c r="AJ281" s="7">
        <f>Table1[[#This Row],[Quantity increase by 20%]]*Table1[[#This Row],[UnitPrice]]</f>
        <v>32903.25</v>
      </c>
      <c r="AK281">
        <f>ROUNDDOWN(Table1[[#This Row],[Quantity]]*(1+20%),0)</f>
        <v>19</v>
      </c>
      <c r="AL281" s="7">
        <f>Table1[[#This Row],[UnitCost]]*(1+15%)</f>
        <v>1417.6969999999999</v>
      </c>
      <c r="AM281" s="9">
        <f>Table1[[#This Row],[Quantity]]*Table1[[#This Row],[Cost of unit by inflation 15%]]</f>
        <v>22683.151999999998</v>
      </c>
      <c r="AN281" s="21" cm="1">
        <f t="array" ref="AN281">_xlfn.UNIQUE(AC281)</f>
        <v>45016</v>
      </c>
    </row>
    <row r="282" spans="1:40" x14ac:dyDescent="0.35">
      <c r="A282" t="s">
        <v>265</v>
      </c>
      <c r="B282" s="21">
        <v>45366</v>
      </c>
      <c r="C282" s="10">
        <v>45391</v>
      </c>
      <c r="D282" s="3">
        <f t="shared" si="48"/>
        <v>25</v>
      </c>
      <c r="E282" s="10" t="str">
        <f t="shared" si="49"/>
        <v>Q1-2024</v>
      </c>
      <c r="F282" t="s">
        <v>647</v>
      </c>
      <c r="G282" t="s">
        <v>652</v>
      </c>
      <c r="H282" t="s">
        <v>687</v>
      </c>
      <c r="I282" t="s">
        <v>703</v>
      </c>
      <c r="J282" t="s">
        <v>707</v>
      </c>
      <c r="K282" t="s">
        <v>720</v>
      </c>
      <c r="L282" t="s">
        <v>731</v>
      </c>
      <c r="M282" t="s">
        <v>983</v>
      </c>
      <c r="N282" s="3">
        <v>648.64</v>
      </c>
      <c r="O282" s="3">
        <v>815.19</v>
      </c>
      <c r="P282" s="6">
        <v>0.22500000000000001</v>
      </c>
      <c r="Q282" s="6">
        <f>IF(Table1[[#This Row],[DiscountPct]]&gt;25%,25%,Table1[[#This Row],[DiscountPct]])</f>
        <v>0.22500000000000001</v>
      </c>
      <c r="R282" s="5">
        <v>28</v>
      </c>
      <c r="S282" s="6">
        <f t="shared" si="50"/>
        <v>0.25676800690675888</v>
      </c>
      <c r="T282" s="8">
        <f t="shared" si="51"/>
        <v>17689.623</v>
      </c>
      <c r="U282" s="8">
        <f t="shared" si="52"/>
        <v>18161.919999999998</v>
      </c>
      <c r="V282" s="9">
        <f t="shared" si="53"/>
        <v>-472.29699999999866</v>
      </c>
      <c r="W282" s="6">
        <f t="shared" si="54"/>
        <v>-2.6699099240272032E-2</v>
      </c>
      <c r="X282" t="str" cm="1">
        <f t="array" ref="X282">_xlfn.IFS(S282&lt;=25%, "Low", S282&lt;=75%, "Medium", S282&gt;75%, "High")</f>
        <v>Medium</v>
      </c>
      <c r="Y282" s="8">
        <f>Table1[[#This Row],[Quantity]]*(Table1[[#This Row],[UnitPrice]]*(1-Table1[[#This Row],[DiscountPct]]))</f>
        <v>17689.623000000003</v>
      </c>
      <c r="Z282" s="9">
        <f t="shared" si="55"/>
        <v>-472.29699999999502</v>
      </c>
      <c r="AA282">
        <f>COUNTIF($G$2:G283,G282)</f>
        <v>20</v>
      </c>
      <c r="AB282" s="21">
        <f t="shared" si="56"/>
        <v>44988</v>
      </c>
      <c r="AC282" s="21">
        <f t="shared" si="57"/>
        <v>45016</v>
      </c>
      <c r="AD282" s="5">
        <f>(Table1[[#This Row],[OrderDate]]-Table1[[#This Row],[Date of first order]])/30</f>
        <v>12.6</v>
      </c>
      <c r="AE282" t="str">
        <f t="shared" si="58"/>
        <v>Poor</v>
      </c>
      <c r="AF282">
        <f>COUNTIF(AE$2:AE283,AE282)</f>
        <v>203</v>
      </c>
      <c r="AG282" t="str">
        <f t="shared" si="59"/>
        <v>True</v>
      </c>
      <c r="AH282" s="7">
        <f>Table1[[#This Row],[UnitPrice]]*(1-Table1[[#This Row],[Disc Scenario]])*Table1[[#This Row],[Quantity]]</f>
        <v>17689.623000000003</v>
      </c>
      <c r="AI282">
        <f>ROUNDDOWN((Table1[[#This Row],[Quantity]]*(1+20%)),0)</f>
        <v>33</v>
      </c>
      <c r="AJ282" s="7">
        <f>Table1[[#This Row],[Quantity increase by 20%]]*Table1[[#This Row],[UnitPrice]]</f>
        <v>26901.27</v>
      </c>
      <c r="AK282">
        <f>ROUNDDOWN(Table1[[#This Row],[Quantity]]*(1+20%),0)</f>
        <v>33</v>
      </c>
      <c r="AL282" s="7">
        <f>Table1[[#This Row],[UnitCost]]*(1+15%)</f>
        <v>745.93599999999992</v>
      </c>
      <c r="AM282" s="9">
        <f>Table1[[#This Row],[Quantity]]*Table1[[#This Row],[Cost of unit by inflation 15%]]</f>
        <v>20886.207999999999</v>
      </c>
      <c r="AN282" s="21" cm="1">
        <f t="array" ref="AN282">_xlfn.UNIQUE(AC282)</f>
        <v>45016</v>
      </c>
    </row>
    <row r="283" spans="1:40" x14ac:dyDescent="0.35">
      <c r="A283" t="s">
        <v>287</v>
      </c>
      <c r="B283" s="21">
        <v>45367</v>
      </c>
      <c r="C283" s="10">
        <v>45395</v>
      </c>
      <c r="D283" s="3">
        <f t="shared" si="48"/>
        <v>28</v>
      </c>
      <c r="E283" s="10" t="str">
        <f t="shared" si="49"/>
        <v>Q1-2024</v>
      </c>
      <c r="F283" t="s">
        <v>648</v>
      </c>
      <c r="G283" t="s">
        <v>656</v>
      </c>
      <c r="H283" t="s">
        <v>689</v>
      </c>
      <c r="I283" t="s">
        <v>704</v>
      </c>
      <c r="J283" t="s">
        <v>707</v>
      </c>
      <c r="K283" t="s">
        <v>722</v>
      </c>
      <c r="L283" t="s">
        <v>727</v>
      </c>
      <c r="M283" t="s">
        <v>1005</v>
      </c>
      <c r="N283" s="3">
        <v>287.61</v>
      </c>
      <c r="O283" s="3">
        <v>628.54</v>
      </c>
      <c r="P283" s="6">
        <v>0.13500000000000001</v>
      </c>
      <c r="Q283" s="6">
        <f>IF(Table1[[#This Row],[DiscountPct]]&gt;25%,25%,Table1[[#This Row],[DiscountPct]])</f>
        <v>0.13500000000000001</v>
      </c>
      <c r="R283" s="5">
        <v>21</v>
      </c>
      <c r="S283" s="6">
        <f t="shared" si="50"/>
        <v>1.1853899377629427</v>
      </c>
      <c r="T283" s="8">
        <f t="shared" si="51"/>
        <v>11417.429099999999</v>
      </c>
      <c r="U283" s="8">
        <f t="shared" si="52"/>
        <v>6039.81</v>
      </c>
      <c r="V283" s="9">
        <f t="shared" si="53"/>
        <v>5377.619099999999</v>
      </c>
      <c r="W283" s="6">
        <f t="shared" si="54"/>
        <v>0.47100087531964613</v>
      </c>
      <c r="X283" t="str" cm="1">
        <f t="array" ref="X283">_xlfn.IFS(S283&lt;=25%, "Low", S283&lt;=75%, "Medium", S283&gt;75%, "High")</f>
        <v>High</v>
      </c>
      <c r="Y283" s="8">
        <f>Table1[[#This Row],[Quantity]]*(Table1[[#This Row],[UnitPrice]]*(1-Table1[[#This Row],[DiscountPct]]))</f>
        <v>11417.429099999999</v>
      </c>
      <c r="Z283" s="9">
        <f t="shared" si="55"/>
        <v>5377.619099999999</v>
      </c>
      <c r="AA283">
        <f>COUNTIF($G$2:G284,G283)</f>
        <v>22</v>
      </c>
      <c r="AB283" s="21">
        <f t="shared" si="56"/>
        <v>44988</v>
      </c>
      <c r="AC283" s="21">
        <f t="shared" si="57"/>
        <v>45016</v>
      </c>
      <c r="AD283" s="5">
        <f>(Table1[[#This Row],[OrderDate]]-Table1[[#This Row],[Date of first order]])/30</f>
        <v>12.633333333333333</v>
      </c>
      <c r="AE283" t="str">
        <f t="shared" si="58"/>
        <v>Poor</v>
      </c>
      <c r="AF283">
        <f>COUNTIF(AE$2:AE284,AE283)</f>
        <v>203</v>
      </c>
      <c r="AG283" t="str">
        <f t="shared" si="59"/>
        <v>False</v>
      </c>
      <c r="AH283" s="7">
        <f>Table1[[#This Row],[UnitPrice]]*(1-Table1[[#This Row],[Disc Scenario]])*Table1[[#This Row],[Quantity]]</f>
        <v>11417.429099999999</v>
      </c>
      <c r="AI283">
        <f>ROUNDDOWN((Table1[[#This Row],[Quantity]]*(1+20%)),0)</f>
        <v>25</v>
      </c>
      <c r="AJ283" s="7">
        <f>Table1[[#This Row],[Quantity increase by 20%]]*Table1[[#This Row],[UnitPrice]]</f>
        <v>15713.5</v>
      </c>
      <c r="AK283">
        <f>ROUNDDOWN(Table1[[#This Row],[Quantity]]*(1+20%),0)</f>
        <v>25</v>
      </c>
      <c r="AL283" s="7">
        <f>Table1[[#This Row],[UnitCost]]*(1+15%)</f>
        <v>330.75149999999996</v>
      </c>
      <c r="AM283" s="9">
        <f>Table1[[#This Row],[Quantity]]*Table1[[#This Row],[Cost of unit by inflation 15%]]</f>
        <v>6945.7814999999991</v>
      </c>
      <c r="AN283" s="21" cm="1">
        <f t="array" ref="AN283">_xlfn.UNIQUE(AC283)</f>
        <v>45016</v>
      </c>
    </row>
    <row r="284" spans="1:40" x14ac:dyDescent="0.35">
      <c r="A284" t="s">
        <v>85</v>
      </c>
      <c r="B284" s="21">
        <v>45369</v>
      </c>
      <c r="C284" s="10">
        <v>45372</v>
      </c>
      <c r="D284" s="3">
        <f t="shared" si="48"/>
        <v>3</v>
      </c>
      <c r="E284" s="10" t="str">
        <f t="shared" si="49"/>
        <v>Q1-2024</v>
      </c>
      <c r="F284" t="s">
        <v>648</v>
      </c>
      <c r="G284" t="s">
        <v>655</v>
      </c>
      <c r="H284" t="s">
        <v>683</v>
      </c>
      <c r="I284" t="s">
        <v>704</v>
      </c>
      <c r="J284" t="s">
        <v>707</v>
      </c>
      <c r="K284" t="s">
        <v>723</v>
      </c>
      <c r="L284" t="s">
        <v>732</v>
      </c>
      <c r="M284" t="s">
        <v>803</v>
      </c>
      <c r="N284" s="3">
        <v>910.63</v>
      </c>
      <c r="O284" s="3">
        <v>1269.4000000000001</v>
      </c>
      <c r="P284" s="6">
        <v>6.8000000000000005E-2</v>
      </c>
      <c r="Q284" s="6">
        <f>IF(Table1[[#This Row],[DiscountPct]]&gt;25%,25%,Table1[[#This Row],[DiscountPct]])</f>
        <v>6.8000000000000005E-2</v>
      </c>
      <c r="R284" s="5">
        <v>9</v>
      </c>
      <c r="S284" s="6">
        <f t="shared" si="50"/>
        <v>0.39397999187375782</v>
      </c>
      <c r="T284" s="8">
        <f t="shared" si="51"/>
        <v>10647.727199999999</v>
      </c>
      <c r="U284" s="8">
        <f t="shared" si="52"/>
        <v>8195.67</v>
      </c>
      <c r="V284" s="9">
        <f t="shared" si="53"/>
        <v>2452.0571999999993</v>
      </c>
      <c r="W284" s="6">
        <f t="shared" si="54"/>
        <v>0.23028925834989455</v>
      </c>
      <c r="X284" t="str" cm="1">
        <f t="array" ref="X284">_xlfn.IFS(S284&lt;=25%, "Low", S284&lt;=75%, "Medium", S284&gt;75%, "High")</f>
        <v>Medium</v>
      </c>
      <c r="Y284" s="8">
        <f>Table1[[#This Row],[Quantity]]*(Table1[[#This Row],[UnitPrice]]*(1-Table1[[#This Row],[DiscountPct]]))</f>
        <v>10647.727199999999</v>
      </c>
      <c r="Z284" s="9">
        <f t="shared" si="55"/>
        <v>2452.0571999999993</v>
      </c>
      <c r="AA284">
        <f>COUNTIF($G$2:G285,G284)</f>
        <v>25</v>
      </c>
      <c r="AB284" s="21">
        <f t="shared" si="56"/>
        <v>44988</v>
      </c>
      <c r="AC284" s="21">
        <f t="shared" si="57"/>
        <v>45016</v>
      </c>
      <c r="AD284" s="5">
        <f>(Table1[[#This Row],[OrderDate]]-Table1[[#This Row],[Date of first order]])/30</f>
        <v>12.7</v>
      </c>
      <c r="AE284" t="str">
        <f t="shared" si="58"/>
        <v>Good</v>
      </c>
      <c r="AF284">
        <f>COUNTIF(AE$2:AE285,AE284)</f>
        <v>81</v>
      </c>
      <c r="AG284" t="str">
        <f t="shared" si="59"/>
        <v>False</v>
      </c>
      <c r="AH284" s="7">
        <f>Table1[[#This Row],[UnitPrice]]*(1-Table1[[#This Row],[Disc Scenario]])*Table1[[#This Row],[Quantity]]</f>
        <v>10647.727199999999</v>
      </c>
      <c r="AI284">
        <f>ROUNDDOWN((Table1[[#This Row],[Quantity]]*(1+20%)),0)</f>
        <v>10</v>
      </c>
      <c r="AJ284" s="7">
        <f>Table1[[#This Row],[Quantity increase by 20%]]*Table1[[#This Row],[UnitPrice]]</f>
        <v>12694</v>
      </c>
      <c r="AK284">
        <f>ROUNDDOWN(Table1[[#This Row],[Quantity]]*(1+20%),0)</f>
        <v>10</v>
      </c>
      <c r="AL284" s="7">
        <f>Table1[[#This Row],[UnitCost]]*(1+15%)</f>
        <v>1047.2244999999998</v>
      </c>
      <c r="AM284" s="9">
        <f>Table1[[#This Row],[Quantity]]*Table1[[#This Row],[Cost of unit by inflation 15%]]</f>
        <v>9425.0204999999987</v>
      </c>
      <c r="AN284" s="21" cm="1">
        <f t="array" ref="AN284">_xlfn.UNIQUE(AC284)</f>
        <v>45016</v>
      </c>
    </row>
    <row r="285" spans="1:40" x14ac:dyDescent="0.35">
      <c r="A285" t="s">
        <v>454</v>
      </c>
      <c r="B285" s="21">
        <v>45374</v>
      </c>
      <c r="C285" s="10">
        <v>45377</v>
      </c>
      <c r="D285" s="3">
        <f t="shared" si="48"/>
        <v>3</v>
      </c>
      <c r="E285" s="10" t="str">
        <f t="shared" si="49"/>
        <v>Q1-2024</v>
      </c>
      <c r="F285" t="s">
        <v>646</v>
      </c>
      <c r="G285" t="s">
        <v>653</v>
      </c>
      <c r="H285" t="s">
        <v>667</v>
      </c>
      <c r="I285" t="s">
        <v>701</v>
      </c>
      <c r="J285" t="s">
        <v>710</v>
      </c>
      <c r="K285" t="s">
        <v>714</v>
      </c>
      <c r="L285" t="s">
        <v>729</v>
      </c>
      <c r="M285" t="s">
        <v>1171</v>
      </c>
      <c r="N285" s="3">
        <v>382.21</v>
      </c>
      <c r="O285" s="3">
        <v>571.89</v>
      </c>
      <c r="P285" s="6">
        <v>0.14799999999999999</v>
      </c>
      <c r="Q285" s="6">
        <f>IF(Table1[[#This Row],[DiscountPct]]&gt;25%,25%,Table1[[#This Row],[DiscountPct]])</f>
        <v>0.14799999999999999</v>
      </c>
      <c r="R285" s="5">
        <v>26</v>
      </c>
      <c r="S285" s="6">
        <f t="shared" si="50"/>
        <v>0.49627168310614589</v>
      </c>
      <c r="T285" s="8">
        <f t="shared" si="51"/>
        <v>12668.50728</v>
      </c>
      <c r="U285" s="8">
        <f t="shared" si="52"/>
        <v>9937.4599999999991</v>
      </c>
      <c r="V285" s="9">
        <f t="shared" si="53"/>
        <v>2731.0472800000007</v>
      </c>
      <c r="W285" s="6">
        <f t="shared" si="54"/>
        <v>0.2155776698578809</v>
      </c>
      <c r="X285" t="str" cm="1">
        <f t="array" ref="X285">_xlfn.IFS(S285&lt;=25%, "Low", S285&lt;=75%, "Medium", S285&gt;75%, "High")</f>
        <v>Medium</v>
      </c>
      <c r="Y285" s="8">
        <f>Table1[[#This Row],[Quantity]]*(Table1[[#This Row],[UnitPrice]]*(1-Table1[[#This Row],[DiscountPct]]))</f>
        <v>12668.50728</v>
      </c>
      <c r="Z285" s="9">
        <f t="shared" si="55"/>
        <v>2731.0472800000007</v>
      </c>
      <c r="AA285">
        <f>COUNTIF($G$2:G286,G285)</f>
        <v>30</v>
      </c>
      <c r="AB285" s="21">
        <f t="shared" si="56"/>
        <v>44988</v>
      </c>
      <c r="AC285" s="21">
        <f t="shared" si="57"/>
        <v>45016</v>
      </c>
      <c r="AD285" s="5">
        <f>(Table1[[#This Row],[OrderDate]]-Table1[[#This Row],[Date of first order]])/30</f>
        <v>12.866666666666667</v>
      </c>
      <c r="AE285" t="str">
        <f t="shared" si="58"/>
        <v>Good</v>
      </c>
      <c r="AF285">
        <f>COUNTIF(AE$2:AE286,AE285)</f>
        <v>81</v>
      </c>
      <c r="AG285" t="str">
        <f t="shared" si="59"/>
        <v>False</v>
      </c>
      <c r="AH285" s="7">
        <f>Table1[[#This Row],[UnitPrice]]*(1-Table1[[#This Row],[Disc Scenario]])*Table1[[#This Row],[Quantity]]</f>
        <v>12668.50728</v>
      </c>
      <c r="AI285">
        <f>ROUNDDOWN((Table1[[#This Row],[Quantity]]*(1+20%)),0)</f>
        <v>31</v>
      </c>
      <c r="AJ285" s="7">
        <f>Table1[[#This Row],[Quantity increase by 20%]]*Table1[[#This Row],[UnitPrice]]</f>
        <v>17728.59</v>
      </c>
      <c r="AK285">
        <f>ROUNDDOWN(Table1[[#This Row],[Quantity]]*(1+20%),0)</f>
        <v>31</v>
      </c>
      <c r="AL285" s="7">
        <f>Table1[[#This Row],[UnitCost]]*(1+15%)</f>
        <v>439.54149999999993</v>
      </c>
      <c r="AM285" s="9">
        <f>Table1[[#This Row],[Quantity]]*Table1[[#This Row],[Cost of unit by inflation 15%]]</f>
        <v>11428.078999999998</v>
      </c>
      <c r="AN285" s="21" cm="1">
        <f t="array" ref="AN285">_xlfn.UNIQUE(AC285)</f>
        <v>45016</v>
      </c>
    </row>
    <row r="286" spans="1:40" x14ac:dyDescent="0.35">
      <c r="A286" t="s">
        <v>311</v>
      </c>
      <c r="B286" s="21">
        <v>45377</v>
      </c>
      <c r="C286" s="10">
        <v>45387</v>
      </c>
      <c r="D286" s="3">
        <f t="shared" si="48"/>
        <v>10</v>
      </c>
      <c r="E286" s="10" t="str">
        <f t="shared" si="49"/>
        <v>Q1-2024</v>
      </c>
      <c r="F286" t="s">
        <v>647</v>
      </c>
      <c r="G286" t="s">
        <v>659</v>
      </c>
      <c r="H286" t="s">
        <v>696</v>
      </c>
      <c r="I286" t="s">
        <v>703</v>
      </c>
      <c r="J286" t="s">
        <v>710</v>
      </c>
      <c r="K286" t="s">
        <v>712</v>
      </c>
      <c r="L286" t="s">
        <v>731</v>
      </c>
      <c r="M286" t="s">
        <v>1029</v>
      </c>
      <c r="N286" s="3">
        <v>5.66</v>
      </c>
      <c r="O286" s="3">
        <v>9.9616000000000007</v>
      </c>
      <c r="P286" s="6">
        <v>0.11899999999999999</v>
      </c>
      <c r="Q286" s="6">
        <f>IF(Table1[[#This Row],[DiscountPct]]&gt;25%,25%,Table1[[#This Row],[DiscountPct]])</f>
        <v>0.11899999999999999</v>
      </c>
      <c r="R286" s="5">
        <v>18</v>
      </c>
      <c r="S286" s="6">
        <f t="shared" si="50"/>
        <v>0.76000000000000012</v>
      </c>
      <c r="T286" s="8">
        <f t="shared" si="51"/>
        <v>157.97105280000002</v>
      </c>
      <c r="U286" s="8">
        <f t="shared" si="52"/>
        <v>101.88</v>
      </c>
      <c r="V286" s="9">
        <f t="shared" si="53"/>
        <v>56.091052800000028</v>
      </c>
      <c r="W286" s="6">
        <f t="shared" si="54"/>
        <v>0.35507171602517812</v>
      </c>
      <c r="X286" t="str" cm="1">
        <f t="array" ref="X286">_xlfn.IFS(S286&lt;=25%, "Low", S286&lt;=75%, "Medium", S286&gt;75%, "High")</f>
        <v>High</v>
      </c>
      <c r="Y286" s="8">
        <f>Table1[[#This Row],[Quantity]]*(Table1[[#This Row],[UnitPrice]]*(1-Table1[[#This Row],[DiscountPct]]))</f>
        <v>157.97105280000002</v>
      </c>
      <c r="Z286" s="9">
        <f t="shared" si="55"/>
        <v>56.091052800000028</v>
      </c>
      <c r="AA286">
        <f>COUNTIF($G$2:G287,G286)</f>
        <v>28</v>
      </c>
      <c r="AB286" s="21">
        <f t="shared" si="56"/>
        <v>44988</v>
      </c>
      <c r="AC286" s="21">
        <f t="shared" si="57"/>
        <v>45016</v>
      </c>
      <c r="AD286" s="5">
        <f>(Table1[[#This Row],[OrderDate]]-Table1[[#This Row],[Date of first order]])/30</f>
        <v>12.966666666666667</v>
      </c>
      <c r="AE286" t="str">
        <f t="shared" si="58"/>
        <v>Poor</v>
      </c>
      <c r="AF286">
        <f>COUNTIF(AE$2:AE287,AE286)</f>
        <v>205</v>
      </c>
      <c r="AG286" t="str">
        <f t="shared" si="59"/>
        <v>False</v>
      </c>
      <c r="AH286" s="7">
        <f>Table1[[#This Row],[UnitPrice]]*(1-Table1[[#This Row],[Disc Scenario]])*Table1[[#This Row],[Quantity]]</f>
        <v>157.97105280000002</v>
      </c>
      <c r="AI286">
        <f>ROUNDDOWN((Table1[[#This Row],[Quantity]]*(1+20%)),0)</f>
        <v>21</v>
      </c>
      <c r="AJ286" s="7">
        <f>Table1[[#This Row],[Quantity increase by 20%]]*Table1[[#This Row],[UnitPrice]]</f>
        <v>209.1936</v>
      </c>
      <c r="AK286">
        <f>ROUNDDOWN(Table1[[#This Row],[Quantity]]*(1+20%),0)</f>
        <v>21</v>
      </c>
      <c r="AL286" s="7">
        <f>Table1[[#This Row],[UnitCost]]*(1+15%)</f>
        <v>6.5089999999999995</v>
      </c>
      <c r="AM286" s="9">
        <f>Table1[[#This Row],[Quantity]]*Table1[[#This Row],[Cost of unit by inflation 15%]]</f>
        <v>117.16199999999999</v>
      </c>
      <c r="AN286" s="21" cm="1">
        <f t="array" ref="AN286">_xlfn.UNIQUE(AC286)</f>
        <v>45016</v>
      </c>
    </row>
    <row r="287" spans="1:40" x14ac:dyDescent="0.35">
      <c r="A287" t="s">
        <v>289</v>
      </c>
      <c r="B287" s="21">
        <v>45378</v>
      </c>
      <c r="C287" s="10">
        <v>45393</v>
      </c>
      <c r="D287" s="3">
        <f t="shared" si="48"/>
        <v>15</v>
      </c>
      <c r="E287" s="10" t="str">
        <f t="shared" si="49"/>
        <v>Q1-2024</v>
      </c>
      <c r="F287" t="s">
        <v>647</v>
      </c>
      <c r="G287" t="s">
        <v>659</v>
      </c>
      <c r="H287" t="s">
        <v>685</v>
      </c>
      <c r="I287" t="s">
        <v>704</v>
      </c>
      <c r="J287" t="s">
        <v>710</v>
      </c>
      <c r="K287" t="s">
        <v>718</v>
      </c>
      <c r="L287" t="s">
        <v>728</v>
      </c>
      <c r="M287" t="s">
        <v>1007</v>
      </c>
      <c r="N287" s="3">
        <v>1338.35</v>
      </c>
      <c r="O287" s="3">
        <v>2247.14</v>
      </c>
      <c r="P287" s="6">
        <v>0.115</v>
      </c>
      <c r="Q287" s="6">
        <f>IF(Table1[[#This Row],[DiscountPct]]&gt;25%,25%,Table1[[#This Row],[DiscountPct]])</f>
        <v>0.115</v>
      </c>
      <c r="R287" s="5">
        <v>40</v>
      </c>
      <c r="S287" s="6">
        <f t="shared" si="50"/>
        <v>0.67903762095117126</v>
      </c>
      <c r="T287" s="8">
        <f t="shared" si="51"/>
        <v>79548.755999999994</v>
      </c>
      <c r="U287" s="8">
        <f t="shared" si="52"/>
        <v>53534</v>
      </c>
      <c r="V287" s="9">
        <f t="shared" si="53"/>
        <v>26014.755999999994</v>
      </c>
      <c r="W287" s="6">
        <f t="shared" si="54"/>
        <v>0.32702907384246205</v>
      </c>
      <c r="X287" t="str" cm="1">
        <f t="array" ref="X287">_xlfn.IFS(S287&lt;=25%, "Low", S287&lt;=75%, "Medium", S287&gt;75%, "High")</f>
        <v>Medium</v>
      </c>
      <c r="Y287" s="8">
        <f>Table1[[#This Row],[Quantity]]*(Table1[[#This Row],[UnitPrice]]*(1-Table1[[#This Row],[DiscountPct]]))</f>
        <v>79548.755999999994</v>
      </c>
      <c r="Z287" s="9">
        <f t="shared" si="55"/>
        <v>26014.755999999994</v>
      </c>
      <c r="AA287">
        <f>COUNTIF($G$2:G288,G287)</f>
        <v>29</v>
      </c>
      <c r="AB287" s="21">
        <f t="shared" si="56"/>
        <v>44988</v>
      </c>
      <c r="AC287" s="21">
        <f t="shared" si="57"/>
        <v>45016</v>
      </c>
      <c r="AD287" s="5">
        <f>(Table1[[#This Row],[OrderDate]]-Table1[[#This Row],[Date of first order]])/30</f>
        <v>13</v>
      </c>
      <c r="AE287" t="str">
        <f t="shared" si="58"/>
        <v>Poor</v>
      </c>
      <c r="AF287">
        <f>COUNTIF(AE$2:AE288,AE287)</f>
        <v>206</v>
      </c>
      <c r="AG287" t="str">
        <f t="shared" si="59"/>
        <v>False</v>
      </c>
      <c r="AH287" s="7">
        <f>Table1[[#This Row],[UnitPrice]]*(1-Table1[[#This Row],[Disc Scenario]])*Table1[[#This Row],[Quantity]]</f>
        <v>79548.755999999994</v>
      </c>
      <c r="AI287">
        <f>ROUNDDOWN((Table1[[#This Row],[Quantity]]*(1+20%)),0)</f>
        <v>48</v>
      </c>
      <c r="AJ287" s="7">
        <f>Table1[[#This Row],[Quantity increase by 20%]]*Table1[[#This Row],[UnitPrice]]</f>
        <v>107862.72</v>
      </c>
      <c r="AK287">
        <f>ROUNDDOWN(Table1[[#This Row],[Quantity]]*(1+20%),0)</f>
        <v>48</v>
      </c>
      <c r="AL287" s="7">
        <f>Table1[[#This Row],[UnitCost]]*(1+15%)</f>
        <v>1539.1024999999997</v>
      </c>
      <c r="AM287" s="9">
        <f>Table1[[#This Row],[Quantity]]*Table1[[#This Row],[Cost of unit by inflation 15%]]</f>
        <v>61564.099999999991</v>
      </c>
      <c r="AN287" s="21" cm="1">
        <f t="array" ref="AN287">_xlfn.UNIQUE(AC287)</f>
        <v>45016</v>
      </c>
    </row>
    <row r="288" spans="1:40" x14ac:dyDescent="0.35">
      <c r="A288" t="s">
        <v>252</v>
      </c>
      <c r="B288" s="21">
        <v>45381</v>
      </c>
      <c r="C288" s="10">
        <v>45406</v>
      </c>
      <c r="D288" s="3">
        <f t="shared" si="48"/>
        <v>25</v>
      </c>
      <c r="E288" s="10" t="str">
        <f t="shared" si="49"/>
        <v>Q1-2024</v>
      </c>
      <c r="F288" t="s">
        <v>647</v>
      </c>
      <c r="G288" t="s">
        <v>659</v>
      </c>
      <c r="H288" t="s">
        <v>696</v>
      </c>
      <c r="I288" t="s">
        <v>702</v>
      </c>
      <c r="J288" t="s">
        <v>707</v>
      </c>
      <c r="K288" t="s">
        <v>714</v>
      </c>
      <c r="L288" t="s">
        <v>730</v>
      </c>
      <c r="M288" t="s">
        <v>970</v>
      </c>
      <c r="N288" s="3">
        <v>160.82</v>
      </c>
      <c r="O288" s="3">
        <v>258.52</v>
      </c>
      <c r="P288" s="6">
        <v>0.13</v>
      </c>
      <c r="Q288" s="6">
        <f>IF(Table1[[#This Row],[DiscountPct]]&gt;25%,25%,Table1[[#This Row],[DiscountPct]])</f>
        <v>0.13</v>
      </c>
      <c r="R288" s="5">
        <v>17</v>
      </c>
      <c r="S288" s="6">
        <f t="shared" si="50"/>
        <v>0.60751150354433525</v>
      </c>
      <c r="T288" s="8">
        <f t="shared" si="51"/>
        <v>3823.5108</v>
      </c>
      <c r="U288" s="8">
        <f t="shared" si="52"/>
        <v>2733.94</v>
      </c>
      <c r="V288" s="9">
        <f t="shared" si="53"/>
        <v>1089.5708</v>
      </c>
      <c r="W288" s="6">
        <f t="shared" si="54"/>
        <v>0.28496605789631874</v>
      </c>
      <c r="X288" t="str" cm="1">
        <f t="array" ref="X288">_xlfn.IFS(S288&lt;=25%, "Low", S288&lt;=75%, "Medium", S288&gt;75%, "High")</f>
        <v>Medium</v>
      </c>
      <c r="Y288" s="8">
        <f>Table1[[#This Row],[Quantity]]*(Table1[[#This Row],[UnitPrice]]*(1-Table1[[#This Row],[DiscountPct]]))</f>
        <v>3823.5108</v>
      </c>
      <c r="Z288" s="9">
        <f t="shared" si="55"/>
        <v>1089.5708</v>
      </c>
      <c r="AA288">
        <f>COUNTIF($G$2:G289,G288)</f>
        <v>29</v>
      </c>
      <c r="AB288" s="21">
        <f t="shared" si="56"/>
        <v>44988</v>
      </c>
      <c r="AC288" s="21">
        <f t="shared" si="57"/>
        <v>45016</v>
      </c>
      <c r="AD288" s="5">
        <f>(Table1[[#This Row],[OrderDate]]-Table1[[#This Row],[Date of first order]])/30</f>
        <v>13.1</v>
      </c>
      <c r="AE288" t="str">
        <f t="shared" si="58"/>
        <v>Poor</v>
      </c>
      <c r="AF288">
        <f>COUNTIF(AE$2:AE289,AE288)</f>
        <v>207</v>
      </c>
      <c r="AG288" t="str">
        <f t="shared" si="59"/>
        <v>False</v>
      </c>
      <c r="AH288" s="7">
        <f>Table1[[#This Row],[UnitPrice]]*(1-Table1[[#This Row],[Disc Scenario]])*Table1[[#This Row],[Quantity]]</f>
        <v>3823.5108</v>
      </c>
      <c r="AI288">
        <f>ROUNDDOWN((Table1[[#This Row],[Quantity]]*(1+20%)),0)</f>
        <v>20</v>
      </c>
      <c r="AJ288" s="7">
        <f>Table1[[#This Row],[Quantity increase by 20%]]*Table1[[#This Row],[UnitPrice]]</f>
        <v>5170.3999999999996</v>
      </c>
      <c r="AK288">
        <f>ROUNDDOWN(Table1[[#This Row],[Quantity]]*(1+20%),0)</f>
        <v>20</v>
      </c>
      <c r="AL288" s="7">
        <f>Table1[[#This Row],[UnitCost]]*(1+15%)</f>
        <v>184.94299999999998</v>
      </c>
      <c r="AM288" s="9">
        <f>Table1[[#This Row],[Quantity]]*Table1[[#This Row],[Cost of unit by inflation 15%]]</f>
        <v>3144.0309999999999</v>
      </c>
      <c r="AN288" s="21" cm="1">
        <f t="array" ref="AN288">_xlfn.UNIQUE(AC288)</f>
        <v>45016</v>
      </c>
    </row>
    <row r="289" spans="1:40" x14ac:dyDescent="0.35">
      <c r="A289" t="s">
        <v>285</v>
      </c>
      <c r="B289" s="21">
        <v>45382</v>
      </c>
      <c r="C289" s="10">
        <v>45399</v>
      </c>
      <c r="D289" s="3">
        <f t="shared" si="48"/>
        <v>17</v>
      </c>
      <c r="E289" s="10" t="str">
        <f t="shared" si="49"/>
        <v>Q1-2024</v>
      </c>
      <c r="F289" t="s">
        <v>648</v>
      </c>
      <c r="G289" t="s">
        <v>655</v>
      </c>
      <c r="H289" t="s">
        <v>697</v>
      </c>
      <c r="I289" t="s">
        <v>701</v>
      </c>
      <c r="J289" t="s">
        <v>710</v>
      </c>
      <c r="K289" t="s">
        <v>721</v>
      </c>
      <c r="L289" t="s">
        <v>731</v>
      </c>
      <c r="M289" t="s">
        <v>1003</v>
      </c>
      <c r="N289" s="3">
        <v>1025.51</v>
      </c>
      <c r="O289" s="3">
        <v>1436.54</v>
      </c>
      <c r="P289" s="6">
        <v>0.13900000000000001</v>
      </c>
      <c r="Q289" s="6">
        <f>IF(Table1[[#This Row],[DiscountPct]]&gt;25%,25%,Table1[[#This Row],[DiscountPct]])</f>
        <v>0.13900000000000001</v>
      </c>
      <c r="R289" s="5">
        <v>28</v>
      </c>
      <c r="S289" s="6">
        <f t="shared" si="50"/>
        <v>0.40080545289660752</v>
      </c>
      <c r="T289" s="8">
        <f t="shared" si="51"/>
        <v>34632.106319999999</v>
      </c>
      <c r="U289" s="8">
        <f t="shared" si="52"/>
        <v>28714.28</v>
      </c>
      <c r="V289" s="9">
        <f t="shared" si="53"/>
        <v>5917.8263200000001</v>
      </c>
      <c r="W289" s="6">
        <f t="shared" si="54"/>
        <v>0.17087688127656453</v>
      </c>
      <c r="X289" t="str" cm="1">
        <f t="array" ref="X289">_xlfn.IFS(S289&lt;=25%, "Low", S289&lt;=75%, "Medium", S289&gt;75%, "High")</f>
        <v>Medium</v>
      </c>
      <c r="Y289" s="8">
        <f>Table1[[#This Row],[Quantity]]*(Table1[[#This Row],[UnitPrice]]*(1-Table1[[#This Row],[DiscountPct]]))</f>
        <v>34632.106319999999</v>
      </c>
      <c r="Z289" s="9">
        <f t="shared" si="55"/>
        <v>5917.8263200000001</v>
      </c>
      <c r="AA289">
        <f>COUNTIF($G$2:G290,G289)</f>
        <v>26</v>
      </c>
      <c r="AB289" s="21">
        <f t="shared" si="56"/>
        <v>44988</v>
      </c>
      <c r="AC289" s="21">
        <f t="shared" si="57"/>
        <v>45016</v>
      </c>
      <c r="AD289" s="5">
        <f>(Table1[[#This Row],[OrderDate]]-Table1[[#This Row],[Date of first order]])/30</f>
        <v>13.133333333333333</v>
      </c>
      <c r="AE289" t="str">
        <f t="shared" si="58"/>
        <v>Poor</v>
      </c>
      <c r="AF289">
        <f>COUNTIF(AE$2:AE290,AE289)</f>
        <v>208</v>
      </c>
      <c r="AG289" t="str">
        <f t="shared" si="59"/>
        <v>False</v>
      </c>
      <c r="AH289" s="7">
        <f>Table1[[#This Row],[UnitPrice]]*(1-Table1[[#This Row],[Disc Scenario]])*Table1[[#This Row],[Quantity]]</f>
        <v>34632.106319999999</v>
      </c>
      <c r="AI289">
        <f>ROUNDDOWN((Table1[[#This Row],[Quantity]]*(1+20%)),0)</f>
        <v>33</v>
      </c>
      <c r="AJ289" s="7">
        <f>Table1[[#This Row],[Quantity increase by 20%]]*Table1[[#This Row],[UnitPrice]]</f>
        <v>47405.82</v>
      </c>
      <c r="AK289">
        <f>ROUNDDOWN(Table1[[#This Row],[Quantity]]*(1+20%),0)</f>
        <v>33</v>
      </c>
      <c r="AL289" s="7">
        <f>Table1[[#This Row],[UnitCost]]*(1+15%)</f>
        <v>1179.3364999999999</v>
      </c>
      <c r="AM289" s="9">
        <f>Table1[[#This Row],[Quantity]]*Table1[[#This Row],[Cost of unit by inflation 15%]]</f>
        <v>33021.421999999999</v>
      </c>
      <c r="AN289" s="21" cm="1">
        <f t="array" ref="AN289">_xlfn.UNIQUE(AC289)</f>
        <v>45016</v>
      </c>
    </row>
    <row r="290" spans="1:40" x14ac:dyDescent="0.35">
      <c r="A290" t="s">
        <v>370</v>
      </c>
      <c r="B290" s="21">
        <v>45385</v>
      </c>
      <c r="C290" s="10">
        <v>45403</v>
      </c>
      <c r="D290" s="3">
        <f t="shared" si="48"/>
        <v>18</v>
      </c>
      <c r="E290" s="10" t="str">
        <f t="shared" si="49"/>
        <v>Q2-2024</v>
      </c>
      <c r="F290" t="s">
        <v>647</v>
      </c>
      <c r="G290" t="s">
        <v>654</v>
      </c>
      <c r="H290" t="s">
        <v>671</v>
      </c>
      <c r="I290" t="s">
        <v>704</v>
      </c>
      <c r="J290" t="s">
        <v>709</v>
      </c>
      <c r="K290" t="s">
        <v>716</v>
      </c>
      <c r="L290" t="s">
        <v>728</v>
      </c>
      <c r="M290" t="s">
        <v>1088</v>
      </c>
      <c r="N290" s="3">
        <v>1176.69</v>
      </c>
      <c r="O290" s="3">
        <v>2201.54</v>
      </c>
      <c r="P290" s="6">
        <v>0.17</v>
      </c>
      <c r="Q290" s="6">
        <f>IF(Table1[[#This Row],[DiscountPct]]&gt;25%,25%,Table1[[#This Row],[DiscountPct]])</f>
        <v>0.17</v>
      </c>
      <c r="R290" s="5">
        <v>27</v>
      </c>
      <c r="S290" s="6">
        <f t="shared" si="50"/>
        <v>0.87096006594770059</v>
      </c>
      <c r="T290" s="8">
        <f t="shared" si="51"/>
        <v>49336.511399999996</v>
      </c>
      <c r="U290" s="8">
        <f t="shared" si="52"/>
        <v>31770.63</v>
      </c>
      <c r="V290" s="9">
        <f t="shared" si="53"/>
        <v>17565.881399999995</v>
      </c>
      <c r="W290" s="6">
        <f t="shared" si="54"/>
        <v>0.35604222717701106</v>
      </c>
      <c r="X290" t="str" cm="1">
        <f t="array" ref="X290">_xlfn.IFS(S290&lt;=25%, "Low", S290&lt;=75%, "Medium", S290&gt;75%, "High")</f>
        <v>High</v>
      </c>
      <c r="Y290" s="8">
        <f>Table1[[#This Row],[Quantity]]*(Table1[[#This Row],[UnitPrice]]*(1-Table1[[#This Row],[DiscountPct]]))</f>
        <v>49336.511399999996</v>
      </c>
      <c r="Z290" s="9">
        <f t="shared" si="55"/>
        <v>17565.881399999995</v>
      </c>
      <c r="AA290">
        <f>COUNTIF($G$2:G291,G290)</f>
        <v>29</v>
      </c>
      <c r="AB290" s="21">
        <f t="shared" si="56"/>
        <v>44988</v>
      </c>
      <c r="AC290" s="21">
        <f t="shared" si="57"/>
        <v>45016</v>
      </c>
      <c r="AD290" s="5">
        <f>(Table1[[#This Row],[OrderDate]]-Table1[[#This Row],[Date of first order]])/30</f>
        <v>13.233333333333333</v>
      </c>
      <c r="AE290" t="str">
        <f t="shared" si="58"/>
        <v>Poor</v>
      </c>
      <c r="AF290">
        <f>COUNTIF(AE$2:AE291,AE290)</f>
        <v>208</v>
      </c>
      <c r="AG290" t="str">
        <f t="shared" si="59"/>
        <v>False</v>
      </c>
      <c r="AH290" s="7">
        <f>Table1[[#This Row],[UnitPrice]]*(1-Table1[[#This Row],[Disc Scenario]])*Table1[[#This Row],[Quantity]]</f>
        <v>49336.511399999996</v>
      </c>
      <c r="AI290">
        <f>ROUNDDOWN((Table1[[#This Row],[Quantity]]*(1+20%)),0)</f>
        <v>32</v>
      </c>
      <c r="AJ290" s="7">
        <f>Table1[[#This Row],[Quantity increase by 20%]]*Table1[[#This Row],[UnitPrice]]</f>
        <v>70449.279999999999</v>
      </c>
      <c r="AK290">
        <f>ROUNDDOWN(Table1[[#This Row],[Quantity]]*(1+20%),0)</f>
        <v>32</v>
      </c>
      <c r="AL290" s="7">
        <f>Table1[[#This Row],[UnitCost]]*(1+15%)</f>
        <v>1353.1934999999999</v>
      </c>
      <c r="AM290" s="9">
        <f>Table1[[#This Row],[Quantity]]*Table1[[#This Row],[Cost of unit by inflation 15%]]</f>
        <v>36536.224499999997</v>
      </c>
      <c r="AN290" s="21" cm="1">
        <f t="array" ref="AN290">_xlfn.UNIQUE(AC290)</f>
        <v>45016</v>
      </c>
    </row>
    <row r="291" spans="1:40" x14ac:dyDescent="0.35">
      <c r="A291" t="s">
        <v>176</v>
      </c>
      <c r="B291" s="21">
        <v>45385</v>
      </c>
      <c r="C291" s="10">
        <v>45389</v>
      </c>
      <c r="D291" s="3">
        <f t="shared" si="48"/>
        <v>4</v>
      </c>
      <c r="E291" s="10" t="str">
        <f t="shared" si="49"/>
        <v>Q2-2024</v>
      </c>
      <c r="F291" t="s">
        <v>647</v>
      </c>
      <c r="G291" t="s">
        <v>654</v>
      </c>
      <c r="H291" t="s">
        <v>671</v>
      </c>
      <c r="I291" t="s">
        <v>702</v>
      </c>
      <c r="J291" t="s">
        <v>710</v>
      </c>
      <c r="K291" t="s">
        <v>724</v>
      </c>
      <c r="L291" t="s">
        <v>729</v>
      </c>
      <c r="M291" t="s">
        <v>894</v>
      </c>
      <c r="N291" s="3">
        <v>1023.27</v>
      </c>
      <c r="O291" s="3">
        <v>1343.64</v>
      </c>
      <c r="P291" s="6">
        <v>0.13300000000000001</v>
      </c>
      <c r="Q291" s="6">
        <f>IF(Table1[[#This Row],[DiscountPct]]&gt;25%,25%,Table1[[#This Row],[DiscountPct]])</f>
        <v>0.13300000000000001</v>
      </c>
      <c r="R291" s="5">
        <v>7</v>
      </c>
      <c r="S291" s="6">
        <f t="shared" si="50"/>
        <v>0.3130845231463838</v>
      </c>
      <c r="T291" s="8">
        <f t="shared" si="51"/>
        <v>8154.5511600000009</v>
      </c>
      <c r="U291" s="8">
        <f t="shared" si="52"/>
        <v>7162.8899999999994</v>
      </c>
      <c r="V291" s="9">
        <f t="shared" si="53"/>
        <v>991.66116000000147</v>
      </c>
      <c r="W291" s="6">
        <f t="shared" si="54"/>
        <v>0.12160830688810116</v>
      </c>
      <c r="X291" t="str" cm="1">
        <f t="array" ref="X291">_xlfn.IFS(S291&lt;=25%, "Low", S291&lt;=75%, "Medium", S291&gt;75%, "High")</f>
        <v>Medium</v>
      </c>
      <c r="Y291" s="8">
        <f>Table1[[#This Row],[Quantity]]*(Table1[[#This Row],[UnitPrice]]*(1-Table1[[#This Row],[DiscountPct]]))</f>
        <v>8154.55116</v>
      </c>
      <c r="Z291" s="9">
        <f t="shared" si="55"/>
        <v>991.66116000000056</v>
      </c>
      <c r="AA291">
        <f>COUNTIF($G$2:G292,G291)</f>
        <v>29</v>
      </c>
      <c r="AB291" s="21">
        <f t="shared" si="56"/>
        <v>44988</v>
      </c>
      <c r="AC291" s="21">
        <f t="shared" si="57"/>
        <v>45016</v>
      </c>
      <c r="AD291" s="5">
        <f>(Table1[[#This Row],[OrderDate]]-Table1[[#This Row],[Date of first order]])/30</f>
        <v>13.233333333333333</v>
      </c>
      <c r="AE291" t="str">
        <f t="shared" si="58"/>
        <v>Good</v>
      </c>
      <c r="AF291">
        <f>COUNTIF(AE$2:AE292,AE291)</f>
        <v>82</v>
      </c>
      <c r="AG291" t="str">
        <f t="shared" si="59"/>
        <v>False</v>
      </c>
      <c r="AH291" s="7">
        <f>Table1[[#This Row],[UnitPrice]]*(1-Table1[[#This Row],[Disc Scenario]])*Table1[[#This Row],[Quantity]]</f>
        <v>8154.55116</v>
      </c>
      <c r="AI291">
        <f>ROUNDDOWN((Table1[[#This Row],[Quantity]]*(1+20%)),0)</f>
        <v>8</v>
      </c>
      <c r="AJ291" s="7">
        <f>Table1[[#This Row],[Quantity increase by 20%]]*Table1[[#This Row],[UnitPrice]]</f>
        <v>10749.12</v>
      </c>
      <c r="AK291">
        <f>ROUNDDOWN(Table1[[#This Row],[Quantity]]*(1+20%),0)</f>
        <v>8</v>
      </c>
      <c r="AL291" s="7">
        <f>Table1[[#This Row],[UnitCost]]*(1+15%)</f>
        <v>1176.7604999999999</v>
      </c>
      <c r="AM291" s="9">
        <f>Table1[[#This Row],[Quantity]]*Table1[[#This Row],[Cost of unit by inflation 15%]]</f>
        <v>8237.3234999999986</v>
      </c>
      <c r="AN291" s="21" cm="1">
        <f t="array" ref="AN291">_xlfn.UNIQUE(AC291)</f>
        <v>45016</v>
      </c>
    </row>
    <row r="292" spans="1:40" x14ac:dyDescent="0.35">
      <c r="A292" t="s">
        <v>161</v>
      </c>
      <c r="B292" s="21">
        <v>45386</v>
      </c>
      <c r="C292" s="10">
        <v>45406</v>
      </c>
      <c r="D292" s="3">
        <f t="shared" si="48"/>
        <v>20</v>
      </c>
      <c r="E292" s="10" t="str">
        <f t="shared" si="49"/>
        <v>Q2-2024</v>
      </c>
      <c r="F292" t="s">
        <v>648</v>
      </c>
      <c r="G292" t="s">
        <v>655</v>
      </c>
      <c r="H292" t="s">
        <v>697</v>
      </c>
      <c r="I292" t="s">
        <v>702</v>
      </c>
      <c r="J292" t="s">
        <v>710</v>
      </c>
      <c r="K292" t="s">
        <v>718</v>
      </c>
      <c r="L292" t="s">
        <v>732</v>
      </c>
      <c r="M292" t="s">
        <v>879</v>
      </c>
      <c r="N292" s="3">
        <v>683.42</v>
      </c>
      <c r="O292" s="3">
        <v>951.51</v>
      </c>
      <c r="P292" s="6">
        <v>0</v>
      </c>
      <c r="Q292" s="6">
        <f>IF(Table1[[#This Row],[DiscountPct]]&gt;25%,25%,Table1[[#This Row],[DiscountPct]])</f>
        <v>0</v>
      </c>
      <c r="R292" s="5">
        <v>14</v>
      </c>
      <c r="S292" s="6">
        <f t="shared" si="50"/>
        <v>0.39227707705364206</v>
      </c>
      <c r="T292" s="8">
        <f t="shared" si="51"/>
        <v>13321.14</v>
      </c>
      <c r="U292" s="8">
        <f t="shared" si="52"/>
        <v>9567.8799999999992</v>
      </c>
      <c r="V292" s="9">
        <f t="shared" si="53"/>
        <v>3753.26</v>
      </c>
      <c r="W292" s="6">
        <f t="shared" si="54"/>
        <v>0.28175216235247136</v>
      </c>
      <c r="X292" t="str" cm="1">
        <f t="array" ref="X292">_xlfn.IFS(S292&lt;=25%, "Low", S292&lt;=75%, "Medium", S292&gt;75%, "High")</f>
        <v>Medium</v>
      </c>
      <c r="Y292" s="8">
        <f>Table1[[#This Row],[Quantity]]*(Table1[[#This Row],[UnitPrice]]*(1-Table1[[#This Row],[DiscountPct]]))</f>
        <v>13321.14</v>
      </c>
      <c r="Z292" s="9">
        <f t="shared" si="55"/>
        <v>3753.26</v>
      </c>
      <c r="AA292">
        <f>COUNTIF($G$2:G293,G292)</f>
        <v>27</v>
      </c>
      <c r="AB292" s="21">
        <f t="shared" si="56"/>
        <v>44988</v>
      </c>
      <c r="AC292" s="21">
        <f t="shared" si="57"/>
        <v>45016</v>
      </c>
      <c r="AD292" s="5">
        <f>(Table1[[#This Row],[OrderDate]]-Table1[[#This Row],[Date of first order]])/30</f>
        <v>13.266666666666667</v>
      </c>
      <c r="AE292" t="str">
        <f t="shared" si="58"/>
        <v>Poor</v>
      </c>
      <c r="AF292">
        <f>COUNTIF(AE$2:AE293,AE292)</f>
        <v>209</v>
      </c>
      <c r="AG292" t="str">
        <f t="shared" si="59"/>
        <v>False</v>
      </c>
      <c r="AH292" s="7">
        <f>Table1[[#This Row],[UnitPrice]]*(1-Table1[[#This Row],[Disc Scenario]])*Table1[[#This Row],[Quantity]]</f>
        <v>13321.14</v>
      </c>
      <c r="AI292">
        <f>ROUNDDOWN((Table1[[#This Row],[Quantity]]*(1+20%)),0)</f>
        <v>16</v>
      </c>
      <c r="AJ292" s="7">
        <f>Table1[[#This Row],[Quantity increase by 20%]]*Table1[[#This Row],[UnitPrice]]</f>
        <v>15224.16</v>
      </c>
      <c r="AK292">
        <f>ROUNDDOWN(Table1[[#This Row],[Quantity]]*(1+20%),0)</f>
        <v>16</v>
      </c>
      <c r="AL292" s="7">
        <f>Table1[[#This Row],[UnitCost]]*(1+15%)</f>
        <v>785.93299999999988</v>
      </c>
      <c r="AM292" s="9">
        <f>Table1[[#This Row],[Quantity]]*Table1[[#This Row],[Cost of unit by inflation 15%]]</f>
        <v>11003.061999999998</v>
      </c>
      <c r="AN292" s="21" cm="1">
        <f t="array" ref="AN292">_xlfn.UNIQUE(AC292)</f>
        <v>45016</v>
      </c>
    </row>
    <row r="293" spans="1:40" x14ac:dyDescent="0.35">
      <c r="A293" t="s">
        <v>518</v>
      </c>
      <c r="B293" s="21">
        <v>45387</v>
      </c>
      <c r="C293" s="10">
        <v>45391</v>
      </c>
      <c r="D293" s="3">
        <f t="shared" si="48"/>
        <v>4</v>
      </c>
      <c r="E293" s="10" t="str">
        <f t="shared" si="49"/>
        <v>Q2-2024</v>
      </c>
      <c r="F293" t="s">
        <v>645</v>
      </c>
      <c r="G293" t="s">
        <v>650</v>
      </c>
      <c r="H293" t="s">
        <v>664</v>
      </c>
      <c r="I293" t="s">
        <v>702</v>
      </c>
      <c r="J293" t="s">
        <v>710</v>
      </c>
      <c r="K293" t="s">
        <v>722</v>
      </c>
      <c r="L293" t="s">
        <v>726</v>
      </c>
      <c r="M293" t="s">
        <v>1235</v>
      </c>
      <c r="N293" s="3">
        <v>395.07</v>
      </c>
      <c r="O293" s="3">
        <v>970.27</v>
      </c>
      <c r="P293" s="6">
        <v>0.123</v>
      </c>
      <c r="Q293" s="6">
        <f>IF(Table1[[#This Row],[DiscountPct]]&gt;25%,25%,Table1[[#This Row],[DiscountPct]])</f>
        <v>0.123</v>
      </c>
      <c r="R293" s="5">
        <v>38</v>
      </c>
      <c r="S293" s="6">
        <f t="shared" si="50"/>
        <v>1.4559445161616931</v>
      </c>
      <c r="T293" s="8">
        <f t="shared" si="51"/>
        <v>32335.21802</v>
      </c>
      <c r="U293" s="8">
        <f t="shared" si="52"/>
        <v>15012.66</v>
      </c>
      <c r="V293" s="9">
        <f t="shared" si="53"/>
        <v>17322.55802</v>
      </c>
      <c r="W293" s="6">
        <f t="shared" si="54"/>
        <v>0.53571799049833657</v>
      </c>
      <c r="X293" t="str" cm="1">
        <f t="array" ref="X293">_xlfn.IFS(S293&lt;=25%, "Low", S293&lt;=75%, "Medium", S293&gt;75%, "High")</f>
        <v>High</v>
      </c>
      <c r="Y293" s="8">
        <f>Table1[[#This Row],[Quantity]]*(Table1[[#This Row],[UnitPrice]]*(1-Table1[[#This Row],[DiscountPct]]))</f>
        <v>32335.21802</v>
      </c>
      <c r="Z293" s="9">
        <f t="shared" si="55"/>
        <v>17322.55802</v>
      </c>
      <c r="AA293">
        <f>COUNTIF($G$2:G294,G293)</f>
        <v>18</v>
      </c>
      <c r="AB293" s="21">
        <f t="shared" si="56"/>
        <v>44988</v>
      </c>
      <c r="AC293" s="21">
        <f t="shared" si="57"/>
        <v>45016</v>
      </c>
      <c r="AD293" s="5">
        <f>(Table1[[#This Row],[OrderDate]]-Table1[[#This Row],[Date of first order]])/30</f>
        <v>13.3</v>
      </c>
      <c r="AE293" t="str">
        <f t="shared" si="58"/>
        <v>Good</v>
      </c>
      <c r="AF293">
        <f>COUNTIF(AE$2:AE294,AE293)</f>
        <v>83</v>
      </c>
      <c r="AG293" t="str">
        <f t="shared" si="59"/>
        <v>False</v>
      </c>
      <c r="AH293" s="7">
        <f>Table1[[#This Row],[UnitPrice]]*(1-Table1[[#This Row],[Disc Scenario]])*Table1[[#This Row],[Quantity]]</f>
        <v>32335.21802</v>
      </c>
      <c r="AI293">
        <f>ROUNDDOWN((Table1[[#This Row],[Quantity]]*(1+20%)),0)</f>
        <v>45</v>
      </c>
      <c r="AJ293" s="7">
        <f>Table1[[#This Row],[Quantity increase by 20%]]*Table1[[#This Row],[UnitPrice]]</f>
        <v>43662.15</v>
      </c>
      <c r="AK293">
        <f>ROUNDDOWN(Table1[[#This Row],[Quantity]]*(1+20%),0)</f>
        <v>45</v>
      </c>
      <c r="AL293" s="7">
        <f>Table1[[#This Row],[UnitCost]]*(1+15%)</f>
        <v>454.33049999999997</v>
      </c>
      <c r="AM293" s="9">
        <f>Table1[[#This Row],[Quantity]]*Table1[[#This Row],[Cost of unit by inflation 15%]]</f>
        <v>17264.558999999997</v>
      </c>
      <c r="AN293" s="21" cm="1">
        <f t="array" ref="AN293">_xlfn.UNIQUE(AC293)</f>
        <v>45016</v>
      </c>
    </row>
    <row r="294" spans="1:40" x14ac:dyDescent="0.35">
      <c r="A294" t="s">
        <v>101</v>
      </c>
      <c r="B294" s="21">
        <v>45388</v>
      </c>
      <c r="C294" s="10">
        <v>45407</v>
      </c>
      <c r="D294" s="3">
        <f t="shared" si="48"/>
        <v>19</v>
      </c>
      <c r="E294" s="10" t="str">
        <f t="shared" si="49"/>
        <v>Q2-2024</v>
      </c>
      <c r="F294" t="s">
        <v>646</v>
      </c>
      <c r="G294" t="s">
        <v>658</v>
      </c>
      <c r="H294" t="s">
        <v>684</v>
      </c>
      <c r="I294" t="s">
        <v>700</v>
      </c>
      <c r="J294" t="s">
        <v>706</v>
      </c>
      <c r="K294" t="s">
        <v>722</v>
      </c>
      <c r="L294" t="s">
        <v>726</v>
      </c>
      <c r="M294" t="s">
        <v>819</v>
      </c>
      <c r="N294" s="3">
        <v>1366.48</v>
      </c>
      <c r="O294" s="3">
        <v>1678.14</v>
      </c>
      <c r="P294" s="6">
        <v>0.154</v>
      </c>
      <c r="Q294" s="6">
        <f>IF(Table1[[#This Row],[DiscountPct]]&gt;25%,25%,Table1[[#This Row],[DiscountPct]])</f>
        <v>0.154</v>
      </c>
      <c r="R294" s="5">
        <v>10</v>
      </c>
      <c r="S294" s="6">
        <f t="shared" si="50"/>
        <v>0.22807505415373813</v>
      </c>
      <c r="T294" s="8">
        <f t="shared" si="51"/>
        <v>14197.064400000001</v>
      </c>
      <c r="U294" s="8">
        <f t="shared" si="52"/>
        <v>13664.8</v>
      </c>
      <c r="V294" s="9">
        <f t="shared" si="53"/>
        <v>532.26440000000184</v>
      </c>
      <c r="W294" s="6">
        <f t="shared" si="54"/>
        <v>3.7491159087790132E-2</v>
      </c>
      <c r="X294" t="str" cm="1">
        <f t="array" ref="X294">_xlfn.IFS(S294&lt;=25%, "Low", S294&lt;=75%, "Medium", S294&gt;75%, "High")</f>
        <v>Low</v>
      </c>
      <c r="Y294" s="8">
        <f>Table1[[#This Row],[Quantity]]*(Table1[[#This Row],[UnitPrice]]*(1-Table1[[#This Row],[DiscountPct]]))</f>
        <v>14197.064399999999</v>
      </c>
      <c r="Z294" s="9">
        <f t="shared" si="55"/>
        <v>532.26440000000002</v>
      </c>
      <c r="AA294">
        <f>COUNTIF($G$2:G295,G294)</f>
        <v>24</v>
      </c>
      <c r="AB294" s="21">
        <f t="shared" si="56"/>
        <v>44988</v>
      </c>
      <c r="AC294" s="21">
        <f t="shared" si="57"/>
        <v>45016</v>
      </c>
      <c r="AD294" s="5">
        <f>(Table1[[#This Row],[OrderDate]]-Table1[[#This Row],[Date of first order]])/30</f>
        <v>13.333333333333334</v>
      </c>
      <c r="AE294" t="str">
        <f t="shared" si="58"/>
        <v>Poor</v>
      </c>
      <c r="AF294">
        <f>COUNTIF(AE$2:AE295,AE294)</f>
        <v>211</v>
      </c>
      <c r="AG294" t="str">
        <f t="shared" si="59"/>
        <v>False</v>
      </c>
      <c r="AH294" s="7">
        <f>Table1[[#This Row],[UnitPrice]]*(1-Table1[[#This Row],[Disc Scenario]])*Table1[[#This Row],[Quantity]]</f>
        <v>14197.064399999999</v>
      </c>
      <c r="AI294">
        <f>ROUNDDOWN((Table1[[#This Row],[Quantity]]*(1+20%)),0)</f>
        <v>12</v>
      </c>
      <c r="AJ294" s="7">
        <f>Table1[[#This Row],[Quantity increase by 20%]]*Table1[[#This Row],[UnitPrice]]</f>
        <v>20137.68</v>
      </c>
      <c r="AK294">
        <f>ROUNDDOWN(Table1[[#This Row],[Quantity]]*(1+20%),0)</f>
        <v>12</v>
      </c>
      <c r="AL294" s="7">
        <f>Table1[[#This Row],[UnitCost]]*(1+15%)</f>
        <v>1571.452</v>
      </c>
      <c r="AM294" s="9">
        <f>Table1[[#This Row],[Quantity]]*Table1[[#This Row],[Cost of unit by inflation 15%]]</f>
        <v>15714.52</v>
      </c>
      <c r="AN294" s="21" cm="1">
        <f t="array" ref="AN294">_xlfn.UNIQUE(AC294)</f>
        <v>45016</v>
      </c>
    </row>
    <row r="295" spans="1:40" x14ac:dyDescent="0.35">
      <c r="A295" t="s">
        <v>348</v>
      </c>
      <c r="B295" s="21">
        <v>45391</v>
      </c>
      <c r="C295" s="10">
        <v>45400</v>
      </c>
      <c r="D295" s="3">
        <f t="shared" si="48"/>
        <v>9</v>
      </c>
      <c r="E295" s="10" t="str">
        <f t="shared" si="49"/>
        <v>Q2-2024</v>
      </c>
      <c r="F295" t="s">
        <v>648</v>
      </c>
      <c r="G295" t="s">
        <v>656</v>
      </c>
      <c r="H295" t="s">
        <v>678</v>
      </c>
      <c r="I295" t="s">
        <v>703</v>
      </c>
      <c r="J295" t="s">
        <v>707</v>
      </c>
      <c r="K295" t="s">
        <v>717</v>
      </c>
      <c r="L295" t="s">
        <v>727</v>
      </c>
      <c r="M295" t="s">
        <v>1066</v>
      </c>
      <c r="N295" s="3">
        <v>1288.8499999999999</v>
      </c>
      <c r="O295" s="3">
        <v>2751.84</v>
      </c>
      <c r="P295" s="6">
        <v>0.158</v>
      </c>
      <c r="Q295" s="6">
        <f>IF(Table1[[#This Row],[DiscountPct]]&gt;25%,25%,Table1[[#This Row],[DiscountPct]])</f>
        <v>0.158</v>
      </c>
      <c r="R295" s="5">
        <v>7</v>
      </c>
      <c r="S295" s="6">
        <f t="shared" si="50"/>
        <v>1.1351126973658692</v>
      </c>
      <c r="T295" s="8">
        <f t="shared" si="51"/>
        <v>16219.34496</v>
      </c>
      <c r="U295" s="8">
        <f t="shared" si="52"/>
        <v>9021.9499999999989</v>
      </c>
      <c r="V295" s="9">
        <f t="shared" si="53"/>
        <v>7197.3949600000014</v>
      </c>
      <c r="W295" s="6">
        <f t="shared" si="54"/>
        <v>0.44375373837538756</v>
      </c>
      <c r="X295" t="str" cm="1">
        <f t="array" ref="X295">_xlfn.IFS(S295&lt;=25%, "Low", S295&lt;=75%, "Medium", S295&gt;75%, "High")</f>
        <v>High</v>
      </c>
      <c r="Y295" s="8">
        <f>Table1[[#This Row],[Quantity]]*(Table1[[#This Row],[UnitPrice]]*(1-Table1[[#This Row],[DiscountPct]]))</f>
        <v>16219.344960000002</v>
      </c>
      <c r="Z295" s="9">
        <f t="shared" si="55"/>
        <v>7197.3949600000033</v>
      </c>
      <c r="AA295">
        <f>COUNTIF($G$2:G296,G295)</f>
        <v>23</v>
      </c>
      <c r="AB295" s="21">
        <f t="shared" si="56"/>
        <v>44988</v>
      </c>
      <c r="AC295" s="21">
        <f t="shared" si="57"/>
        <v>45016</v>
      </c>
      <c r="AD295" s="5">
        <f>(Table1[[#This Row],[OrderDate]]-Table1[[#This Row],[Date of first order]])/30</f>
        <v>13.433333333333334</v>
      </c>
      <c r="AE295" t="str">
        <f t="shared" si="58"/>
        <v>Poor</v>
      </c>
      <c r="AF295">
        <f>COUNTIF(AE$2:AE296,AE295)</f>
        <v>212</v>
      </c>
      <c r="AG295" t="str">
        <f t="shared" si="59"/>
        <v>False</v>
      </c>
      <c r="AH295" s="7">
        <f>Table1[[#This Row],[UnitPrice]]*(1-Table1[[#This Row],[Disc Scenario]])*Table1[[#This Row],[Quantity]]</f>
        <v>16219.344960000002</v>
      </c>
      <c r="AI295">
        <f>ROUNDDOWN((Table1[[#This Row],[Quantity]]*(1+20%)),0)</f>
        <v>8</v>
      </c>
      <c r="AJ295" s="7">
        <f>Table1[[#This Row],[Quantity increase by 20%]]*Table1[[#This Row],[UnitPrice]]</f>
        <v>22014.720000000001</v>
      </c>
      <c r="AK295">
        <f>ROUNDDOWN(Table1[[#This Row],[Quantity]]*(1+20%),0)</f>
        <v>8</v>
      </c>
      <c r="AL295" s="7">
        <f>Table1[[#This Row],[UnitCost]]*(1+15%)</f>
        <v>1482.1774999999998</v>
      </c>
      <c r="AM295" s="9">
        <f>Table1[[#This Row],[Quantity]]*Table1[[#This Row],[Cost of unit by inflation 15%]]</f>
        <v>10375.242499999998</v>
      </c>
      <c r="AN295" s="21" cm="1">
        <f t="array" ref="AN295">_xlfn.UNIQUE(AC295)</f>
        <v>45016</v>
      </c>
    </row>
    <row r="296" spans="1:40" x14ac:dyDescent="0.35">
      <c r="A296" t="s">
        <v>87</v>
      </c>
      <c r="B296" s="21">
        <v>45394</v>
      </c>
      <c r="C296" s="10">
        <v>45419</v>
      </c>
      <c r="D296" s="3">
        <f t="shared" si="48"/>
        <v>25</v>
      </c>
      <c r="E296" s="10" t="str">
        <f t="shared" si="49"/>
        <v>Q2-2024</v>
      </c>
      <c r="F296" t="s">
        <v>645</v>
      </c>
      <c r="G296" t="s">
        <v>660</v>
      </c>
      <c r="H296" t="s">
        <v>681</v>
      </c>
      <c r="I296" t="s">
        <v>701</v>
      </c>
      <c r="J296" t="s">
        <v>709</v>
      </c>
      <c r="K296" t="s">
        <v>719</v>
      </c>
      <c r="L296" t="s">
        <v>730</v>
      </c>
      <c r="M296" t="s">
        <v>805</v>
      </c>
      <c r="N296" s="3">
        <v>1376.51</v>
      </c>
      <c r="O296" s="3">
        <v>1455.91</v>
      </c>
      <c r="P296" s="6">
        <v>0.185</v>
      </c>
      <c r="Q296" s="6">
        <f>IF(Table1[[#This Row],[DiscountPct]]&gt;25%,25%,Table1[[#This Row],[DiscountPct]])</f>
        <v>0.185</v>
      </c>
      <c r="R296" s="5">
        <v>17</v>
      </c>
      <c r="S296" s="6">
        <f t="shared" si="50"/>
        <v>5.7682109102004414E-2</v>
      </c>
      <c r="T296" s="8">
        <f t="shared" si="51"/>
        <v>20171.63305</v>
      </c>
      <c r="U296" s="8">
        <f t="shared" si="52"/>
        <v>23400.67</v>
      </c>
      <c r="V296" s="9">
        <f t="shared" si="53"/>
        <v>-3229.0369499999979</v>
      </c>
      <c r="W296" s="6">
        <f t="shared" si="54"/>
        <v>-0.1600781127634085</v>
      </c>
      <c r="X296" t="str" cm="1">
        <f t="array" ref="X296">_xlfn.IFS(S296&lt;=25%, "Low", S296&lt;=75%, "Medium", S296&gt;75%, "High")</f>
        <v>Low</v>
      </c>
      <c r="Y296" s="8">
        <f>Table1[[#This Row],[Quantity]]*(Table1[[#This Row],[UnitPrice]]*(1-Table1[[#This Row],[DiscountPct]]))</f>
        <v>20171.63305</v>
      </c>
      <c r="Z296" s="9">
        <f t="shared" si="55"/>
        <v>-3229.0369499999979</v>
      </c>
      <c r="AA296">
        <f>COUNTIF($G$2:G297,G296)</f>
        <v>26</v>
      </c>
      <c r="AB296" s="21">
        <f t="shared" si="56"/>
        <v>44988</v>
      </c>
      <c r="AC296" s="21">
        <f t="shared" si="57"/>
        <v>45016</v>
      </c>
      <c r="AD296" s="5">
        <f>(Table1[[#This Row],[OrderDate]]-Table1[[#This Row],[Date of first order]])/30</f>
        <v>13.533333333333333</v>
      </c>
      <c r="AE296" t="str">
        <f t="shared" si="58"/>
        <v>Poor</v>
      </c>
      <c r="AF296">
        <f>COUNTIF(AE$2:AE297,AE296)</f>
        <v>213</v>
      </c>
      <c r="AG296" t="str">
        <f t="shared" si="59"/>
        <v>False</v>
      </c>
      <c r="AH296" s="7">
        <f>Table1[[#This Row],[UnitPrice]]*(1-Table1[[#This Row],[Disc Scenario]])*Table1[[#This Row],[Quantity]]</f>
        <v>20171.63305</v>
      </c>
      <c r="AI296">
        <f>ROUNDDOWN((Table1[[#This Row],[Quantity]]*(1+20%)),0)</f>
        <v>20</v>
      </c>
      <c r="AJ296" s="7">
        <f>Table1[[#This Row],[Quantity increase by 20%]]*Table1[[#This Row],[UnitPrice]]</f>
        <v>29118.2</v>
      </c>
      <c r="AK296">
        <f>ROUNDDOWN(Table1[[#This Row],[Quantity]]*(1+20%),0)</f>
        <v>20</v>
      </c>
      <c r="AL296" s="7">
        <f>Table1[[#This Row],[UnitCost]]*(1+15%)</f>
        <v>1582.9865</v>
      </c>
      <c r="AM296" s="9">
        <f>Table1[[#This Row],[Quantity]]*Table1[[#This Row],[Cost of unit by inflation 15%]]</f>
        <v>26910.770499999999</v>
      </c>
      <c r="AN296" s="21" cm="1">
        <f t="array" ref="AN296">_xlfn.UNIQUE(AC296)</f>
        <v>45016</v>
      </c>
    </row>
    <row r="297" spans="1:40" x14ac:dyDescent="0.35">
      <c r="A297" t="s">
        <v>538</v>
      </c>
      <c r="B297" s="21">
        <v>45398</v>
      </c>
      <c r="C297" s="10">
        <v>45409</v>
      </c>
      <c r="D297" s="3">
        <f t="shared" si="48"/>
        <v>11</v>
      </c>
      <c r="E297" s="10" t="str">
        <f t="shared" si="49"/>
        <v>Q2-2024</v>
      </c>
      <c r="F297" t="s">
        <v>645</v>
      </c>
      <c r="G297" t="s">
        <v>649</v>
      </c>
      <c r="H297" t="s">
        <v>677</v>
      </c>
      <c r="I297" t="s">
        <v>705</v>
      </c>
      <c r="J297" t="s">
        <v>707</v>
      </c>
      <c r="K297" t="s">
        <v>725</v>
      </c>
      <c r="L297" t="s">
        <v>727</v>
      </c>
      <c r="M297" t="s">
        <v>1255</v>
      </c>
      <c r="N297" s="3">
        <v>401.3</v>
      </c>
      <c r="O297" s="3">
        <v>826.47</v>
      </c>
      <c r="P297" s="6">
        <v>0.22500000000000001</v>
      </c>
      <c r="Q297" s="6">
        <f>IF(Table1[[#This Row],[DiscountPct]]&gt;25%,25%,Table1[[#This Row],[DiscountPct]])</f>
        <v>0.22500000000000001</v>
      </c>
      <c r="R297" s="5">
        <v>13</v>
      </c>
      <c r="S297" s="6">
        <f t="shared" si="50"/>
        <v>1.0594816845252928</v>
      </c>
      <c r="T297" s="8">
        <f t="shared" si="51"/>
        <v>8326.6852500000005</v>
      </c>
      <c r="U297" s="8">
        <f t="shared" si="52"/>
        <v>5216.9000000000005</v>
      </c>
      <c r="V297" s="9">
        <f t="shared" si="53"/>
        <v>3109.7852499999999</v>
      </c>
      <c r="W297" s="6">
        <f t="shared" si="54"/>
        <v>0.37347217489696755</v>
      </c>
      <c r="X297" t="str" cm="1">
        <f t="array" ref="X297">_xlfn.IFS(S297&lt;=25%, "Low", S297&lt;=75%, "Medium", S297&gt;75%, "High")</f>
        <v>High</v>
      </c>
      <c r="Y297" s="8">
        <f>Table1[[#This Row],[Quantity]]*(Table1[[#This Row],[UnitPrice]]*(1-Table1[[#This Row],[DiscountPct]]))</f>
        <v>8326.6852500000005</v>
      </c>
      <c r="Z297" s="9">
        <f t="shared" si="55"/>
        <v>3109.7852499999999</v>
      </c>
      <c r="AA297">
        <f>COUNTIF($G$2:G298,G297)</f>
        <v>25</v>
      </c>
      <c r="AB297" s="21">
        <f t="shared" si="56"/>
        <v>44988</v>
      </c>
      <c r="AC297" s="21">
        <f t="shared" si="57"/>
        <v>45016</v>
      </c>
      <c r="AD297" s="5">
        <f>(Table1[[#This Row],[OrderDate]]-Table1[[#This Row],[Date of first order]])/30</f>
        <v>13.666666666666666</v>
      </c>
      <c r="AE297" t="str">
        <f t="shared" si="58"/>
        <v>Poor</v>
      </c>
      <c r="AF297">
        <f>COUNTIF(AE$2:AE298,AE297)</f>
        <v>214</v>
      </c>
      <c r="AG297" t="str">
        <f t="shared" si="59"/>
        <v>True</v>
      </c>
      <c r="AH297" s="7">
        <f>Table1[[#This Row],[UnitPrice]]*(1-Table1[[#This Row],[Disc Scenario]])*Table1[[#This Row],[Quantity]]</f>
        <v>8326.6852500000005</v>
      </c>
      <c r="AI297">
        <f>ROUNDDOWN((Table1[[#This Row],[Quantity]]*(1+20%)),0)</f>
        <v>15</v>
      </c>
      <c r="AJ297" s="7">
        <f>Table1[[#This Row],[Quantity increase by 20%]]*Table1[[#This Row],[UnitPrice]]</f>
        <v>12397.050000000001</v>
      </c>
      <c r="AK297">
        <f>ROUNDDOWN(Table1[[#This Row],[Quantity]]*(1+20%),0)</f>
        <v>15</v>
      </c>
      <c r="AL297" s="7">
        <f>Table1[[#This Row],[UnitCost]]*(1+15%)</f>
        <v>461.495</v>
      </c>
      <c r="AM297" s="9">
        <f>Table1[[#This Row],[Quantity]]*Table1[[#This Row],[Cost of unit by inflation 15%]]</f>
        <v>5999.4350000000004</v>
      </c>
      <c r="AN297" s="21" cm="1">
        <f t="array" ref="AN297">_xlfn.UNIQUE(AC297)</f>
        <v>45016</v>
      </c>
    </row>
    <row r="298" spans="1:40" x14ac:dyDescent="0.35">
      <c r="A298" t="s">
        <v>48</v>
      </c>
      <c r="B298" s="21">
        <v>45400</v>
      </c>
      <c r="C298" s="10">
        <v>45420</v>
      </c>
      <c r="D298" s="3">
        <f t="shared" si="48"/>
        <v>20</v>
      </c>
      <c r="E298" s="10" t="str">
        <f t="shared" si="49"/>
        <v>Q2-2024</v>
      </c>
      <c r="F298" t="s">
        <v>648</v>
      </c>
      <c r="G298" t="s">
        <v>657</v>
      </c>
      <c r="H298" t="s">
        <v>682</v>
      </c>
      <c r="I298" t="s">
        <v>702</v>
      </c>
      <c r="J298" t="s">
        <v>710</v>
      </c>
      <c r="K298" t="s">
        <v>725</v>
      </c>
      <c r="L298" t="s">
        <v>730</v>
      </c>
      <c r="M298" t="s">
        <v>766</v>
      </c>
      <c r="N298" s="3">
        <v>645.33000000000004</v>
      </c>
      <c r="O298" s="3">
        <v>1321.85</v>
      </c>
      <c r="P298" s="6">
        <v>0</v>
      </c>
      <c r="Q298" s="6">
        <f>IF(Table1[[#This Row],[DiscountPct]]&gt;25%,25%,Table1[[#This Row],[DiscountPct]])</f>
        <v>0</v>
      </c>
      <c r="R298" s="5">
        <v>10</v>
      </c>
      <c r="S298" s="6">
        <f t="shared" si="50"/>
        <v>1.0483318612182912</v>
      </c>
      <c r="T298" s="8">
        <f t="shared" si="51"/>
        <v>13218.5</v>
      </c>
      <c r="U298" s="8">
        <f t="shared" si="52"/>
        <v>6453.3</v>
      </c>
      <c r="V298" s="9">
        <f t="shared" si="53"/>
        <v>6765.2</v>
      </c>
      <c r="W298" s="6">
        <f t="shared" si="54"/>
        <v>0.51179785906116426</v>
      </c>
      <c r="X298" t="str" cm="1">
        <f t="array" ref="X298">_xlfn.IFS(S298&lt;=25%, "Low", S298&lt;=75%, "Medium", S298&gt;75%, "High")</f>
        <v>High</v>
      </c>
      <c r="Y298" s="8">
        <f>Table1[[#This Row],[Quantity]]*(Table1[[#This Row],[UnitPrice]]*(1-Table1[[#This Row],[DiscountPct]]))</f>
        <v>13218.5</v>
      </c>
      <c r="Z298" s="9">
        <f t="shared" si="55"/>
        <v>6765.2</v>
      </c>
      <c r="AA298">
        <f>COUNTIF($G$2:G299,G298)</f>
        <v>24</v>
      </c>
      <c r="AB298" s="21">
        <f t="shared" si="56"/>
        <v>44988</v>
      </c>
      <c r="AC298" s="21">
        <f t="shared" si="57"/>
        <v>45016</v>
      </c>
      <c r="AD298" s="5">
        <f>(Table1[[#This Row],[OrderDate]]-Table1[[#This Row],[Date of first order]])/30</f>
        <v>13.733333333333333</v>
      </c>
      <c r="AE298" t="str">
        <f t="shared" si="58"/>
        <v>Poor</v>
      </c>
      <c r="AF298">
        <f>COUNTIF(AE$2:AE299,AE298)</f>
        <v>215</v>
      </c>
      <c r="AG298" t="str">
        <f t="shared" si="59"/>
        <v>False</v>
      </c>
      <c r="AH298" s="7">
        <f>Table1[[#This Row],[UnitPrice]]*(1-Table1[[#This Row],[Disc Scenario]])*Table1[[#This Row],[Quantity]]</f>
        <v>13218.5</v>
      </c>
      <c r="AI298">
        <f>ROUNDDOWN((Table1[[#This Row],[Quantity]]*(1+20%)),0)</f>
        <v>12</v>
      </c>
      <c r="AJ298" s="7">
        <f>Table1[[#This Row],[Quantity increase by 20%]]*Table1[[#This Row],[UnitPrice]]</f>
        <v>15862.199999999999</v>
      </c>
      <c r="AK298">
        <f>ROUNDDOWN(Table1[[#This Row],[Quantity]]*(1+20%),0)</f>
        <v>12</v>
      </c>
      <c r="AL298" s="7">
        <f>Table1[[#This Row],[UnitCost]]*(1+15%)</f>
        <v>742.12950000000001</v>
      </c>
      <c r="AM298" s="9">
        <f>Table1[[#This Row],[Quantity]]*Table1[[#This Row],[Cost of unit by inflation 15%]]</f>
        <v>7421.2950000000001</v>
      </c>
      <c r="AN298" s="21" cm="1">
        <f t="array" ref="AN298">_xlfn.UNIQUE(AC298)</f>
        <v>45016</v>
      </c>
    </row>
    <row r="299" spans="1:40" x14ac:dyDescent="0.35">
      <c r="A299" t="s">
        <v>53</v>
      </c>
      <c r="B299" s="21">
        <v>45401</v>
      </c>
      <c r="C299" s="10">
        <v>45418</v>
      </c>
      <c r="D299" s="3">
        <f t="shared" si="48"/>
        <v>17</v>
      </c>
      <c r="E299" s="10" t="str">
        <f t="shared" si="49"/>
        <v>Q2-2024</v>
      </c>
      <c r="F299" t="s">
        <v>645</v>
      </c>
      <c r="G299" t="s">
        <v>650</v>
      </c>
      <c r="H299" t="s">
        <v>662</v>
      </c>
      <c r="I299" t="s">
        <v>702</v>
      </c>
      <c r="J299" t="s">
        <v>707</v>
      </c>
      <c r="K299" t="s">
        <v>719</v>
      </c>
      <c r="L299" t="s">
        <v>727</v>
      </c>
      <c r="M299" t="s">
        <v>771</v>
      </c>
      <c r="N299" s="3">
        <v>865.33</v>
      </c>
      <c r="O299" s="3">
        <v>1395.64</v>
      </c>
      <c r="P299" s="6">
        <v>0.17499999999999999</v>
      </c>
      <c r="Q299" s="6">
        <f>IF(Table1[[#This Row],[DiscountPct]]&gt;25%,25%,Table1[[#This Row],[DiscountPct]])</f>
        <v>0.17499999999999999</v>
      </c>
      <c r="R299" s="5">
        <v>13</v>
      </c>
      <c r="S299" s="6">
        <f t="shared" si="50"/>
        <v>0.61284134376480648</v>
      </c>
      <c r="T299" s="8">
        <f t="shared" si="51"/>
        <v>14968.239</v>
      </c>
      <c r="U299" s="8">
        <f t="shared" si="52"/>
        <v>11249.29</v>
      </c>
      <c r="V299" s="9">
        <f t="shared" si="53"/>
        <v>3718.9489999999987</v>
      </c>
      <c r="W299" s="6">
        <f t="shared" si="54"/>
        <v>0.24845601409758347</v>
      </c>
      <c r="X299" t="str" cm="1">
        <f t="array" ref="X299">_xlfn.IFS(S299&lt;=25%, "Low", S299&lt;=75%, "Medium", S299&gt;75%, "High")</f>
        <v>Medium</v>
      </c>
      <c r="Y299" s="8">
        <f>Table1[[#This Row],[Quantity]]*(Table1[[#This Row],[UnitPrice]]*(1-Table1[[#This Row],[DiscountPct]]))</f>
        <v>14968.239</v>
      </c>
      <c r="Z299" s="9">
        <f t="shared" si="55"/>
        <v>3718.9489999999987</v>
      </c>
      <c r="AA299">
        <f>COUNTIF($G$2:G300,G299)</f>
        <v>20</v>
      </c>
      <c r="AB299" s="21">
        <f t="shared" si="56"/>
        <v>44988</v>
      </c>
      <c r="AC299" s="21">
        <f t="shared" si="57"/>
        <v>45016</v>
      </c>
      <c r="AD299" s="5">
        <f>(Table1[[#This Row],[OrderDate]]-Table1[[#This Row],[Date of first order]])/30</f>
        <v>13.766666666666667</v>
      </c>
      <c r="AE299" t="str">
        <f t="shared" si="58"/>
        <v>Poor</v>
      </c>
      <c r="AF299">
        <f>COUNTIF(AE$2:AE300,AE299)</f>
        <v>216</v>
      </c>
      <c r="AG299" t="str">
        <f t="shared" si="59"/>
        <v>False</v>
      </c>
      <c r="AH299" s="7">
        <f>Table1[[#This Row],[UnitPrice]]*(1-Table1[[#This Row],[Disc Scenario]])*Table1[[#This Row],[Quantity]]</f>
        <v>14968.239</v>
      </c>
      <c r="AI299">
        <f>ROUNDDOWN((Table1[[#This Row],[Quantity]]*(1+20%)),0)</f>
        <v>15</v>
      </c>
      <c r="AJ299" s="7">
        <f>Table1[[#This Row],[Quantity increase by 20%]]*Table1[[#This Row],[UnitPrice]]</f>
        <v>20934.600000000002</v>
      </c>
      <c r="AK299">
        <f>ROUNDDOWN(Table1[[#This Row],[Quantity]]*(1+20%),0)</f>
        <v>15</v>
      </c>
      <c r="AL299" s="7">
        <f>Table1[[#This Row],[UnitCost]]*(1+15%)</f>
        <v>995.12950000000001</v>
      </c>
      <c r="AM299" s="9">
        <f>Table1[[#This Row],[Quantity]]*Table1[[#This Row],[Cost of unit by inflation 15%]]</f>
        <v>12936.683499999999</v>
      </c>
      <c r="AN299" s="21" cm="1">
        <f t="array" ref="AN299">_xlfn.UNIQUE(AC299)</f>
        <v>45016</v>
      </c>
    </row>
    <row r="300" spans="1:40" x14ac:dyDescent="0.35">
      <c r="A300" t="s">
        <v>503</v>
      </c>
      <c r="B300" s="21">
        <v>45403</v>
      </c>
      <c r="C300" s="10">
        <v>45431</v>
      </c>
      <c r="D300" s="3">
        <f t="shared" si="48"/>
        <v>28</v>
      </c>
      <c r="E300" s="10" t="str">
        <f t="shared" si="49"/>
        <v>Q2-2024</v>
      </c>
      <c r="F300" t="s">
        <v>645</v>
      </c>
      <c r="G300" t="s">
        <v>650</v>
      </c>
      <c r="H300" t="s">
        <v>664</v>
      </c>
      <c r="I300" t="s">
        <v>700</v>
      </c>
      <c r="J300" t="s">
        <v>709</v>
      </c>
      <c r="K300" t="s">
        <v>719</v>
      </c>
      <c r="L300" t="s">
        <v>732</v>
      </c>
      <c r="M300" t="s">
        <v>1220</v>
      </c>
      <c r="N300" s="3">
        <v>187.22</v>
      </c>
      <c r="O300" s="3">
        <v>309.47000000000003</v>
      </c>
      <c r="P300" s="6">
        <v>0</v>
      </c>
      <c r="Q300" s="6">
        <f>IF(Table1[[#This Row],[DiscountPct]]&gt;25%,25%,Table1[[#This Row],[DiscountPct]])</f>
        <v>0</v>
      </c>
      <c r="R300" s="5">
        <v>5</v>
      </c>
      <c r="S300" s="6">
        <f t="shared" si="50"/>
        <v>0.65297510949684878</v>
      </c>
      <c r="T300" s="8">
        <f t="shared" si="51"/>
        <v>1547.3500000000001</v>
      </c>
      <c r="U300" s="8">
        <f t="shared" si="52"/>
        <v>936.1</v>
      </c>
      <c r="V300" s="9">
        <f t="shared" si="53"/>
        <v>611.25000000000011</v>
      </c>
      <c r="W300" s="6">
        <f t="shared" si="54"/>
        <v>0.39503021294471197</v>
      </c>
      <c r="X300" t="str" cm="1">
        <f t="array" ref="X300">_xlfn.IFS(S300&lt;=25%, "Low", S300&lt;=75%, "Medium", S300&gt;75%, "High")</f>
        <v>Medium</v>
      </c>
      <c r="Y300" s="8">
        <f>Table1[[#This Row],[Quantity]]*(Table1[[#This Row],[UnitPrice]]*(1-Table1[[#This Row],[DiscountPct]]))</f>
        <v>1547.3500000000001</v>
      </c>
      <c r="Z300" s="9">
        <f t="shared" si="55"/>
        <v>611.25000000000011</v>
      </c>
      <c r="AA300">
        <f>COUNTIF($G$2:G301,G300)</f>
        <v>20</v>
      </c>
      <c r="AB300" s="21">
        <f t="shared" si="56"/>
        <v>44988</v>
      </c>
      <c r="AC300" s="21">
        <f t="shared" si="57"/>
        <v>45016</v>
      </c>
      <c r="AD300" s="5">
        <f>(Table1[[#This Row],[OrderDate]]-Table1[[#This Row],[Date of first order]])/30</f>
        <v>13.833333333333334</v>
      </c>
      <c r="AE300" t="str">
        <f t="shared" si="58"/>
        <v>Poor</v>
      </c>
      <c r="AF300">
        <f>COUNTIF(AE$2:AE301,AE300)</f>
        <v>217</v>
      </c>
      <c r="AG300" t="str">
        <f t="shared" si="59"/>
        <v>False</v>
      </c>
      <c r="AH300" s="7">
        <f>Table1[[#This Row],[UnitPrice]]*(1-Table1[[#This Row],[Disc Scenario]])*Table1[[#This Row],[Quantity]]</f>
        <v>1547.3500000000001</v>
      </c>
      <c r="AI300">
        <f>ROUNDDOWN((Table1[[#This Row],[Quantity]]*(1+20%)),0)</f>
        <v>6</v>
      </c>
      <c r="AJ300" s="7">
        <f>Table1[[#This Row],[Quantity increase by 20%]]*Table1[[#This Row],[UnitPrice]]</f>
        <v>1856.8200000000002</v>
      </c>
      <c r="AK300">
        <f>ROUNDDOWN(Table1[[#This Row],[Quantity]]*(1+20%),0)</f>
        <v>6</v>
      </c>
      <c r="AL300" s="7">
        <f>Table1[[#This Row],[UnitCost]]*(1+15%)</f>
        <v>215.30299999999997</v>
      </c>
      <c r="AM300" s="9">
        <f>Table1[[#This Row],[Quantity]]*Table1[[#This Row],[Cost of unit by inflation 15%]]</f>
        <v>1076.5149999999999</v>
      </c>
      <c r="AN300" s="21" cm="1">
        <f t="array" ref="AN300">_xlfn.UNIQUE(AC300)</f>
        <v>45016</v>
      </c>
    </row>
    <row r="301" spans="1:40" x14ac:dyDescent="0.35">
      <c r="A301" t="s">
        <v>536</v>
      </c>
      <c r="B301" s="21">
        <v>45406</v>
      </c>
      <c r="C301" s="10">
        <v>45422</v>
      </c>
      <c r="D301" s="3">
        <f t="shared" si="48"/>
        <v>16</v>
      </c>
      <c r="E301" s="10" t="str">
        <f t="shared" si="49"/>
        <v>Q2-2024</v>
      </c>
      <c r="F301" t="s">
        <v>645</v>
      </c>
      <c r="G301" t="s">
        <v>649</v>
      </c>
      <c r="H301" t="s">
        <v>661</v>
      </c>
      <c r="I301" t="s">
        <v>702</v>
      </c>
      <c r="J301" t="s">
        <v>707</v>
      </c>
      <c r="K301" t="s">
        <v>724</v>
      </c>
      <c r="L301" t="s">
        <v>731</v>
      </c>
      <c r="M301" t="s">
        <v>1253</v>
      </c>
      <c r="N301" s="3">
        <v>513.30999999999995</v>
      </c>
      <c r="O301" s="3">
        <v>1186.26</v>
      </c>
      <c r="P301" s="6">
        <v>9.4E-2</v>
      </c>
      <c r="Q301" s="6">
        <f>IF(Table1[[#This Row],[DiscountPct]]&gt;25%,25%,Table1[[#This Row],[DiscountPct]])</f>
        <v>9.4E-2</v>
      </c>
      <c r="R301" s="5">
        <v>15</v>
      </c>
      <c r="S301" s="6">
        <f t="shared" si="50"/>
        <v>1.3110011494028952</v>
      </c>
      <c r="T301" s="8">
        <f t="shared" si="51"/>
        <v>16121.273400000002</v>
      </c>
      <c r="U301" s="8">
        <f t="shared" si="52"/>
        <v>7699.65</v>
      </c>
      <c r="V301" s="9">
        <f t="shared" si="53"/>
        <v>8421.6234000000022</v>
      </c>
      <c r="W301" s="6">
        <f t="shared" si="54"/>
        <v>0.52239194702820446</v>
      </c>
      <c r="X301" t="str" cm="1">
        <f t="array" ref="X301">_xlfn.IFS(S301&lt;=25%, "Low", S301&lt;=75%, "Medium", S301&gt;75%, "High")</f>
        <v>High</v>
      </c>
      <c r="Y301" s="8">
        <f>Table1[[#This Row],[Quantity]]*(Table1[[#This Row],[UnitPrice]]*(1-Table1[[#This Row],[DiscountPct]]))</f>
        <v>16121.273399999998</v>
      </c>
      <c r="Z301" s="9">
        <f t="shared" si="55"/>
        <v>8421.6233999999986</v>
      </c>
      <c r="AA301">
        <f>COUNTIF($G$2:G302,G301)</f>
        <v>26</v>
      </c>
      <c r="AB301" s="21">
        <f t="shared" si="56"/>
        <v>44988</v>
      </c>
      <c r="AC301" s="21">
        <f t="shared" si="57"/>
        <v>45016</v>
      </c>
      <c r="AD301" s="5">
        <f>(Table1[[#This Row],[OrderDate]]-Table1[[#This Row],[Date of first order]])/30</f>
        <v>13.933333333333334</v>
      </c>
      <c r="AE301" t="str">
        <f t="shared" si="58"/>
        <v>Poor</v>
      </c>
      <c r="AF301">
        <f>COUNTIF(AE$2:AE302,AE301)</f>
        <v>217</v>
      </c>
      <c r="AG301" t="str">
        <f t="shared" si="59"/>
        <v>False</v>
      </c>
      <c r="AH301" s="7">
        <f>Table1[[#This Row],[UnitPrice]]*(1-Table1[[#This Row],[Disc Scenario]])*Table1[[#This Row],[Quantity]]</f>
        <v>16121.273399999998</v>
      </c>
      <c r="AI301">
        <f>ROUNDDOWN((Table1[[#This Row],[Quantity]]*(1+20%)),0)</f>
        <v>18</v>
      </c>
      <c r="AJ301" s="7">
        <f>Table1[[#This Row],[Quantity increase by 20%]]*Table1[[#This Row],[UnitPrice]]</f>
        <v>21352.68</v>
      </c>
      <c r="AK301">
        <f>ROUNDDOWN(Table1[[#This Row],[Quantity]]*(1+20%),0)</f>
        <v>18</v>
      </c>
      <c r="AL301" s="7">
        <f>Table1[[#This Row],[UnitCost]]*(1+15%)</f>
        <v>590.30649999999991</v>
      </c>
      <c r="AM301" s="9">
        <f>Table1[[#This Row],[Quantity]]*Table1[[#This Row],[Cost of unit by inflation 15%]]</f>
        <v>8854.597499999998</v>
      </c>
      <c r="AN301" s="21" cm="1">
        <f t="array" ref="AN301">_xlfn.UNIQUE(AC301)</f>
        <v>45016</v>
      </c>
    </row>
    <row r="302" spans="1:40" x14ac:dyDescent="0.35">
      <c r="A302" t="s">
        <v>514</v>
      </c>
      <c r="B302" s="21">
        <v>45406</v>
      </c>
      <c r="C302" s="10">
        <v>45408</v>
      </c>
      <c r="D302" s="3">
        <f t="shared" si="48"/>
        <v>2</v>
      </c>
      <c r="E302" s="10" t="str">
        <f t="shared" si="49"/>
        <v>Q2-2024</v>
      </c>
      <c r="F302" t="s">
        <v>648</v>
      </c>
      <c r="G302" t="s">
        <v>657</v>
      </c>
      <c r="H302" t="s">
        <v>682</v>
      </c>
      <c r="I302" t="s">
        <v>702</v>
      </c>
      <c r="J302" t="s">
        <v>709</v>
      </c>
      <c r="K302" t="s">
        <v>724</v>
      </c>
      <c r="L302" t="s">
        <v>729</v>
      </c>
      <c r="M302" t="s">
        <v>1231</v>
      </c>
      <c r="N302" s="3">
        <v>1232.77</v>
      </c>
      <c r="O302" s="3">
        <v>1898.4657999999999</v>
      </c>
      <c r="P302" s="6">
        <v>0.16700000000000001</v>
      </c>
      <c r="Q302" s="6">
        <f>IF(Table1[[#This Row],[DiscountPct]]&gt;25%,25%,Table1[[#This Row],[DiscountPct]])</f>
        <v>0.16700000000000001</v>
      </c>
      <c r="R302" s="5">
        <v>10</v>
      </c>
      <c r="S302" s="6">
        <f t="shared" si="50"/>
        <v>0.53999999999999992</v>
      </c>
      <c r="T302" s="8">
        <f t="shared" si="51"/>
        <v>15814.220114</v>
      </c>
      <c r="U302" s="8">
        <f t="shared" si="52"/>
        <v>12327.7</v>
      </c>
      <c r="V302" s="9">
        <f t="shared" si="53"/>
        <v>3486.520113999999</v>
      </c>
      <c r="W302" s="6">
        <f t="shared" si="54"/>
        <v>0.22046740774231766</v>
      </c>
      <c r="X302" t="str" cm="1">
        <f t="array" ref="X302">_xlfn.IFS(S302&lt;=25%, "Low", S302&lt;=75%, "Medium", S302&gt;75%, "High")</f>
        <v>Medium</v>
      </c>
      <c r="Y302" s="8">
        <f>Table1[[#This Row],[Quantity]]*(Table1[[#This Row],[UnitPrice]]*(1-Table1[[#This Row],[DiscountPct]]))</f>
        <v>15814.220114</v>
      </c>
      <c r="Z302" s="9">
        <f t="shared" si="55"/>
        <v>3486.520113999999</v>
      </c>
      <c r="AA302">
        <f>COUNTIF($G$2:G303,G302)</f>
        <v>25</v>
      </c>
      <c r="AB302" s="21">
        <f t="shared" si="56"/>
        <v>44988</v>
      </c>
      <c r="AC302" s="21">
        <f t="shared" si="57"/>
        <v>45016</v>
      </c>
      <c r="AD302" s="5">
        <f>(Table1[[#This Row],[OrderDate]]-Table1[[#This Row],[Date of first order]])/30</f>
        <v>13.933333333333334</v>
      </c>
      <c r="AE302" t="str">
        <f t="shared" si="58"/>
        <v>Good</v>
      </c>
      <c r="AF302">
        <f>COUNTIF(AE$2:AE303,AE302)</f>
        <v>84</v>
      </c>
      <c r="AG302" t="str">
        <f t="shared" si="59"/>
        <v>False</v>
      </c>
      <c r="AH302" s="7">
        <f>Table1[[#This Row],[UnitPrice]]*(1-Table1[[#This Row],[Disc Scenario]])*Table1[[#This Row],[Quantity]]</f>
        <v>15814.220114</v>
      </c>
      <c r="AI302">
        <f>ROUNDDOWN((Table1[[#This Row],[Quantity]]*(1+20%)),0)</f>
        <v>12</v>
      </c>
      <c r="AJ302" s="7">
        <f>Table1[[#This Row],[Quantity increase by 20%]]*Table1[[#This Row],[UnitPrice]]</f>
        <v>22781.589599999999</v>
      </c>
      <c r="AK302">
        <f>ROUNDDOWN(Table1[[#This Row],[Quantity]]*(1+20%),0)</f>
        <v>12</v>
      </c>
      <c r="AL302" s="7">
        <f>Table1[[#This Row],[UnitCost]]*(1+15%)</f>
        <v>1417.6854999999998</v>
      </c>
      <c r="AM302" s="9">
        <f>Table1[[#This Row],[Quantity]]*Table1[[#This Row],[Cost of unit by inflation 15%]]</f>
        <v>14176.854999999998</v>
      </c>
      <c r="AN302" s="21" cm="1">
        <f t="array" ref="AN302">_xlfn.UNIQUE(AC302)</f>
        <v>45016</v>
      </c>
    </row>
    <row r="303" spans="1:40" x14ac:dyDescent="0.35">
      <c r="A303" t="s">
        <v>268</v>
      </c>
      <c r="B303" s="21">
        <v>45411</v>
      </c>
      <c r="C303" s="10">
        <v>45431</v>
      </c>
      <c r="D303" s="3">
        <f t="shared" si="48"/>
        <v>20</v>
      </c>
      <c r="E303" s="10" t="str">
        <f t="shared" si="49"/>
        <v>Q2-2024</v>
      </c>
      <c r="F303" t="s">
        <v>648</v>
      </c>
      <c r="G303" t="s">
        <v>655</v>
      </c>
      <c r="H303" t="s">
        <v>697</v>
      </c>
      <c r="I303" t="s">
        <v>705</v>
      </c>
      <c r="J303" t="s">
        <v>708</v>
      </c>
      <c r="K303" t="s">
        <v>711</v>
      </c>
      <c r="L303" t="s">
        <v>730</v>
      </c>
      <c r="M303" t="s">
        <v>986</v>
      </c>
      <c r="N303" s="3">
        <v>668.97</v>
      </c>
      <c r="O303" s="3">
        <v>1667.44</v>
      </c>
      <c r="P303" s="6">
        <v>3.4000000000000002E-2</v>
      </c>
      <c r="Q303" s="6">
        <f>IF(Table1[[#This Row],[DiscountPct]]&gt;25%,25%,Table1[[#This Row],[DiscountPct]])</f>
        <v>3.4000000000000002E-2</v>
      </c>
      <c r="R303" s="5">
        <v>15</v>
      </c>
      <c r="S303" s="6">
        <f t="shared" si="50"/>
        <v>1.492548245810724</v>
      </c>
      <c r="T303" s="8">
        <f t="shared" si="51"/>
        <v>24161.205600000001</v>
      </c>
      <c r="U303" s="8">
        <f t="shared" si="52"/>
        <v>10034.550000000001</v>
      </c>
      <c r="V303" s="9">
        <f t="shared" si="53"/>
        <v>14126.6556</v>
      </c>
      <c r="W303" s="6">
        <f t="shared" si="54"/>
        <v>0.58468339013679016</v>
      </c>
      <c r="X303" t="str" cm="1">
        <f t="array" ref="X303">_xlfn.IFS(S303&lt;=25%, "Low", S303&lt;=75%, "Medium", S303&gt;75%, "High")</f>
        <v>High</v>
      </c>
      <c r="Y303" s="8">
        <f>Table1[[#This Row],[Quantity]]*(Table1[[#This Row],[UnitPrice]]*(1-Table1[[#This Row],[DiscountPct]]))</f>
        <v>24161.205600000001</v>
      </c>
      <c r="Z303" s="9">
        <f t="shared" si="55"/>
        <v>14126.6556</v>
      </c>
      <c r="AA303">
        <f>COUNTIF($G$2:G304,G303)</f>
        <v>28</v>
      </c>
      <c r="AB303" s="21">
        <f t="shared" si="56"/>
        <v>44988</v>
      </c>
      <c r="AC303" s="21">
        <f t="shared" si="57"/>
        <v>45016</v>
      </c>
      <c r="AD303" s="5">
        <f>(Table1[[#This Row],[OrderDate]]-Table1[[#This Row],[Date of first order]])/30</f>
        <v>14.1</v>
      </c>
      <c r="AE303" t="str">
        <f t="shared" si="58"/>
        <v>Poor</v>
      </c>
      <c r="AF303">
        <f>COUNTIF(AE$2:AE304,AE303)</f>
        <v>219</v>
      </c>
      <c r="AG303" t="str">
        <f t="shared" si="59"/>
        <v>False</v>
      </c>
      <c r="AH303" s="7">
        <f>Table1[[#This Row],[UnitPrice]]*(1-Table1[[#This Row],[Disc Scenario]])*Table1[[#This Row],[Quantity]]</f>
        <v>24161.205600000001</v>
      </c>
      <c r="AI303">
        <f>ROUNDDOWN((Table1[[#This Row],[Quantity]]*(1+20%)),0)</f>
        <v>18</v>
      </c>
      <c r="AJ303" s="7">
        <f>Table1[[#This Row],[Quantity increase by 20%]]*Table1[[#This Row],[UnitPrice]]</f>
        <v>30013.920000000002</v>
      </c>
      <c r="AK303">
        <f>ROUNDDOWN(Table1[[#This Row],[Quantity]]*(1+20%),0)</f>
        <v>18</v>
      </c>
      <c r="AL303" s="7">
        <f>Table1[[#This Row],[UnitCost]]*(1+15%)</f>
        <v>769.31549999999993</v>
      </c>
      <c r="AM303" s="9">
        <f>Table1[[#This Row],[Quantity]]*Table1[[#This Row],[Cost of unit by inflation 15%]]</f>
        <v>11539.732499999998</v>
      </c>
      <c r="AN303" s="21" cm="1">
        <f t="array" ref="AN303">_xlfn.UNIQUE(AC303)</f>
        <v>45016</v>
      </c>
    </row>
    <row r="304" spans="1:40" x14ac:dyDescent="0.35">
      <c r="A304" t="s">
        <v>465</v>
      </c>
      <c r="B304" s="21">
        <v>45413</v>
      </c>
      <c r="C304" s="10">
        <v>45428</v>
      </c>
      <c r="D304" s="3">
        <f t="shared" si="48"/>
        <v>15</v>
      </c>
      <c r="E304" s="10" t="str">
        <f t="shared" si="49"/>
        <v>Q2-2024</v>
      </c>
      <c r="F304" t="s">
        <v>646</v>
      </c>
      <c r="G304" t="s">
        <v>653</v>
      </c>
      <c r="H304" t="s">
        <v>667</v>
      </c>
      <c r="I304" t="s">
        <v>704</v>
      </c>
      <c r="J304" t="s">
        <v>706</v>
      </c>
      <c r="K304" t="s">
        <v>715</v>
      </c>
      <c r="L304" t="s">
        <v>726</v>
      </c>
      <c r="M304" t="s">
        <v>1182</v>
      </c>
      <c r="N304" s="3">
        <v>901.19</v>
      </c>
      <c r="O304" s="3">
        <v>2125.44</v>
      </c>
      <c r="P304" s="6">
        <v>7.0999999999999994E-2</v>
      </c>
      <c r="Q304" s="6">
        <f>IF(Table1[[#This Row],[DiscountPct]]&gt;25%,25%,Table1[[#This Row],[DiscountPct]])</f>
        <v>7.0999999999999994E-2</v>
      </c>
      <c r="R304" s="5">
        <v>12</v>
      </c>
      <c r="S304" s="6">
        <f t="shared" si="50"/>
        <v>1.3584815632663478</v>
      </c>
      <c r="T304" s="8">
        <f t="shared" si="51"/>
        <v>23694.405119999999</v>
      </c>
      <c r="U304" s="8">
        <f t="shared" si="52"/>
        <v>10814.28</v>
      </c>
      <c r="V304" s="9">
        <f t="shared" si="53"/>
        <v>12880.125119999999</v>
      </c>
      <c r="W304" s="6">
        <f t="shared" si="54"/>
        <v>0.54359352154100415</v>
      </c>
      <c r="X304" t="str" cm="1">
        <f t="array" ref="X304">_xlfn.IFS(S304&lt;=25%, "Low", S304&lt;=75%, "Medium", S304&gt;75%, "High")</f>
        <v>High</v>
      </c>
      <c r="Y304" s="8">
        <f>Table1[[#This Row],[Quantity]]*(Table1[[#This Row],[UnitPrice]]*(1-Table1[[#This Row],[DiscountPct]]))</f>
        <v>23694.405120000003</v>
      </c>
      <c r="Z304" s="9">
        <f t="shared" si="55"/>
        <v>12880.125120000002</v>
      </c>
      <c r="AA304">
        <f>COUNTIF($G$2:G305,G304)</f>
        <v>31</v>
      </c>
      <c r="AB304" s="21">
        <f t="shared" si="56"/>
        <v>44988</v>
      </c>
      <c r="AC304" s="21">
        <f t="shared" si="57"/>
        <v>45016</v>
      </c>
      <c r="AD304" s="5">
        <f>(Table1[[#This Row],[OrderDate]]-Table1[[#This Row],[Date of first order]])/30</f>
        <v>14.166666666666666</v>
      </c>
      <c r="AE304" t="str">
        <f t="shared" si="58"/>
        <v>Poor</v>
      </c>
      <c r="AF304">
        <f>COUNTIF(AE$2:AE305,AE304)</f>
        <v>220</v>
      </c>
      <c r="AG304" t="str">
        <f t="shared" si="59"/>
        <v>False</v>
      </c>
      <c r="AH304" s="7">
        <f>Table1[[#This Row],[UnitPrice]]*(1-Table1[[#This Row],[Disc Scenario]])*Table1[[#This Row],[Quantity]]</f>
        <v>23694.405120000003</v>
      </c>
      <c r="AI304">
        <f>ROUNDDOWN((Table1[[#This Row],[Quantity]]*(1+20%)),0)</f>
        <v>14</v>
      </c>
      <c r="AJ304" s="7">
        <f>Table1[[#This Row],[Quantity increase by 20%]]*Table1[[#This Row],[UnitPrice]]</f>
        <v>29756.16</v>
      </c>
      <c r="AK304">
        <f>ROUNDDOWN(Table1[[#This Row],[Quantity]]*(1+20%),0)</f>
        <v>14</v>
      </c>
      <c r="AL304" s="7">
        <f>Table1[[#This Row],[UnitCost]]*(1+15%)</f>
        <v>1036.3685</v>
      </c>
      <c r="AM304" s="9">
        <f>Table1[[#This Row],[Quantity]]*Table1[[#This Row],[Cost of unit by inflation 15%]]</f>
        <v>12436.422</v>
      </c>
      <c r="AN304" s="21" cm="1">
        <f t="array" ref="AN304">_xlfn.UNIQUE(AC304)</f>
        <v>45016</v>
      </c>
    </row>
    <row r="305" spans="1:40" x14ac:dyDescent="0.35">
      <c r="A305" t="s">
        <v>531</v>
      </c>
      <c r="B305" s="21">
        <v>45413</v>
      </c>
      <c r="C305" s="10">
        <v>45438</v>
      </c>
      <c r="D305" s="3">
        <f t="shared" si="48"/>
        <v>25</v>
      </c>
      <c r="E305" s="10" t="str">
        <f t="shared" si="49"/>
        <v>Q2-2024</v>
      </c>
      <c r="F305" t="s">
        <v>648</v>
      </c>
      <c r="G305" t="s">
        <v>655</v>
      </c>
      <c r="H305" t="s">
        <v>670</v>
      </c>
      <c r="I305" t="s">
        <v>702</v>
      </c>
      <c r="J305" t="s">
        <v>706</v>
      </c>
      <c r="K305" t="s">
        <v>716</v>
      </c>
      <c r="L305" t="s">
        <v>728</v>
      </c>
      <c r="M305" t="s">
        <v>1248</v>
      </c>
      <c r="N305" s="3">
        <v>930.71</v>
      </c>
      <c r="O305" s="3">
        <v>1625.42</v>
      </c>
      <c r="P305" s="6">
        <v>0.13800000000000001</v>
      </c>
      <c r="Q305" s="6">
        <f>IF(Table1[[#This Row],[DiscountPct]]&gt;25%,25%,Table1[[#This Row],[DiscountPct]])</f>
        <v>0.13800000000000001</v>
      </c>
      <c r="R305" s="5">
        <v>7</v>
      </c>
      <c r="S305" s="6">
        <f t="shared" si="50"/>
        <v>0.74643014472821823</v>
      </c>
      <c r="T305" s="8">
        <f t="shared" si="51"/>
        <v>9807.7842799999999</v>
      </c>
      <c r="U305" s="8">
        <f t="shared" si="52"/>
        <v>6514.97</v>
      </c>
      <c r="V305" s="9">
        <f t="shared" si="53"/>
        <v>3292.8142799999996</v>
      </c>
      <c r="W305" s="6">
        <f t="shared" si="54"/>
        <v>0.33573477821231196</v>
      </c>
      <c r="X305" t="str" cm="1">
        <f t="array" ref="X305">_xlfn.IFS(S305&lt;=25%, "Low", S305&lt;=75%, "Medium", S305&gt;75%, "High")</f>
        <v>Medium</v>
      </c>
      <c r="Y305" s="8">
        <f>Table1[[#This Row],[Quantity]]*(Table1[[#This Row],[UnitPrice]]*(1-Table1[[#This Row],[DiscountPct]]))</f>
        <v>9807.7842799999999</v>
      </c>
      <c r="Z305" s="9">
        <f t="shared" si="55"/>
        <v>3292.8142799999996</v>
      </c>
      <c r="AA305">
        <f>COUNTIF($G$2:G306,G305)</f>
        <v>29</v>
      </c>
      <c r="AB305" s="21">
        <f t="shared" si="56"/>
        <v>44988</v>
      </c>
      <c r="AC305" s="21">
        <f t="shared" si="57"/>
        <v>45016</v>
      </c>
      <c r="AD305" s="5">
        <f>(Table1[[#This Row],[OrderDate]]-Table1[[#This Row],[Date of first order]])/30</f>
        <v>14.166666666666666</v>
      </c>
      <c r="AE305" t="str">
        <f t="shared" si="58"/>
        <v>Poor</v>
      </c>
      <c r="AF305">
        <f>COUNTIF(AE$2:AE306,AE305)</f>
        <v>221</v>
      </c>
      <c r="AG305" t="str">
        <f t="shared" si="59"/>
        <v>False</v>
      </c>
      <c r="AH305" s="7">
        <f>Table1[[#This Row],[UnitPrice]]*(1-Table1[[#This Row],[Disc Scenario]])*Table1[[#This Row],[Quantity]]</f>
        <v>9807.7842799999999</v>
      </c>
      <c r="AI305">
        <f>ROUNDDOWN((Table1[[#This Row],[Quantity]]*(1+20%)),0)</f>
        <v>8</v>
      </c>
      <c r="AJ305" s="7">
        <f>Table1[[#This Row],[Quantity increase by 20%]]*Table1[[#This Row],[UnitPrice]]</f>
        <v>13003.36</v>
      </c>
      <c r="AK305">
        <f>ROUNDDOWN(Table1[[#This Row],[Quantity]]*(1+20%),0)</f>
        <v>8</v>
      </c>
      <c r="AL305" s="7">
        <f>Table1[[#This Row],[UnitCost]]*(1+15%)</f>
        <v>1070.3164999999999</v>
      </c>
      <c r="AM305" s="9">
        <f>Table1[[#This Row],[Quantity]]*Table1[[#This Row],[Cost of unit by inflation 15%]]</f>
        <v>7492.2154999999993</v>
      </c>
      <c r="AN305" s="21" cm="1">
        <f t="array" ref="AN305">_xlfn.UNIQUE(AC305)</f>
        <v>45016</v>
      </c>
    </row>
    <row r="306" spans="1:40" x14ac:dyDescent="0.35">
      <c r="A306" t="s">
        <v>23</v>
      </c>
      <c r="B306" s="21">
        <v>45416</v>
      </c>
      <c r="C306" s="10">
        <v>45441</v>
      </c>
      <c r="D306" s="3">
        <f t="shared" si="48"/>
        <v>25</v>
      </c>
      <c r="E306" s="10" t="str">
        <f t="shared" si="49"/>
        <v>Q2-2024</v>
      </c>
      <c r="F306" t="s">
        <v>645</v>
      </c>
      <c r="G306" t="s">
        <v>650</v>
      </c>
      <c r="H306" t="s">
        <v>668</v>
      </c>
      <c r="I306" t="s">
        <v>702</v>
      </c>
      <c r="J306" t="s">
        <v>708</v>
      </c>
      <c r="K306" t="s">
        <v>718</v>
      </c>
      <c r="L306" t="s">
        <v>731</v>
      </c>
      <c r="M306" t="s">
        <v>741</v>
      </c>
      <c r="N306" s="3">
        <v>1295.3399999999999</v>
      </c>
      <c r="O306" s="3">
        <v>2530.81</v>
      </c>
      <c r="P306" s="6">
        <v>3.1E-2</v>
      </c>
      <c r="Q306" s="6">
        <f>IF(Table1[[#This Row],[DiscountPct]]&gt;25%,25%,Table1[[#This Row],[DiscountPct]])</f>
        <v>3.1E-2</v>
      </c>
      <c r="R306" s="5">
        <v>6</v>
      </c>
      <c r="S306" s="6">
        <f t="shared" si="50"/>
        <v>0.95378047462442306</v>
      </c>
      <c r="T306" s="8">
        <f t="shared" si="51"/>
        <v>14714.12934</v>
      </c>
      <c r="U306" s="8">
        <f t="shared" si="52"/>
        <v>7772.0399999999991</v>
      </c>
      <c r="V306" s="9">
        <f t="shared" si="53"/>
        <v>6942.0893400000004</v>
      </c>
      <c r="W306" s="6">
        <f t="shared" si="54"/>
        <v>0.4717974933880798</v>
      </c>
      <c r="X306" t="str" cm="1">
        <f t="array" ref="X306">_xlfn.IFS(S306&lt;=25%, "Low", S306&lt;=75%, "Medium", S306&gt;75%, "High")</f>
        <v>High</v>
      </c>
      <c r="Y306" s="8">
        <f>Table1[[#This Row],[Quantity]]*(Table1[[#This Row],[UnitPrice]]*(1-Table1[[#This Row],[DiscountPct]]))</f>
        <v>14714.12934</v>
      </c>
      <c r="Z306" s="9">
        <f t="shared" si="55"/>
        <v>6942.0893400000004</v>
      </c>
      <c r="AA306">
        <f>COUNTIF($G$2:G307,G306)</f>
        <v>21</v>
      </c>
      <c r="AB306" s="21">
        <f t="shared" si="56"/>
        <v>44988</v>
      </c>
      <c r="AC306" s="21">
        <f t="shared" si="57"/>
        <v>45016</v>
      </c>
      <c r="AD306" s="5">
        <f>(Table1[[#This Row],[OrderDate]]-Table1[[#This Row],[Date of first order]])/30</f>
        <v>14.266666666666667</v>
      </c>
      <c r="AE306" t="str">
        <f t="shared" si="58"/>
        <v>Poor</v>
      </c>
      <c r="AF306">
        <f>COUNTIF(AE$2:AE307,AE306)</f>
        <v>222</v>
      </c>
      <c r="AG306" t="str">
        <f t="shared" si="59"/>
        <v>False</v>
      </c>
      <c r="AH306" s="7">
        <f>Table1[[#This Row],[UnitPrice]]*(1-Table1[[#This Row],[Disc Scenario]])*Table1[[#This Row],[Quantity]]</f>
        <v>14714.12934</v>
      </c>
      <c r="AI306">
        <f>ROUNDDOWN((Table1[[#This Row],[Quantity]]*(1+20%)),0)</f>
        <v>7</v>
      </c>
      <c r="AJ306" s="7">
        <f>Table1[[#This Row],[Quantity increase by 20%]]*Table1[[#This Row],[UnitPrice]]</f>
        <v>17715.669999999998</v>
      </c>
      <c r="AK306">
        <f>ROUNDDOWN(Table1[[#This Row],[Quantity]]*(1+20%),0)</f>
        <v>7</v>
      </c>
      <c r="AL306" s="7">
        <f>Table1[[#This Row],[UnitCost]]*(1+15%)</f>
        <v>1489.6409999999998</v>
      </c>
      <c r="AM306" s="9">
        <f>Table1[[#This Row],[Quantity]]*Table1[[#This Row],[Cost of unit by inflation 15%]]</f>
        <v>8937.8459999999995</v>
      </c>
      <c r="AN306" s="21" cm="1">
        <f t="array" ref="AN306">_xlfn.UNIQUE(AC306)</f>
        <v>45016</v>
      </c>
    </row>
    <row r="307" spans="1:40" x14ac:dyDescent="0.35">
      <c r="A307" t="s">
        <v>472</v>
      </c>
      <c r="B307" s="21">
        <v>45417</v>
      </c>
      <c r="C307" s="10">
        <v>45430</v>
      </c>
      <c r="D307" s="3">
        <f t="shared" si="48"/>
        <v>13</v>
      </c>
      <c r="E307" s="10" t="str">
        <f t="shared" si="49"/>
        <v>Q2-2024</v>
      </c>
      <c r="F307" t="s">
        <v>648</v>
      </c>
      <c r="G307" t="s">
        <v>656</v>
      </c>
      <c r="H307" t="s">
        <v>672</v>
      </c>
      <c r="I307" t="s">
        <v>700</v>
      </c>
      <c r="J307" t="s">
        <v>708</v>
      </c>
      <c r="K307" t="s">
        <v>719</v>
      </c>
      <c r="L307" t="s">
        <v>726</v>
      </c>
      <c r="M307" t="s">
        <v>1189</v>
      </c>
      <c r="N307" s="3">
        <v>1264.04</v>
      </c>
      <c r="O307" s="3">
        <v>1870.89</v>
      </c>
      <c r="P307" s="6">
        <v>0</v>
      </c>
      <c r="Q307" s="6">
        <f>IF(Table1[[#This Row],[DiscountPct]]&gt;25%,25%,Table1[[#This Row],[DiscountPct]])</f>
        <v>0</v>
      </c>
      <c r="R307" s="5">
        <v>13</v>
      </c>
      <c r="S307" s="6">
        <f t="shared" si="50"/>
        <v>0.48008765545394144</v>
      </c>
      <c r="T307" s="8">
        <f t="shared" si="51"/>
        <v>24321.57</v>
      </c>
      <c r="U307" s="8">
        <f t="shared" si="52"/>
        <v>16432.52</v>
      </c>
      <c r="V307" s="9">
        <f t="shared" si="53"/>
        <v>7889.0499999999993</v>
      </c>
      <c r="W307" s="6">
        <f t="shared" si="54"/>
        <v>0.32436433996653996</v>
      </c>
      <c r="X307" t="str" cm="1">
        <f t="array" ref="X307">_xlfn.IFS(S307&lt;=25%, "Low", S307&lt;=75%, "Medium", S307&gt;75%, "High")</f>
        <v>Medium</v>
      </c>
      <c r="Y307" s="8">
        <f>Table1[[#This Row],[Quantity]]*(Table1[[#This Row],[UnitPrice]]*(1-Table1[[#This Row],[DiscountPct]]))</f>
        <v>24321.57</v>
      </c>
      <c r="Z307" s="9">
        <f t="shared" si="55"/>
        <v>7889.0499999999993</v>
      </c>
      <c r="AA307">
        <f>COUNTIF($G$2:G308,G307)</f>
        <v>24</v>
      </c>
      <c r="AB307" s="21">
        <f t="shared" si="56"/>
        <v>44988</v>
      </c>
      <c r="AC307" s="21">
        <f t="shared" si="57"/>
        <v>45016</v>
      </c>
      <c r="AD307" s="5">
        <f>(Table1[[#This Row],[OrderDate]]-Table1[[#This Row],[Date of first order]])/30</f>
        <v>14.3</v>
      </c>
      <c r="AE307" t="str">
        <f t="shared" si="58"/>
        <v>Poor</v>
      </c>
      <c r="AF307">
        <f>COUNTIF(AE$2:AE308,AE307)</f>
        <v>222</v>
      </c>
      <c r="AG307" t="str">
        <f t="shared" si="59"/>
        <v>False</v>
      </c>
      <c r="AH307" s="7">
        <f>Table1[[#This Row],[UnitPrice]]*(1-Table1[[#This Row],[Disc Scenario]])*Table1[[#This Row],[Quantity]]</f>
        <v>24321.57</v>
      </c>
      <c r="AI307">
        <f>ROUNDDOWN((Table1[[#This Row],[Quantity]]*(1+20%)),0)</f>
        <v>15</v>
      </c>
      <c r="AJ307" s="7">
        <f>Table1[[#This Row],[Quantity increase by 20%]]*Table1[[#This Row],[UnitPrice]]</f>
        <v>28063.350000000002</v>
      </c>
      <c r="AK307">
        <f>ROUNDDOWN(Table1[[#This Row],[Quantity]]*(1+20%),0)</f>
        <v>15</v>
      </c>
      <c r="AL307" s="7">
        <f>Table1[[#This Row],[UnitCost]]*(1+15%)</f>
        <v>1453.646</v>
      </c>
      <c r="AM307" s="9">
        <f>Table1[[#This Row],[Quantity]]*Table1[[#This Row],[Cost of unit by inflation 15%]]</f>
        <v>18897.398000000001</v>
      </c>
      <c r="AN307" s="21" cm="1">
        <f t="array" ref="AN307">_xlfn.UNIQUE(AC307)</f>
        <v>45016</v>
      </c>
    </row>
    <row r="308" spans="1:40" x14ac:dyDescent="0.35">
      <c r="A308" t="s">
        <v>400</v>
      </c>
      <c r="B308" s="21">
        <v>45419</v>
      </c>
      <c r="C308" s="10">
        <v>45424</v>
      </c>
      <c r="D308" s="3">
        <f t="shared" si="48"/>
        <v>5</v>
      </c>
      <c r="E308" s="10" t="str">
        <f t="shared" si="49"/>
        <v>Q2-2024</v>
      </c>
      <c r="F308" t="s">
        <v>645</v>
      </c>
      <c r="G308" t="s">
        <v>650</v>
      </c>
      <c r="H308" t="s">
        <v>668</v>
      </c>
      <c r="I308" t="s">
        <v>702</v>
      </c>
      <c r="J308" t="s">
        <v>709</v>
      </c>
      <c r="K308" t="s">
        <v>715</v>
      </c>
      <c r="L308" t="s">
        <v>730</v>
      </c>
      <c r="M308" t="s">
        <v>1117</v>
      </c>
      <c r="N308" s="3">
        <v>1163.99</v>
      </c>
      <c r="O308" s="3">
        <v>1617.85</v>
      </c>
      <c r="P308" s="6">
        <v>0.127</v>
      </c>
      <c r="Q308" s="6">
        <f>IF(Table1[[#This Row],[DiscountPct]]&gt;25%,25%,Table1[[#This Row],[DiscountPct]])</f>
        <v>0.127</v>
      </c>
      <c r="R308" s="5">
        <v>14</v>
      </c>
      <c r="S308" s="6">
        <f t="shared" si="50"/>
        <v>0.38991743915325722</v>
      </c>
      <c r="T308" s="8">
        <f t="shared" si="51"/>
        <v>19773.362699999998</v>
      </c>
      <c r="U308" s="8">
        <f t="shared" si="52"/>
        <v>16295.86</v>
      </c>
      <c r="V308" s="9">
        <f t="shared" si="53"/>
        <v>3477.5026999999973</v>
      </c>
      <c r="W308" s="6">
        <f t="shared" si="54"/>
        <v>0.17586804797749436</v>
      </c>
      <c r="X308" t="str" cm="1">
        <f t="array" ref="X308">_xlfn.IFS(S308&lt;=25%, "Low", S308&lt;=75%, "Medium", S308&gt;75%, "High")</f>
        <v>Medium</v>
      </c>
      <c r="Y308" s="8">
        <f>Table1[[#This Row],[Quantity]]*(Table1[[#This Row],[UnitPrice]]*(1-Table1[[#This Row],[DiscountPct]]))</f>
        <v>19773.362699999998</v>
      </c>
      <c r="Z308" s="9">
        <f t="shared" si="55"/>
        <v>3477.5026999999973</v>
      </c>
      <c r="AA308">
        <f>COUNTIF($G$2:G309,G308)</f>
        <v>22</v>
      </c>
      <c r="AB308" s="21">
        <f t="shared" si="56"/>
        <v>44988</v>
      </c>
      <c r="AC308" s="21">
        <f t="shared" si="57"/>
        <v>45016</v>
      </c>
      <c r="AD308" s="5">
        <f>(Table1[[#This Row],[OrderDate]]-Table1[[#This Row],[Date of first order]])/30</f>
        <v>14.366666666666667</v>
      </c>
      <c r="AE308" t="str">
        <f t="shared" si="58"/>
        <v>Good</v>
      </c>
      <c r="AF308">
        <f>COUNTIF(AE$2:AE309,AE308)</f>
        <v>86</v>
      </c>
      <c r="AG308" t="str">
        <f t="shared" si="59"/>
        <v>False</v>
      </c>
      <c r="AH308" s="7">
        <f>Table1[[#This Row],[UnitPrice]]*(1-Table1[[#This Row],[Disc Scenario]])*Table1[[#This Row],[Quantity]]</f>
        <v>19773.362699999998</v>
      </c>
      <c r="AI308">
        <f>ROUNDDOWN((Table1[[#This Row],[Quantity]]*(1+20%)),0)</f>
        <v>16</v>
      </c>
      <c r="AJ308" s="7">
        <f>Table1[[#This Row],[Quantity increase by 20%]]*Table1[[#This Row],[UnitPrice]]</f>
        <v>25885.599999999999</v>
      </c>
      <c r="AK308">
        <f>ROUNDDOWN(Table1[[#This Row],[Quantity]]*(1+20%),0)</f>
        <v>16</v>
      </c>
      <c r="AL308" s="7">
        <f>Table1[[#This Row],[UnitCost]]*(1+15%)</f>
        <v>1338.5884999999998</v>
      </c>
      <c r="AM308" s="9">
        <f>Table1[[#This Row],[Quantity]]*Table1[[#This Row],[Cost of unit by inflation 15%]]</f>
        <v>18740.238999999998</v>
      </c>
      <c r="AN308" s="21" cm="1">
        <f t="array" ref="AN308">_xlfn.UNIQUE(AC308)</f>
        <v>45016</v>
      </c>
    </row>
    <row r="309" spans="1:40" x14ac:dyDescent="0.35">
      <c r="A309" t="s">
        <v>489</v>
      </c>
      <c r="B309" s="21">
        <v>45422</v>
      </c>
      <c r="C309" s="10">
        <v>45428</v>
      </c>
      <c r="D309" s="3">
        <f t="shared" si="48"/>
        <v>6</v>
      </c>
      <c r="E309" s="10" t="str">
        <f t="shared" si="49"/>
        <v>Q2-2024</v>
      </c>
      <c r="F309" t="s">
        <v>648</v>
      </c>
      <c r="G309" t="s">
        <v>657</v>
      </c>
      <c r="H309" t="s">
        <v>673</v>
      </c>
      <c r="I309" t="s">
        <v>702</v>
      </c>
      <c r="J309" t="s">
        <v>710</v>
      </c>
      <c r="K309" t="s">
        <v>714</v>
      </c>
      <c r="L309" t="s">
        <v>730</v>
      </c>
      <c r="M309" t="s">
        <v>1206</v>
      </c>
      <c r="N309" s="3">
        <v>210.76</v>
      </c>
      <c r="O309" s="3">
        <v>221.58</v>
      </c>
      <c r="P309" s="6">
        <v>8.8999999999999996E-2</v>
      </c>
      <c r="Q309" s="6">
        <f>IF(Table1[[#This Row],[DiscountPct]]&gt;25%,25%,Table1[[#This Row],[DiscountPct]])</f>
        <v>8.8999999999999996E-2</v>
      </c>
      <c r="R309" s="5">
        <v>5</v>
      </c>
      <c r="S309" s="6">
        <f t="shared" si="50"/>
        <v>5.1338014803568144E-2</v>
      </c>
      <c r="T309" s="8">
        <f t="shared" si="51"/>
        <v>1009.2969000000002</v>
      </c>
      <c r="U309" s="8">
        <f t="shared" si="52"/>
        <v>1053.8</v>
      </c>
      <c r="V309" s="9">
        <f t="shared" si="53"/>
        <v>-44.50309999999979</v>
      </c>
      <c r="W309" s="6">
        <f t="shared" si="54"/>
        <v>-4.4093170205912434E-2</v>
      </c>
      <c r="X309" t="str" cm="1">
        <f t="array" ref="X309">_xlfn.IFS(S309&lt;=25%, "Low", S309&lt;=75%, "Medium", S309&gt;75%, "High")</f>
        <v>Low</v>
      </c>
      <c r="Y309" s="8">
        <f>Table1[[#This Row],[Quantity]]*(Table1[[#This Row],[UnitPrice]]*(1-Table1[[#This Row],[DiscountPct]]))</f>
        <v>1009.2969000000001</v>
      </c>
      <c r="Z309" s="9">
        <f t="shared" si="55"/>
        <v>-44.503099999999904</v>
      </c>
      <c r="AA309">
        <f>COUNTIF($G$2:G310,G309)</f>
        <v>27</v>
      </c>
      <c r="AB309" s="21">
        <f t="shared" si="56"/>
        <v>44988</v>
      </c>
      <c r="AC309" s="21">
        <f t="shared" si="57"/>
        <v>45016</v>
      </c>
      <c r="AD309" s="5">
        <f>(Table1[[#This Row],[OrderDate]]-Table1[[#This Row],[Date of first order]])/30</f>
        <v>14.466666666666667</v>
      </c>
      <c r="AE309" t="str">
        <f t="shared" si="58"/>
        <v>Good</v>
      </c>
      <c r="AF309">
        <f>COUNTIF(AE$2:AE310,AE309)</f>
        <v>86</v>
      </c>
      <c r="AG309" t="str">
        <f t="shared" si="59"/>
        <v>False</v>
      </c>
      <c r="AH309" s="7">
        <f>Table1[[#This Row],[UnitPrice]]*(1-Table1[[#This Row],[Disc Scenario]])*Table1[[#This Row],[Quantity]]</f>
        <v>1009.2969000000001</v>
      </c>
      <c r="AI309">
        <f>ROUNDDOWN((Table1[[#This Row],[Quantity]]*(1+20%)),0)</f>
        <v>6</v>
      </c>
      <c r="AJ309" s="7">
        <f>Table1[[#This Row],[Quantity increase by 20%]]*Table1[[#This Row],[UnitPrice]]</f>
        <v>1329.48</v>
      </c>
      <c r="AK309">
        <f>ROUNDDOWN(Table1[[#This Row],[Quantity]]*(1+20%),0)</f>
        <v>6</v>
      </c>
      <c r="AL309" s="7">
        <f>Table1[[#This Row],[UnitCost]]*(1+15%)</f>
        <v>242.37399999999997</v>
      </c>
      <c r="AM309" s="9">
        <f>Table1[[#This Row],[Quantity]]*Table1[[#This Row],[Cost of unit by inflation 15%]]</f>
        <v>1211.8699999999999</v>
      </c>
      <c r="AN309" s="21" cm="1">
        <f t="array" ref="AN309">_xlfn.UNIQUE(AC309)</f>
        <v>45016</v>
      </c>
    </row>
    <row r="310" spans="1:40" x14ac:dyDescent="0.35">
      <c r="A310" t="s">
        <v>501</v>
      </c>
      <c r="B310" s="21">
        <v>45424</v>
      </c>
      <c r="C310" s="10">
        <v>45436</v>
      </c>
      <c r="D310" s="3">
        <f t="shared" si="48"/>
        <v>12</v>
      </c>
      <c r="E310" s="10" t="str">
        <f t="shared" si="49"/>
        <v>Q2-2024</v>
      </c>
      <c r="F310" t="s">
        <v>648</v>
      </c>
      <c r="G310" t="s">
        <v>657</v>
      </c>
      <c r="H310" t="s">
        <v>692</v>
      </c>
      <c r="I310" t="s">
        <v>701</v>
      </c>
      <c r="J310" t="s">
        <v>708</v>
      </c>
      <c r="K310" t="s">
        <v>722</v>
      </c>
      <c r="L310" t="s">
        <v>727</v>
      </c>
      <c r="M310" t="s">
        <v>1218</v>
      </c>
      <c r="N310" s="3">
        <v>111.02</v>
      </c>
      <c r="O310" s="3">
        <v>172.88</v>
      </c>
      <c r="P310" s="6">
        <v>0.19700000000000001</v>
      </c>
      <c r="Q310" s="6">
        <f>IF(Table1[[#This Row],[DiscountPct]]&gt;25%,25%,Table1[[#This Row],[DiscountPct]])</f>
        <v>0.19700000000000001</v>
      </c>
      <c r="R310" s="5">
        <v>29</v>
      </c>
      <c r="S310" s="6">
        <f t="shared" si="50"/>
        <v>0.55719690145919654</v>
      </c>
      <c r="T310" s="8">
        <f t="shared" si="51"/>
        <v>4025.8565599999993</v>
      </c>
      <c r="U310" s="8">
        <f t="shared" si="52"/>
        <v>3219.58</v>
      </c>
      <c r="V310" s="9">
        <f t="shared" si="53"/>
        <v>806.27655999999934</v>
      </c>
      <c r="W310" s="6">
        <f t="shared" si="54"/>
        <v>0.20027453735212053</v>
      </c>
      <c r="X310" t="str" cm="1">
        <f t="array" ref="X310">_xlfn.IFS(S310&lt;=25%, "Low", S310&lt;=75%, "Medium", S310&gt;75%, "High")</f>
        <v>Medium</v>
      </c>
      <c r="Y310" s="8">
        <f>Table1[[#This Row],[Quantity]]*(Table1[[#This Row],[UnitPrice]]*(1-Table1[[#This Row],[DiscountPct]]))</f>
        <v>4025.8565599999993</v>
      </c>
      <c r="Z310" s="9">
        <f t="shared" si="55"/>
        <v>806.27655999999934</v>
      </c>
      <c r="AA310">
        <f>COUNTIF($G$2:G311,G310)</f>
        <v>28</v>
      </c>
      <c r="AB310" s="21">
        <f t="shared" si="56"/>
        <v>44988</v>
      </c>
      <c r="AC310" s="21">
        <f t="shared" si="57"/>
        <v>45016</v>
      </c>
      <c r="AD310" s="5">
        <f>(Table1[[#This Row],[OrderDate]]-Table1[[#This Row],[Date of first order]])/30</f>
        <v>14.533333333333333</v>
      </c>
      <c r="AE310" t="str">
        <f t="shared" si="58"/>
        <v>Poor</v>
      </c>
      <c r="AF310">
        <f>COUNTIF(AE$2:AE311,AE310)</f>
        <v>224</v>
      </c>
      <c r="AG310" t="str">
        <f t="shared" si="59"/>
        <v>False</v>
      </c>
      <c r="AH310" s="7">
        <f>Table1[[#This Row],[UnitPrice]]*(1-Table1[[#This Row],[Disc Scenario]])*Table1[[#This Row],[Quantity]]</f>
        <v>4025.8565599999993</v>
      </c>
      <c r="AI310">
        <f>ROUNDDOWN((Table1[[#This Row],[Quantity]]*(1+20%)),0)</f>
        <v>34</v>
      </c>
      <c r="AJ310" s="7">
        <f>Table1[[#This Row],[Quantity increase by 20%]]*Table1[[#This Row],[UnitPrice]]</f>
        <v>5877.92</v>
      </c>
      <c r="AK310">
        <f>ROUNDDOWN(Table1[[#This Row],[Quantity]]*(1+20%),0)</f>
        <v>34</v>
      </c>
      <c r="AL310" s="7">
        <f>Table1[[#This Row],[UnitCost]]*(1+15%)</f>
        <v>127.67299999999999</v>
      </c>
      <c r="AM310" s="9">
        <f>Table1[[#This Row],[Quantity]]*Table1[[#This Row],[Cost of unit by inflation 15%]]</f>
        <v>3702.5169999999998</v>
      </c>
      <c r="AN310" s="21" cm="1">
        <f t="array" ref="AN310">_xlfn.UNIQUE(AC310)</f>
        <v>45016</v>
      </c>
    </row>
    <row r="311" spans="1:40" x14ac:dyDescent="0.35">
      <c r="A311" t="s">
        <v>62</v>
      </c>
      <c r="B311" s="21">
        <v>45426</v>
      </c>
      <c r="C311" s="10">
        <v>45440</v>
      </c>
      <c r="D311" s="3">
        <f t="shared" si="48"/>
        <v>14</v>
      </c>
      <c r="E311" s="10" t="str">
        <f t="shared" si="49"/>
        <v>Q2-2024</v>
      </c>
      <c r="F311" t="s">
        <v>648</v>
      </c>
      <c r="G311" t="s">
        <v>657</v>
      </c>
      <c r="H311" t="s">
        <v>673</v>
      </c>
      <c r="I311" t="s">
        <v>703</v>
      </c>
      <c r="J311" t="s">
        <v>706</v>
      </c>
      <c r="K311" t="s">
        <v>716</v>
      </c>
      <c r="L311" t="s">
        <v>728</v>
      </c>
      <c r="M311" t="s">
        <v>780</v>
      </c>
      <c r="N311" s="3">
        <v>1421.14</v>
      </c>
      <c r="O311" s="3">
        <v>3524</v>
      </c>
      <c r="P311" s="6">
        <v>0</v>
      </c>
      <c r="Q311" s="6">
        <f>IF(Table1[[#This Row],[DiscountPct]]&gt;25%,25%,Table1[[#This Row],[DiscountPct]])</f>
        <v>0</v>
      </c>
      <c r="R311" s="5">
        <v>31</v>
      </c>
      <c r="S311" s="6">
        <f t="shared" si="50"/>
        <v>1.4796993962593408</v>
      </c>
      <c r="T311" s="8">
        <f t="shared" si="51"/>
        <v>109244</v>
      </c>
      <c r="U311" s="8">
        <f t="shared" si="52"/>
        <v>44055.340000000004</v>
      </c>
      <c r="V311" s="9">
        <f t="shared" si="53"/>
        <v>65188.659999999996</v>
      </c>
      <c r="W311" s="6">
        <f t="shared" si="54"/>
        <v>0.59672531214528945</v>
      </c>
      <c r="X311" t="str" cm="1">
        <f t="array" ref="X311">_xlfn.IFS(S311&lt;=25%, "Low", S311&lt;=75%, "Medium", S311&gt;75%, "High")</f>
        <v>High</v>
      </c>
      <c r="Y311" s="8">
        <f>Table1[[#This Row],[Quantity]]*(Table1[[#This Row],[UnitPrice]]*(1-Table1[[#This Row],[DiscountPct]]))</f>
        <v>109244</v>
      </c>
      <c r="Z311" s="9">
        <f t="shared" si="55"/>
        <v>65188.659999999996</v>
      </c>
      <c r="AA311">
        <f>COUNTIF($G$2:G312,G311)</f>
        <v>28</v>
      </c>
      <c r="AB311" s="21">
        <f t="shared" si="56"/>
        <v>44988</v>
      </c>
      <c r="AC311" s="21">
        <f t="shared" si="57"/>
        <v>45016</v>
      </c>
      <c r="AD311" s="5">
        <f>(Table1[[#This Row],[OrderDate]]-Table1[[#This Row],[Date of first order]])/30</f>
        <v>14.6</v>
      </c>
      <c r="AE311" t="str">
        <f t="shared" si="58"/>
        <v>Poor</v>
      </c>
      <c r="AF311">
        <f>COUNTIF(AE$2:AE312,AE311)</f>
        <v>225</v>
      </c>
      <c r="AG311" t="str">
        <f t="shared" si="59"/>
        <v>False</v>
      </c>
      <c r="AH311" s="7">
        <f>Table1[[#This Row],[UnitPrice]]*(1-Table1[[#This Row],[Disc Scenario]])*Table1[[#This Row],[Quantity]]</f>
        <v>109244</v>
      </c>
      <c r="AI311">
        <f>ROUNDDOWN((Table1[[#This Row],[Quantity]]*(1+20%)),0)</f>
        <v>37</v>
      </c>
      <c r="AJ311" s="7">
        <f>Table1[[#This Row],[Quantity increase by 20%]]*Table1[[#This Row],[UnitPrice]]</f>
        <v>130388</v>
      </c>
      <c r="AK311">
        <f>ROUNDDOWN(Table1[[#This Row],[Quantity]]*(1+20%),0)</f>
        <v>37</v>
      </c>
      <c r="AL311" s="7">
        <f>Table1[[#This Row],[UnitCost]]*(1+15%)</f>
        <v>1634.3109999999999</v>
      </c>
      <c r="AM311" s="9">
        <f>Table1[[#This Row],[Quantity]]*Table1[[#This Row],[Cost of unit by inflation 15%]]</f>
        <v>50663.640999999996</v>
      </c>
      <c r="AN311" s="21" cm="1">
        <f t="array" ref="AN311">_xlfn.UNIQUE(AC311)</f>
        <v>45016</v>
      </c>
    </row>
    <row r="312" spans="1:40" x14ac:dyDescent="0.35">
      <c r="A312" t="s">
        <v>387</v>
      </c>
      <c r="B312" s="21">
        <v>45429</v>
      </c>
      <c r="C312" s="10">
        <v>45439</v>
      </c>
      <c r="D312" s="3">
        <f t="shared" si="48"/>
        <v>10</v>
      </c>
      <c r="E312" s="10" t="str">
        <f t="shared" si="49"/>
        <v>Q2-2024</v>
      </c>
      <c r="F312" t="s">
        <v>647</v>
      </c>
      <c r="G312" t="s">
        <v>659</v>
      </c>
      <c r="H312" t="s">
        <v>696</v>
      </c>
      <c r="I312" t="s">
        <v>702</v>
      </c>
      <c r="J312" t="s">
        <v>707</v>
      </c>
      <c r="K312" t="s">
        <v>711</v>
      </c>
      <c r="L312" t="s">
        <v>729</v>
      </c>
      <c r="M312" t="s">
        <v>1105</v>
      </c>
      <c r="N312" s="3">
        <v>1484.23</v>
      </c>
      <c r="O312" s="3">
        <v>3472.81</v>
      </c>
      <c r="P312" s="6">
        <v>0.25600000000000001</v>
      </c>
      <c r="Q312" s="6">
        <f>IF(Table1[[#This Row],[DiscountPct]]&gt;25%,25%,Table1[[#This Row],[DiscountPct]])</f>
        <v>0.25</v>
      </c>
      <c r="R312" s="5">
        <v>12</v>
      </c>
      <c r="S312" s="6">
        <f t="shared" si="50"/>
        <v>1.3398058252427183</v>
      </c>
      <c r="T312" s="8">
        <f t="shared" si="51"/>
        <v>31005.24768</v>
      </c>
      <c r="U312" s="8">
        <f t="shared" si="52"/>
        <v>17810.760000000002</v>
      </c>
      <c r="V312" s="9">
        <f t="shared" si="53"/>
        <v>13194.487679999998</v>
      </c>
      <c r="W312" s="6">
        <f t="shared" si="54"/>
        <v>0.42555659661803413</v>
      </c>
      <c r="X312" t="str" cm="1">
        <f t="array" ref="X312">_xlfn.IFS(S312&lt;=25%, "Low", S312&lt;=75%, "Medium", S312&gt;75%, "High")</f>
        <v>High</v>
      </c>
      <c r="Y312" s="8">
        <f>Table1[[#This Row],[Quantity]]*(Table1[[#This Row],[UnitPrice]]*(1-Table1[[#This Row],[DiscountPct]]))</f>
        <v>31005.247679999997</v>
      </c>
      <c r="Z312" s="9">
        <f t="shared" si="55"/>
        <v>13194.487679999995</v>
      </c>
      <c r="AA312">
        <f>COUNTIF($G$2:G313,G312)</f>
        <v>31</v>
      </c>
      <c r="AB312" s="21">
        <f t="shared" si="56"/>
        <v>44988</v>
      </c>
      <c r="AC312" s="21">
        <f t="shared" si="57"/>
        <v>45016</v>
      </c>
      <c r="AD312" s="5">
        <f>(Table1[[#This Row],[OrderDate]]-Table1[[#This Row],[Date of first order]])/30</f>
        <v>14.7</v>
      </c>
      <c r="AE312" t="str">
        <f t="shared" si="58"/>
        <v>Poor</v>
      </c>
      <c r="AF312">
        <f>COUNTIF(AE$2:AE313,AE312)</f>
        <v>225</v>
      </c>
      <c r="AG312" t="str">
        <f t="shared" si="59"/>
        <v>True</v>
      </c>
      <c r="AH312" s="7">
        <f>Table1[[#This Row],[UnitPrice]]*(1-Table1[[#This Row],[Disc Scenario]])*Table1[[#This Row],[Quantity]]</f>
        <v>31255.29</v>
      </c>
      <c r="AI312">
        <f>ROUNDDOWN((Table1[[#This Row],[Quantity]]*(1+20%)),0)</f>
        <v>14</v>
      </c>
      <c r="AJ312" s="7">
        <f>Table1[[#This Row],[Quantity increase by 20%]]*Table1[[#This Row],[UnitPrice]]</f>
        <v>48619.34</v>
      </c>
      <c r="AK312">
        <f>ROUNDDOWN(Table1[[#This Row],[Quantity]]*(1+20%),0)</f>
        <v>14</v>
      </c>
      <c r="AL312" s="7">
        <f>Table1[[#This Row],[UnitCost]]*(1+15%)</f>
        <v>1706.8644999999999</v>
      </c>
      <c r="AM312" s="9">
        <f>Table1[[#This Row],[Quantity]]*Table1[[#This Row],[Cost of unit by inflation 15%]]</f>
        <v>20482.374</v>
      </c>
      <c r="AN312" s="21" cm="1">
        <f t="array" ref="AN312">_xlfn.UNIQUE(AC312)</f>
        <v>45016</v>
      </c>
    </row>
    <row r="313" spans="1:40" x14ac:dyDescent="0.35">
      <c r="A313" t="s">
        <v>38</v>
      </c>
      <c r="B313" s="21">
        <v>45430</v>
      </c>
      <c r="C313" s="10">
        <v>45435</v>
      </c>
      <c r="D313" s="3">
        <f t="shared" si="48"/>
        <v>5</v>
      </c>
      <c r="E313" s="10" t="str">
        <f t="shared" si="49"/>
        <v>Q2-2024</v>
      </c>
      <c r="F313" t="s">
        <v>647</v>
      </c>
      <c r="G313" t="s">
        <v>659</v>
      </c>
      <c r="H313" t="s">
        <v>676</v>
      </c>
      <c r="I313" t="s">
        <v>705</v>
      </c>
      <c r="J313" t="s">
        <v>706</v>
      </c>
      <c r="K313" t="s">
        <v>721</v>
      </c>
      <c r="L313" t="s">
        <v>730</v>
      </c>
      <c r="M313" t="s">
        <v>756</v>
      </c>
      <c r="N313" s="3">
        <v>1274.5899999999999</v>
      </c>
      <c r="O313" s="3">
        <v>2553.69</v>
      </c>
      <c r="P313" s="6">
        <v>0.01</v>
      </c>
      <c r="Q313" s="6">
        <f>IF(Table1[[#This Row],[DiscountPct]]&gt;25%,25%,Table1[[#This Row],[DiscountPct]])</f>
        <v>0.01</v>
      </c>
      <c r="R313" s="5">
        <v>8</v>
      </c>
      <c r="S313" s="6">
        <f t="shared" si="50"/>
        <v>1.003538392738057</v>
      </c>
      <c r="T313" s="8">
        <f t="shared" si="51"/>
        <v>20225.2248</v>
      </c>
      <c r="U313" s="8">
        <f t="shared" si="52"/>
        <v>10196.719999999999</v>
      </c>
      <c r="V313" s="9">
        <f t="shared" si="53"/>
        <v>10028.504800000001</v>
      </c>
      <c r="W313" s="6">
        <f t="shared" si="54"/>
        <v>0.49584145042481803</v>
      </c>
      <c r="X313" t="str" cm="1">
        <f t="array" ref="X313">_xlfn.IFS(S313&lt;=25%, "Low", S313&lt;=75%, "Medium", S313&gt;75%, "High")</f>
        <v>High</v>
      </c>
      <c r="Y313" s="8">
        <f>Table1[[#This Row],[Quantity]]*(Table1[[#This Row],[UnitPrice]]*(1-Table1[[#This Row],[DiscountPct]]))</f>
        <v>20225.2248</v>
      </c>
      <c r="Z313" s="9">
        <f t="shared" si="55"/>
        <v>10028.504800000001</v>
      </c>
      <c r="AA313">
        <f>COUNTIF($G$2:G314,G313)</f>
        <v>31</v>
      </c>
      <c r="AB313" s="21">
        <f t="shared" si="56"/>
        <v>44988</v>
      </c>
      <c r="AC313" s="21">
        <f t="shared" si="57"/>
        <v>45016</v>
      </c>
      <c r="AD313" s="5">
        <f>(Table1[[#This Row],[OrderDate]]-Table1[[#This Row],[Date of first order]])/30</f>
        <v>14.733333333333333</v>
      </c>
      <c r="AE313" t="str">
        <f t="shared" si="58"/>
        <v>Good</v>
      </c>
      <c r="AF313">
        <f>COUNTIF(AE$2:AE314,AE313)</f>
        <v>88</v>
      </c>
      <c r="AG313" t="str">
        <f t="shared" si="59"/>
        <v>False</v>
      </c>
      <c r="AH313" s="7">
        <f>Table1[[#This Row],[UnitPrice]]*(1-Table1[[#This Row],[Disc Scenario]])*Table1[[#This Row],[Quantity]]</f>
        <v>20225.2248</v>
      </c>
      <c r="AI313">
        <f>ROUNDDOWN((Table1[[#This Row],[Quantity]]*(1+20%)),0)</f>
        <v>9</v>
      </c>
      <c r="AJ313" s="7">
        <f>Table1[[#This Row],[Quantity increase by 20%]]*Table1[[#This Row],[UnitPrice]]</f>
        <v>22983.21</v>
      </c>
      <c r="AK313">
        <f>ROUNDDOWN(Table1[[#This Row],[Quantity]]*(1+20%),0)</f>
        <v>9</v>
      </c>
      <c r="AL313" s="7">
        <f>Table1[[#This Row],[UnitCost]]*(1+15%)</f>
        <v>1465.7784999999999</v>
      </c>
      <c r="AM313" s="9">
        <f>Table1[[#This Row],[Quantity]]*Table1[[#This Row],[Cost of unit by inflation 15%]]</f>
        <v>11726.227999999999</v>
      </c>
      <c r="AN313" s="21" cm="1">
        <f t="array" ref="AN313">_xlfn.UNIQUE(AC313)</f>
        <v>45016</v>
      </c>
    </row>
    <row r="314" spans="1:40" x14ac:dyDescent="0.35">
      <c r="A314" t="s">
        <v>572</v>
      </c>
      <c r="B314" s="21">
        <v>45430</v>
      </c>
      <c r="C314" s="10">
        <v>45434</v>
      </c>
      <c r="D314" s="3">
        <f t="shared" si="48"/>
        <v>4</v>
      </c>
      <c r="E314" s="10" t="str">
        <f t="shared" si="49"/>
        <v>Q2-2024</v>
      </c>
      <c r="F314" t="s">
        <v>645</v>
      </c>
      <c r="G314" t="s">
        <v>649</v>
      </c>
      <c r="H314" t="s">
        <v>663</v>
      </c>
      <c r="I314" t="s">
        <v>700</v>
      </c>
      <c r="J314" t="s">
        <v>710</v>
      </c>
      <c r="K314" t="s">
        <v>721</v>
      </c>
      <c r="L314" t="s">
        <v>732</v>
      </c>
      <c r="M314" t="s">
        <v>1288</v>
      </c>
      <c r="N314" s="3">
        <v>857.42</v>
      </c>
      <c r="O314" s="3">
        <v>1658.92</v>
      </c>
      <c r="P314" s="6">
        <v>0.122</v>
      </c>
      <c r="Q314" s="6">
        <f>IF(Table1[[#This Row],[DiscountPct]]&gt;25%,25%,Table1[[#This Row],[DiscountPct]])</f>
        <v>0.122</v>
      </c>
      <c r="R314" s="5">
        <v>9</v>
      </c>
      <c r="S314" s="6">
        <f t="shared" si="50"/>
        <v>0.93478108744839183</v>
      </c>
      <c r="T314" s="8">
        <f t="shared" si="51"/>
        <v>13108.78584</v>
      </c>
      <c r="U314" s="8">
        <f t="shared" si="52"/>
        <v>7716.78</v>
      </c>
      <c r="V314" s="9">
        <f t="shared" si="53"/>
        <v>5392.0058400000007</v>
      </c>
      <c r="W314" s="6">
        <f t="shared" si="54"/>
        <v>0.41132763215544305</v>
      </c>
      <c r="X314" t="str" cm="1">
        <f t="array" ref="X314">_xlfn.IFS(S314&lt;=25%, "Low", S314&lt;=75%, "Medium", S314&gt;75%, "High")</f>
        <v>High</v>
      </c>
      <c r="Y314" s="8">
        <f>Table1[[#This Row],[Quantity]]*(Table1[[#This Row],[UnitPrice]]*(1-Table1[[#This Row],[DiscountPct]]))</f>
        <v>13108.78584</v>
      </c>
      <c r="Z314" s="9">
        <f t="shared" si="55"/>
        <v>5392.0058400000007</v>
      </c>
      <c r="AA314">
        <f>COUNTIF($G$2:G315,G314)</f>
        <v>27</v>
      </c>
      <c r="AB314" s="21">
        <f t="shared" si="56"/>
        <v>44988</v>
      </c>
      <c r="AC314" s="21">
        <f t="shared" si="57"/>
        <v>45016</v>
      </c>
      <c r="AD314" s="5">
        <f>(Table1[[#This Row],[OrderDate]]-Table1[[#This Row],[Date of first order]])/30</f>
        <v>14.733333333333333</v>
      </c>
      <c r="AE314" t="str">
        <f t="shared" si="58"/>
        <v>Good</v>
      </c>
      <c r="AF314">
        <f>COUNTIF(AE$2:AE315,AE314)</f>
        <v>89</v>
      </c>
      <c r="AG314" t="str">
        <f t="shared" si="59"/>
        <v>False</v>
      </c>
      <c r="AH314" s="7">
        <f>Table1[[#This Row],[UnitPrice]]*(1-Table1[[#This Row],[Disc Scenario]])*Table1[[#This Row],[Quantity]]</f>
        <v>13108.78584</v>
      </c>
      <c r="AI314">
        <f>ROUNDDOWN((Table1[[#This Row],[Quantity]]*(1+20%)),0)</f>
        <v>10</v>
      </c>
      <c r="AJ314" s="7">
        <f>Table1[[#This Row],[Quantity increase by 20%]]*Table1[[#This Row],[UnitPrice]]</f>
        <v>16589.2</v>
      </c>
      <c r="AK314">
        <f>ROUNDDOWN(Table1[[#This Row],[Quantity]]*(1+20%),0)</f>
        <v>10</v>
      </c>
      <c r="AL314" s="7">
        <f>Table1[[#This Row],[UnitCost]]*(1+15%)</f>
        <v>986.0329999999999</v>
      </c>
      <c r="AM314" s="9">
        <f>Table1[[#This Row],[Quantity]]*Table1[[#This Row],[Cost of unit by inflation 15%]]</f>
        <v>8874.2969999999987</v>
      </c>
      <c r="AN314" s="21" cm="1">
        <f t="array" ref="AN314">_xlfn.UNIQUE(AC314)</f>
        <v>45016</v>
      </c>
    </row>
    <row r="315" spans="1:40" x14ac:dyDescent="0.35">
      <c r="A315" t="s">
        <v>424</v>
      </c>
      <c r="B315" s="21">
        <v>45430</v>
      </c>
      <c r="C315" s="10">
        <v>45433</v>
      </c>
      <c r="D315" s="3">
        <f t="shared" si="48"/>
        <v>3</v>
      </c>
      <c r="E315" s="10" t="str">
        <f t="shared" si="49"/>
        <v>Q2-2024</v>
      </c>
      <c r="F315" t="s">
        <v>648</v>
      </c>
      <c r="G315" t="s">
        <v>656</v>
      </c>
      <c r="H315" t="s">
        <v>672</v>
      </c>
      <c r="I315" t="s">
        <v>702</v>
      </c>
      <c r="J315" t="s">
        <v>708</v>
      </c>
      <c r="K315" t="s">
        <v>725</v>
      </c>
      <c r="L315" t="s">
        <v>727</v>
      </c>
      <c r="M315" t="s">
        <v>1141</v>
      </c>
      <c r="N315" s="3">
        <v>663.66</v>
      </c>
      <c r="O315" s="3">
        <v>824.26</v>
      </c>
      <c r="P315" s="6">
        <v>0.23899999999999999</v>
      </c>
      <c r="Q315" s="6">
        <f>IF(Table1[[#This Row],[DiscountPct]]&gt;25%,25%,Table1[[#This Row],[DiscountPct]])</f>
        <v>0.23899999999999999</v>
      </c>
      <c r="R315" s="5">
        <v>11</v>
      </c>
      <c r="S315" s="6">
        <f t="shared" si="50"/>
        <v>0.24199138112889135</v>
      </c>
      <c r="T315" s="8">
        <f t="shared" si="51"/>
        <v>6899.8804600000003</v>
      </c>
      <c r="U315" s="8">
        <f t="shared" si="52"/>
        <v>7300.2599999999993</v>
      </c>
      <c r="V315" s="9">
        <f t="shared" si="53"/>
        <v>-400.379539999999</v>
      </c>
      <c r="W315" s="6">
        <f t="shared" si="54"/>
        <v>-5.8027025587048933E-2</v>
      </c>
      <c r="X315" t="str" cm="1">
        <f t="array" ref="X315">_xlfn.IFS(S315&lt;=25%, "Low", S315&lt;=75%, "Medium", S315&gt;75%, "High")</f>
        <v>Low</v>
      </c>
      <c r="Y315" s="8">
        <f>Table1[[#This Row],[Quantity]]*(Table1[[#This Row],[UnitPrice]]*(1-Table1[[#This Row],[DiscountPct]]))</f>
        <v>6899.8804599999994</v>
      </c>
      <c r="Z315" s="9">
        <f t="shared" si="55"/>
        <v>-400.37953999999991</v>
      </c>
      <c r="AA315">
        <f>COUNTIF($G$2:G316,G315)</f>
        <v>25</v>
      </c>
      <c r="AB315" s="21">
        <f t="shared" si="56"/>
        <v>44988</v>
      </c>
      <c r="AC315" s="21">
        <f t="shared" si="57"/>
        <v>45016</v>
      </c>
      <c r="AD315" s="5">
        <f>(Table1[[#This Row],[OrderDate]]-Table1[[#This Row],[Date of first order]])/30</f>
        <v>14.733333333333333</v>
      </c>
      <c r="AE315" t="str">
        <f t="shared" si="58"/>
        <v>Good</v>
      </c>
      <c r="AF315">
        <f>COUNTIF(AE$2:AE316,AE315)</f>
        <v>89</v>
      </c>
      <c r="AG315" t="str">
        <f t="shared" si="59"/>
        <v>True</v>
      </c>
      <c r="AH315" s="7">
        <f>Table1[[#This Row],[UnitPrice]]*(1-Table1[[#This Row],[Disc Scenario]])*Table1[[#This Row],[Quantity]]</f>
        <v>6899.8804599999994</v>
      </c>
      <c r="AI315">
        <f>ROUNDDOWN((Table1[[#This Row],[Quantity]]*(1+20%)),0)</f>
        <v>13</v>
      </c>
      <c r="AJ315" s="7">
        <f>Table1[[#This Row],[Quantity increase by 20%]]*Table1[[#This Row],[UnitPrice]]</f>
        <v>10715.38</v>
      </c>
      <c r="AK315">
        <f>ROUNDDOWN(Table1[[#This Row],[Quantity]]*(1+20%),0)</f>
        <v>13</v>
      </c>
      <c r="AL315" s="7">
        <f>Table1[[#This Row],[UnitCost]]*(1+15%)</f>
        <v>763.20899999999995</v>
      </c>
      <c r="AM315" s="9">
        <f>Table1[[#This Row],[Quantity]]*Table1[[#This Row],[Cost of unit by inflation 15%]]</f>
        <v>8395.2989999999991</v>
      </c>
      <c r="AN315" s="21" cm="1">
        <f t="array" ref="AN315">_xlfn.UNIQUE(AC315)</f>
        <v>45016</v>
      </c>
    </row>
    <row r="316" spans="1:40" x14ac:dyDescent="0.35">
      <c r="A316" t="s">
        <v>202</v>
      </c>
      <c r="B316" s="21">
        <v>45431</v>
      </c>
      <c r="C316" s="10">
        <v>45451</v>
      </c>
      <c r="D316" s="3">
        <f t="shared" si="48"/>
        <v>20</v>
      </c>
      <c r="E316" s="10" t="str">
        <f t="shared" si="49"/>
        <v>Q2-2024</v>
      </c>
      <c r="F316" t="s">
        <v>647</v>
      </c>
      <c r="G316" t="s">
        <v>654</v>
      </c>
      <c r="H316" t="s">
        <v>671</v>
      </c>
      <c r="I316" t="s">
        <v>704</v>
      </c>
      <c r="J316" t="s">
        <v>706</v>
      </c>
      <c r="K316" t="s">
        <v>717</v>
      </c>
      <c r="L316" t="s">
        <v>731</v>
      </c>
      <c r="M316" t="s">
        <v>920</v>
      </c>
      <c r="N316" s="3">
        <v>1075.9000000000001</v>
      </c>
      <c r="O316" s="3">
        <v>1242.1500000000001</v>
      </c>
      <c r="P316" s="6">
        <v>1.2E-2</v>
      </c>
      <c r="Q316" s="6">
        <f>IF(Table1[[#This Row],[DiscountPct]]&gt;25%,25%,Table1[[#This Row],[DiscountPct]])</f>
        <v>1.2E-2</v>
      </c>
      <c r="R316" s="5">
        <v>7</v>
      </c>
      <c r="S316" s="6">
        <f t="shared" si="50"/>
        <v>0.15452179570592062</v>
      </c>
      <c r="T316" s="8">
        <f t="shared" si="51"/>
        <v>8590.7094000000016</v>
      </c>
      <c r="U316" s="8">
        <f t="shared" si="52"/>
        <v>7531.3000000000011</v>
      </c>
      <c r="V316" s="9">
        <f t="shared" si="53"/>
        <v>1059.4094000000005</v>
      </c>
      <c r="W316" s="6">
        <f t="shared" si="54"/>
        <v>0.12332036280961853</v>
      </c>
      <c r="X316" t="str" cm="1">
        <f t="array" ref="X316">_xlfn.IFS(S316&lt;=25%, "Low", S316&lt;=75%, "Medium", S316&gt;75%, "High")</f>
        <v>Low</v>
      </c>
      <c r="Y316" s="8">
        <f>Table1[[#This Row],[Quantity]]*(Table1[[#This Row],[UnitPrice]]*(1-Table1[[#This Row],[DiscountPct]]))</f>
        <v>8590.7093999999997</v>
      </c>
      <c r="Z316" s="9">
        <f t="shared" si="55"/>
        <v>1059.4093999999986</v>
      </c>
      <c r="AA316">
        <f>COUNTIF($G$2:G317,G316)</f>
        <v>30</v>
      </c>
      <c r="AB316" s="21">
        <f t="shared" si="56"/>
        <v>44988</v>
      </c>
      <c r="AC316" s="21">
        <f t="shared" si="57"/>
        <v>45016</v>
      </c>
      <c r="AD316" s="5">
        <f>(Table1[[#This Row],[OrderDate]]-Table1[[#This Row],[Date of first order]])/30</f>
        <v>14.766666666666667</v>
      </c>
      <c r="AE316" t="str">
        <f t="shared" si="58"/>
        <v>Poor</v>
      </c>
      <c r="AF316">
        <f>COUNTIF(AE$2:AE317,AE316)</f>
        <v>227</v>
      </c>
      <c r="AG316" t="str">
        <f t="shared" si="59"/>
        <v>False</v>
      </c>
      <c r="AH316" s="7">
        <f>Table1[[#This Row],[UnitPrice]]*(1-Table1[[#This Row],[Disc Scenario]])*Table1[[#This Row],[Quantity]]</f>
        <v>8590.7093999999997</v>
      </c>
      <c r="AI316">
        <f>ROUNDDOWN((Table1[[#This Row],[Quantity]]*(1+20%)),0)</f>
        <v>8</v>
      </c>
      <c r="AJ316" s="7">
        <f>Table1[[#This Row],[Quantity increase by 20%]]*Table1[[#This Row],[UnitPrice]]</f>
        <v>9937.2000000000007</v>
      </c>
      <c r="AK316">
        <f>ROUNDDOWN(Table1[[#This Row],[Quantity]]*(1+20%),0)</f>
        <v>8</v>
      </c>
      <c r="AL316" s="7">
        <f>Table1[[#This Row],[UnitCost]]*(1+15%)</f>
        <v>1237.2850000000001</v>
      </c>
      <c r="AM316" s="9">
        <f>Table1[[#This Row],[Quantity]]*Table1[[#This Row],[Cost of unit by inflation 15%]]</f>
        <v>8660.9950000000008</v>
      </c>
      <c r="AN316" s="21" cm="1">
        <f t="array" ref="AN316">_xlfn.UNIQUE(AC316)</f>
        <v>45016</v>
      </c>
    </row>
    <row r="317" spans="1:40" x14ac:dyDescent="0.35">
      <c r="A317" t="s">
        <v>59</v>
      </c>
      <c r="B317" s="21">
        <v>45432</v>
      </c>
      <c r="C317" s="10">
        <v>45445</v>
      </c>
      <c r="D317" s="3">
        <f t="shared" si="48"/>
        <v>13</v>
      </c>
      <c r="E317" s="10" t="str">
        <f t="shared" si="49"/>
        <v>Q2-2024</v>
      </c>
      <c r="F317" t="s">
        <v>647</v>
      </c>
      <c r="G317" t="s">
        <v>652</v>
      </c>
      <c r="H317" t="s">
        <v>687</v>
      </c>
      <c r="I317" t="s">
        <v>705</v>
      </c>
      <c r="J317" t="s">
        <v>708</v>
      </c>
      <c r="K317" t="s">
        <v>722</v>
      </c>
      <c r="L317" t="s">
        <v>726</v>
      </c>
      <c r="M317" t="s">
        <v>777</v>
      </c>
      <c r="N317" s="3">
        <v>675.43</v>
      </c>
      <c r="O317" s="3">
        <v>996.36</v>
      </c>
      <c r="P317" s="6">
        <v>0.182</v>
      </c>
      <c r="Q317" s="6">
        <f>IF(Table1[[#This Row],[DiscountPct]]&gt;25%,25%,Table1[[#This Row],[DiscountPct]])</f>
        <v>0.182</v>
      </c>
      <c r="R317" s="5">
        <v>22</v>
      </c>
      <c r="S317" s="6">
        <f t="shared" si="50"/>
        <v>0.47514916423611636</v>
      </c>
      <c r="T317" s="8">
        <f t="shared" si="51"/>
        <v>17930.494560000003</v>
      </c>
      <c r="U317" s="8">
        <f t="shared" si="52"/>
        <v>14859.46</v>
      </c>
      <c r="V317" s="9">
        <f t="shared" si="53"/>
        <v>3071.0345600000037</v>
      </c>
      <c r="W317" s="6">
        <f t="shared" si="54"/>
        <v>0.17127439233332575</v>
      </c>
      <c r="X317" t="str" cm="1">
        <f t="array" ref="X317">_xlfn.IFS(S317&lt;=25%, "Low", S317&lt;=75%, "Medium", S317&gt;75%, "High")</f>
        <v>Medium</v>
      </c>
      <c r="Y317" s="8">
        <f>Table1[[#This Row],[Quantity]]*(Table1[[#This Row],[UnitPrice]]*(1-Table1[[#This Row],[DiscountPct]]))</f>
        <v>17930.494560000003</v>
      </c>
      <c r="Z317" s="9">
        <f t="shared" si="55"/>
        <v>3071.0345600000037</v>
      </c>
      <c r="AA317">
        <f>COUNTIF($G$2:G318,G317)</f>
        <v>21</v>
      </c>
      <c r="AB317" s="21">
        <f t="shared" si="56"/>
        <v>44988</v>
      </c>
      <c r="AC317" s="21">
        <f t="shared" si="57"/>
        <v>45016</v>
      </c>
      <c r="AD317" s="5">
        <f>(Table1[[#This Row],[OrderDate]]-Table1[[#This Row],[Date of first order]])/30</f>
        <v>14.8</v>
      </c>
      <c r="AE317" t="str">
        <f t="shared" si="58"/>
        <v>Poor</v>
      </c>
      <c r="AF317">
        <f>COUNTIF(AE$2:AE318,AE317)</f>
        <v>227</v>
      </c>
      <c r="AG317" t="str">
        <f t="shared" si="59"/>
        <v>False</v>
      </c>
      <c r="AH317" s="7">
        <f>Table1[[#This Row],[UnitPrice]]*(1-Table1[[#This Row],[Disc Scenario]])*Table1[[#This Row],[Quantity]]</f>
        <v>17930.494560000003</v>
      </c>
      <c r="AI317">
        <f>ROUNDDOWN((Table1[[#This Row],[Quantity]]*(1+20%)),0)</f>
        <v>26</v>
      </c>
      <c r="AJ317" s="7">
        <f>Table1[[#This Row],[Quantity increase by 20%]]*Table1[[#This Row],[UnitPrice]]</f>
        <v>25905.360000000001</v>
      </c>
      <c r="AK317">
        <f>ROUNDDOWN(Table1[[#This Row],[Quantity]]*(1+20%),0)</f>
        <v>26</v>
      </c>
      <c r="AL317" s="7">
        <f>Table1[[#This Row],[UnitCost]]*(1+15%)</f>
        <v>776.7444999999999</v>
      </c>
      <c r="AM317" s="9">
        <f>Table1[[#This Row],[Quantity]]*Table1[[#This Row],[Cost of unit by inflation 15%]]</f>
        <v>17088.378999999997</v>
      </c>
      <c r="AN317" s="21" cm="1">
        <f t="array" ref="AN317">_xlfn.UNIQUE(AC317)</f>
        <v>45016</v>
      </c>
    </row>
    <row r="318" spans="1:40" x14ac:dyDescent="0.35">
      <c r="A318" t="s">
        <v>120</v>
      </c>
      <c r="B318" s="21">
        <v>45433</v>
      </c>
      <c r="C318" s="10">
        <v>45439</v>
      </c>
      <c r="D318" s="3">
        <f t="shared" si="48"/>
        <v>6</v>
      </c>
      <c r="E318" s="10" t="str">
        <f t="shared" si="49"/>
        <v>Q2-2024</v>
      </c>
      <c r="F318" t="s">
        <v>645</v>
      </c>
      <c r="G318" t="s">
        <v>660</v>
      </c>
      <c r="H318" t="s">
        <v>681</v>
      </c>
      <c r="I318" t="s">
        <v>702</v>
      </c>
      <c r="J318" t="s">
        <v>707</v>
      </c>
      <c r="K318" t="s">
        <v>723</v>
      </c>
      <c r="L318" t="s">
        <v>726</v>
      </c>
      <c r="M318" t="s">
        <v>838</v>
      </c>
      <c r="N318" s="3">
        <v>1157.51</v>
      </c>
      <c r="O318" s="3">
        <v>1394.3</v>
      </c>
      <c r="P318" s="6">
        <v>0.27800000000000002</v>
      </c>
      <c r="Q318" s="6">
        <f>IF(Table1[[#This Row],[DiscountPct]]&gt;25%,25%,Table1[[#This Row],[DiscountPct]])</f>
        <v>0.25</v>
      </c>
      <c r="R318" s="5">
        <v>12</v>
      </c>
      <c r="S318" s="6">
        <f t="shared" si="50"/>
        <v>0.20456842705462586</v>
      </c>
      <c r="T318" s="8">
        <f t="shared" si="51"/>
        <v>12080.215199999999</v>
      </c>
      <c r="U318" s="8">
        <f t="shared" si="52"/>
        <v>13890.119999999999</v>
      </c>
      <c r="V318" s="9">
        <f t="shared" si="53"/>
        <v>-1809.9048000000003</v>
      </c>
      <c r="W318" s="6">
        <f t="shared" si="54"/>
        <v>-0.14982388724333326</v>
      </c>
      <c r="X318" t="str" cm="1">
        <f t="array" ref="X318">_xlfn.IFS(S318&lt;=25%, "Low", S318&lt;=75%, "Medium", S318&gt;75%, "High")</f>
        <v>Low</v>
      </c>
      <c r="Y318" s="8">
        <f>Table1[[#This Row],[Quantity]]*(Table1[[#This Row],[UnitPrice]]*(1-Table1[[#This Row],[DiscountPct]]))</f>
        <v>12080.215199999999</v>
      </c>
      <c r="Z318" s="9">
        <f t="shared" si="55"/>
        <v>-1809.9048000000003</v>
      </c>
      <c r="AA318">
        <f>COUNTIF($G$2:G319,G318)</f>
        <v>27</v>
      </c>
      <c r="AB318" s="21">
        <f t="shared" si="56"/>
        <v>44988</v>
      </c>
      <c r="AC318" s="21">
        <f t="shared" si="57"/>
        <v>45016</v>
      </c>
      <c r="AD318" s="5">
        <f>(Table1[[#This Row],[OrderDate]]-Table1[[#This Row],[Date of first order]])/30</f>
        <v>14.833333333333334</v>
      </c>
      <c r="AE318" t="str">
        <f t="shared" si="58"/>
        <v>Good</v>
      </c>
      <c r="AF318">
        <f>COUNTIF(AE$2:AE319,AE318)</f>
        <v>90</v>
      </c>
      <c r="AG318" t="str">
        <f t="shared" si="59"/>
        <v>True</v>
      </c>
      <c r="AH318" s="7">
        <f>Table1[[#This Row],[UnitPrice]]*(1-Table1[[#This Row],[Disc Scenario]])*Table1[[#This Row],[Quantity]]</f>
        <v>12548.699999999999</v>
      </c>
      <c r="AI318">
        <f>ROUNDDOWN((Table1[[#This Row],[Quantity]]*(1+20%)),0)</f>
        <v>14</v>
      </c>
      <c r="AJ318" s="7">
        <f>Table1[[#This Row],[Quantity increase by 20%]]*Table1[[#This Row],[UnitPrice]]</f>
        <v>19520.2</v>
      </c>
      <c r="AK318">
        <f>ROUNDDOWN(Table1[[#This Row],[Quantity]]*(1+20%),0)</f>
        <v>14</v>
      </c>
      <c r="AL318" s="7">
        <f>Table1[[#This Row],[UnitCost]]*(1+15%)</f>
        <v>1331.1364999999998</v>
      </c>
      <c r="AM318" s="9">
        <f>Table1[[#This Row],[Quantity]]*Table1[[#This Row],[Cost of unit by inflation 15%]]</f>
        <v>15973.637999999999</v>
      </c>
      <c r="AN318" s="21" cm="1">
        <f t="array" ref="AN318">_xlfn.UNIQUE(AC318)</f>
        <v>45016</v>
      </c>
    </row>
    <row r="319" spans="1:40" x14ac:dyDescent="0.35">
      <c r="A319" t="s">
        <v>82</v>
      </c>
      <c r="B319" s="21">
        <v>45434</v>
      </c>
      <c r="C319" s="10">
        <v>45449</v>
      </c>
      <c r="D319" s="3">
        <f t="shared" si="48"/>
        <v>15</v>
      </c>
      <c r="E319" s="10" t="str">
        <f t="shared" si="49"/>
        <v>Q2-2024</v>
      </c>
      <c r="F319" t="s">
        <v>646</v>
      </c>
      <c r="G319" t="s">
        <v>651</v>
      </c>
      <c r="H319" t="s">
        <v>693</v>
      </c>
      <c r="I319" t="s">
        <v>700</v>
      </c>
      <c r="J319" t="s">
        <v>709</v>
      </c>
      <c r="K319" t="s">
        <v>711</v>
      </c>
      <c r="L319" t="s">
        <v>731</v>
      </c>
      <c r="M319" t="s">
        <v>800</v>
      </c>
      <c r="N319" s="3">
        <v>673.88</v>
      </c>
      <c r="O319" s="3">
        <v>1228.01</v>
      </c>
      <c r="P319" s="6">
        <v>0.105</v>
      </c>
      <c r="Q319" s="6">
        <f>IF(Table1[[#This Row],[DiscountPct]]&gt;25%,25%,Table1[[#This Row],[DiscountPct]])</f>
        <v>0.105</v>
      </c>
      <c r="R319" s="5">
        <v>13</v>
      </c>
      <c r="S319" s="6">
        <f t="shared" si="50"/>
        <v>0.82229773846975718</v>
      </c>
      <c r="T319" s="8">
        <f t="shared" si="51"/>
        <v>14287.896349999999</v>
      </c>
      <c r="U319" s="8">
        <f t="shared" si="52"/>
        <v>8760.44</v>
      </c>
      <c r="V319" s="9">
        <f t="shared" si="53"/>
        <v>5527.4563499999986</v>
      </c>
      <c r="W319" s="6">
        <f t="shared" si="54"/>
        <v>0.38686285332689996</v>
      </c>
      <c r="X319" t="str" cm="1">
        <f t="array" ref="X319">_xlfn.IFS(S319&lt;=25%, "Low", S319&lt;=75%, "Medium", S319&gt;75%, "High")</f>
        <v>High</v>
      </c>
      <c r="Y319" s="8">
        <f>Table1[[#This Row],[Quantity]]*(Table1[[#This Row],[UnitPrice]]*(1-Table1[[#This Row],[DiscountPct]]))</f>
        <v>14287.896350000001</v>
      </c>
      <c r="Z319" s="9">
        <f t="shared" si="55"/>
        <v>5527.4563500000004</v>
      </c>
      <c r="AA319">
        <f>COUNTIF($G$2:G320,G319)</f>
        <v>23</v>
      </c>
      <c r="AB319" s="21">
        <f t="shared" si="56"/>
        <v>44988</v>
      </c>
      <c r="AC319" s="21">
        <f t="shared" si="57"/>
        <v>45016</v>
      </c>
      <c r="AD319" s="5">
        <f>(Table1[[#This Row],[OrderDate]]-Table1[[#This Row],[Date of first order]])/30</f>
        <v>14.866666666666667</v>
      </c>
      <c r="AE319" t="str">
        <f t="shared" si="58"/>
        <v>Poor</v>
      </c>
      <c r="AF319">
        <f>COUNTIF(AE$2:AE320,AE319)</f>
        <v>229</v>
      </c>
      <c r="AG319" t="str">
        <f t="shared" si="59"/>
        <v>False</v>
      </c>
      <c r="AH319" s="7">
        <f>Table1[[#This Row],[UnitPrice]]*(1-Table1[[#This Row],[Disc Scenario]])*Table1[[#This Row],[Quantity]]</f>
        <v>14287.896350000001</v>
      </c>
      <c r="AI319">
        <f>ROUNDDOWN((Table1[[#This Row],[Quantity]]*(1+20%)),0)</f>
        <v>15</v>
      </c>
      <c r="AJ319" s="7">
        <f>Table1[[#This Row],[Quantity increase by 20%]]*Table1[[#This Row],[UnitPrice]]</f>
        <v>18420.150000000001</v>
      </c>
      <c r="AK319">
        <f>ROUNDDOWN(Table1[[#This Row],[Quantity]]*(1+20%),0)</f>
        <v>15</v>
      </c>
      <c r="AL319" s="7">
        <f>Table1[[#This Row],[UnitCost]]*(1+15%)</f>
        <v>774.96199999999999</v>
      </c>
      <c r="AM319" s="9">
        <f>Table1[[#This Row],[Quantity]]*Table1[[#This Row],[Cost of unit by inflation 15%]]</f>
        <v>10074.505999999999</v>
      </c>
      <c r="AN319" s="21" cm="1">
        <f t="array" ref="AN319">_xlfn.UNIQUE(AC319)</f>
        <v>45016</v>
      </c>
    </row>
    <row r="320" spans="1:40" x14ac:dyDescent="0.35">
      <c r="A320" t="s">
        <v>181</v>
      </c>
      <c r="B320" s="21">
        <v>45435</v>
      </c>
      <c r="C320" s="10">
        <v>45457</v>
      </c>
      <c r="D320" s="3">
        <f t="shared" si="48"/>
        <v>22</v>
      </c>
      <c r="E320" s="10" t="str">
        <f t="shared" si="49"/>
        <v>Q2-2024</v>
      </c>
      <c r="F320" t="s">
        <v>648</v>
      </c>
      <c r="G320" t="s">
        <v>656</v>
      </c>
      <c r="H320" t="s">
        <v>672</v>
      </c>
      <c r="I320" t="s">
        <v>704</v>
      </c>
      <c r="J320" t="s">
        <v>707</v>
      </c>
      <c r="K320" t="s">
        <v>724</v>
      </c>
      <c r="L320" t="s">
        <v>731</v>
      </c>
      <c r="M320" t="s">
        <v>899</v>
      </c>
      <c r="N320" s="3">
        <v>1481.74</v>
      </c>
      <c r="O320" s="3">
        <v>1848.97</v>
      </c>
      <c r="P320" s="6">
        <v>0.254</v>
      </c>
      <c r="Q320" s="6">
        <f>IF(Table1[[#This Row],[DiscountPct]]&gt;25%,25%,Table1[[#This Row],[DiscountPct]])</f>
        <v>0.25</v>
      </c>
      <c r="R320" s="5">
        <v>9</v>
      </c>
      <c r="S320" s="6">
        <f t="shared" si="50"/>
        <v>0.24783700244307369</v>
      </c>
      <c r="T320" s="8">
        <f t="shared" si="51"/>
        <v>12413.98458</v>
      </c>
      <c r="U320" s="8">
        <f t="shared" si="52"/>
        <v>13335.66</v>
      </c>
      <c r="V320" s="9">
        <f t="shared" si="53"/>
        <v>-921.67541999999958</v>
      </c>
      <c r="W320" s="6">
        <f t="shared" si="54"/>
        <v>-7.4244930309072407E-2</v>
      </c>
      <c r="X320" t="str" cm="1">
        <f t="array" ref="X320">_xlfn.IFS(S320&lt;=25%, "Low", S320&lt;=75%, "Medium", S320&gt;75%, "High")</f>
        <v>Low</v>
      </c>
      <c r="Y320" s="8">
        <f>Table1[[#This Row],[Quantity]]*(Table1[[#This Row],[UnitPrice]]*(1-Table1[[#This Row],[DiscountPct]]))</f>
        <v>12413.98458</v>
      </c>
      <c r="Z320" s="9">
        <f t="shared" si="55"/>
        <v>-921.67541999999958</v>
      </c>
      <c r="AA320">
        <f>COUNTIF($G$2:G321,G320)</f>
        <v>26</v>
      </c>
      <c r="AB320" s="21">
        <f t="shared" si="56"/>
        <v>44988</v>
      </c>
      <c r="AC320" s="21">
        <f t="shared" si="57"/>
        <v>45016</v>
      </c>
      <c r="AD320" s="5">
        <f>(Table1[[#This Row],[OrderDate]]-Table1[[#This Row],[Date of first order]])/30</f>
        <v>14.9</v>
      </c>
      <c r="AE320" t="str">
        <f t="shared" si="58"/>
        <v>Poor</v>
      </c>
      <c r="AF320">
        <f>COUNTIF(AE$2:AE321,AE320)</f>
        <v>230</v>
      </c>
      <c r="AG320" t="str">
        <f t="shared" si="59"/>
        <v>True</v>
      </c>
      <c r="AH320" s="7">
        <f>Table1[[#This Row],[UnitPrice]]*(1-Table1[[#This Row],[Disc Scenario]])*Table1[[#This Row],[Quantity]]</f>
        <v>12480.547500000001</v>
      </c>
      <c r="AI320">
        <f>ROUNDDOWN((Table1[[#This Row],[Quantity]]*(1+20%)),0)</f>
        <v>10</v>
      </c>
      <c r="AJ320" s="7">
        <f>Table1[[#This Row],[Quantity increase by 20%]]*Table1[[#This Row],[UnitPrice]]</f>
        <v>18489.7</v>
      </c>
      <c r="AK320">
        <f>ROUNDDOWN(Table1[[#This Row],[Quantity]]*(1+20%),0)</f>
        <v>10</v>
      </c>
      <c r="AL320" s="7">
        <f>Table1[[#This Row],[UnitCost]]*(1+15%)</f>
        <v>1704.001</v>
      </c>
      <c r="AM320" s="9">
        <f>Table1[[#This Row],[Quantity]]*Table1[[#This Row],[Cost of unit by inflation 15%]]</f>
        <v>15336.009</v>
      </c>
      <c r="AN320" s="21" cm="1">
        <f t="array" ref="AN320">_xlfn.UNIQUE(AC320)</f>
        <v>45016</v>
      </c>
    </row>
    <row r="321" spans="1:40" x14ac:dyDescent="0.35">
      <c r="A321" t="s">
        <v>188</v>
      </c>
      <c r="B321" s="21">
        <v>45435</v>
      </c>
      <c r="C321" s="10">
        <v>45446</v>
      </c>
      <c r="D321" s="3">
        <f t="shared" si="48"/>
        <v>11</v>
      </c>
      <c r="E321" s="10" t="str">
        <f t="shared" si="49"/>
        <v>Q2-2024</v>
      </c>
      <c r="F321" t="s">
        <v>645</v>
      </c>
      <c r="G321" t="s">
        <v>660</v>
      </c>
      <c r="H321" t="s">
        <v>681</v>
      </c>
      <c r="I321" t="s">
        <v>704</v>
      </c>
      <c r="J321" t="s">
        <v>709</v>
      </c>
      <c r="K321" t="s">
        <v>720</v>
      </c>
      <c r="L321" t="s">
        <v>727</v>
      </c>
      <c r="M321" t="s">
        <v>906</v>
      </c>
      <c r="N321" s="3">
        <v>180.89</v>
      </c>
      <c r="O321" s="3">
        <v>249.57</v>
      </c>
      <c r="P321" s="6">
        <v>2.1999999999999999E-2</v>
      </c>
      <c r="Q321" s="6">
        <f>IF(Table1[[#This Row],[DiscountPct]]&gt;25%,25%,Table1[[#This Row],[DiscountPct]])</f>
        <v>2.1999999999999999E-2</v>
      </c>
      <c r="R321" s="5">
        <v>8</v>
      </c>
      <c r="S321" s="6">
        <f t="shared" si="50"/>
        <v>0.37967825750456086</v>
      </c>
      <c r="T321" s="8">
        <f t="shared" si="51"/>
        <v>1952.6356799999999</v>
      </c>
      <c r="U321" s="8">
        <f t="shared" si="52"/>
        <v>1447.12</v>
      </c>
      <c r="V321" s="9">
        <f t="shared" si="53"/>
        <v>505.51567999999997</v>
      </c>
      <c r="W321" s="6">
        <f t="shared" si="54"/>
        <v>0.25888888806948362</v>
      </c>
      <c r="X321" t="str" cm="1">
        <f t="array" ref="X321">_xlfn.IFS(S321&lt;=25%, "Low", S321&lt;=75%, "Medium", S321&gt;75%, "High")</f>
        <v>Medium</v>
      </c>
      <c r="Y321" s="8">
        <f>Table1[[#This Row],[Quantity]]*(Table1[[#This Row],[UnitPrice]]*(1-Table1[[#This Row],[DiscountPct]]))</f>
        <v>1952.6356799999999</v>
      </c>
      <c r="Z321" s="9">
        <f t="shared" si="55"/>
        <v>505.51567999999997</v>
      </c>
      <c r="AA321">
        <f>COUNTIF($G$2:G322,G321)</f>
        <v>28</v>
      </c>
      <c r="AB321" s="21">
        <f t="shared" si="56"/>
        <v>44988</v>
      </c>
      <c r="AC321" s="21">
        <f t="shared" si="57"/>
        <v>45016</v>
      </c>
      <c r="AD321" s="5">
        <f>(Table1[[#This Row],[OrderDate]]-Table1[[#This Row],[Date of first order]])/30</f>
        <v>14.9</v>
      </c>
      <c r="AE321" t="str">
        <f t="shared" si="58"/>
        <v>Poor</v>
      </c>
      <c r="AF321">
        <f>COUNTIF(AE$2:AE322,AE321)</f>
        <v>231</v>
      </c>
      <c r="AG321" t="str">
        <f t="shared" si="59"/>
        <v>False</v>
      </c>
      <c r="AH321" s="7">
        <f>Table1[[#This Row],[UnitPrice]]*(1-Table1[[#This Row],[Disc Scenario]])*Table1[[#This Row],[Quantity]]</f>
        <v>1952.6356799999999</v>
      </c>
      <c r="AI321">
        <f>ROUNDDOWN((Table1[[#This Row],[Quantity]]*(1+20%)),0)</f>
        <v>9</v>
      </c>
      <c r="AJ321" s="7">
        <f>Table1[[#This Row],[Quantity increase by 20%]]*Table1[[#This Row],[UnitPrice]]</f>
        <v>2246.13</v>
      </c>
      <c r="AK321">
        <f>ROUNDDOWN(Table1[[#This Row],[Quantity]]*(1+20%),0)</f>
        <v>9</v>
      </c>
      <c r="AL321" s="7">
        <f>Table1[[#This Row],[UnitCost]]*(1+15%)</f>
        <v>208.02349999999996</v>
      </c>
      <c r="AM321" s="9">
        <f>Table1[[#This Row],[Quantity]]*Table1[[#This Row],[Cost of unit by inflation 15%]]</f>
        <v>1664.1879999999996</v>
      </c>
      <c r="AN321" s="21" cm="1">
        <f t="array" ref="AN321">_xlfn.UNIQUE(AC321)</f>
        <v>45016</v>
      </c>
    </row>
    <row r="322" spans="1:40" x14ac:dyDescent="0.35">
      <c r="A322" t="s">
        <v>324</v>
      </c>
      <c r="B322" s="21">
        <v>45435</v>
      </c>
      <c r="C322" s="10">
        <v>45449</v>
      </c>
      <c r="D322" s="3">
        <f t="shared" ref="D322:D385" si="60">DATEDIF(B322,C322,"d")</f>
        <v>14</v>
      </c>
      <c r="E322" s="10" t="str">
        <f t="shared" ref="E322:E385" si="61">"Q"&amp;ROUNDUP(MONTH(B322)/3,0)&amp; "-" &amp;YEAR(B322)</f>
        <v>Q2-2024</v>
      </c>
      <c r="F322" t="s">
        <v>647</v>
      </c>
      <c r="G322" t="s">
        <v>654</v>
      </c>
      <c r="H322" t="s">
        <v>691</v>
      </c>
      <c r="I322" t="s">
        <v>702</v>
      </c>
      <c r="J322" t="s">
        <v>707</v>
      </c>
      <c r="K322" t="s">
        <v>713</v>
      </c>
      <c r="L322" t="s">
        <v>728</v>
      </c>
      <c r="M322" t="s">
        <v>1042</v>
      </c>
      <c r="N322" s="3">
        <v>51.13</v>
      </c>
      <c r="O322" s="3">
        <v>57.53</v>
      </c>
      <c r="P322" s="6">
        <v>4.4999999999999998E-2</v>
      </c>
      <c r="Q322" s="6">
        <f>IF(Table1[[#This Row],[DiscountPct]]&gt;25%,25%,Table1[[#This Row],[DiscountPct]])</f>
        <v>4.4999999999999998E-2</v>
      </c>
      <c r="R322" s="5">
        <v>16</v>
      </c>
      <c r="S322" s="6">
        <f t="shared" ref="S322:S385" si="62">(O322-N322)/N322</f>
        <v>0.12517113240758845</v>
      </c>
      <c r="T322" s="8">
        <f t="shared" ref="T322:T385" si="63">O322*R322*(1-P322)</f>
        <v>879.05840000000001</v>
      </c>
      <c r="U322" s="8">
        <f t="shared" ref="U322:U385" si="64">N322*R322</f>
        <v>818.08</v>
      </c>
      <c r="V322" s="9">
        <f t="shared" ref="V322:V385" si="65">T322-U322</f>
        <v>60.978399999999965</v>
      </c>
      <c r="W322" s="6">
        <f t="shared" ref="W322:W385" si="66">V322/T322</f>
        <v>6.9367859973808302E-2</v>
      </c>
      <c r="X322" t="str" cm="1">
        <f t="array" ref="X322">_xlfn.IFS(S322&lt;=25%, "Low", S322&lt;=75%, "Medium", S322&gt;75%, "High")</f>
        <v>Low</v>
      </c>
      <c r="Y322" s="8">
        <f>Table1[[#This Row],[Quantity]]*(Table1[[#This Row],[UnitPrice]]*(1-Table1[[#This Row],[DiscountPct]]))</f>
        <v>879.05840000000001</v>
      </c>
      <c r="Z322" s="9">
        <f t="shared" ref="Z322:Z385" si="67">Y322-(N322*R322)</f>
        <v>60.978399999999965</v>
      </c>
      <c r="AA322">
        <f>COUNTIF($G$2:G323,G322)</f>
        <v>31</v>
      </c>
      <c r="AB322" s="21">
        <f t="shared" ref="AB322:AB385" si="68">IF(AA322=1,B322,AB321)</f>
        <v>44988</v>
      </c>
      <c r="AC322" s="21">
        <f t="shared" ref="AC322:AC385" si="69">EOMONTH(AB322,0)</f>
        <v>45016</v>
      </c>
      <c r="AD322" s="5">
        <f>(Table1[[#This Row],[OrderDate]]-Table1[[#This Row],[Date of first order]])/30</f>
        <v>14.9</v>
      </c>
      <c r="AE322" t="str">
        <f t="shared" ref="AE322:AE385" si="70">IF(D322&lt;=7,"Good","Poor")</f>
        <v>Poor</v>
      </c>
      <c r="AF322">
        <f>COUNTIF(AE$2:AE323,AE322)</f>
        <v>231</v>
      </c>
      <c r="AG322" t="str">
        <f t="shared" ref="AG322:AG385" si="71">IF(P322&gt;20%,"True","False")</f>
        <v>False</v>
      </c>
      <c r="AH322" s="7">
        <f>Table1[[#This Row],[UnitPrice]]*(1-Table1[[#This Row],[Disc Scenario]])*Table1[[#This Row],[Quantity]]</f>
        <v>879.05840000000001</v>
      </c>
      <c r="AI322">
        <f>ROUNDDOWN((Table1[[#This Row],[Quantity]]*(1+20%)),0)</f>
        <v>19</v>
      </c>
      <c r="AJ322" s="7">
        <f>Table1[[#This Row],[Quantity increase by 20%]]*Table1[[#This Row],[UnitPrice]]</f>
        <v>1093.07</v>
      </c>
      <c r="AK322">
        <f>ROUNDDOWN(Table1[[#This Row],[Quantity]]*(1+20%),0)</f>
        <v>19</v>
      </c>
      <c r="AL322" s="7">
        <f>Table1[[#This Row],[UnitCost]]*(1+15%)</f>
        <v>58.799500000000002</v>
      </c>
      <c r="AM322" s="9">
        <f>Table1[[#This Row],[Quantity]]*Table1[[#This Row],[Cost of unit by inflation 15%]]</f>
        <v>940.79200000000003</v>
      </c>
      <c r="AN322" s="21" cm="1">
        <f t="array" ref="AN322">_xlfn.UNIQUE(AC322)</f>
        <v>45016</v>
      </c>
    </row>
    <row r="323" spans="1:40" x14ac:dyDescent="0.35">
      <c r="A323" t="s">
        <v>112</v>
      </c>
      <c r="B323" s="21">
        <v>45438</v>
      </c>
      <c r="C323" s="10">
        <v>45440</v>
      </c>
      <c r="D323" s="3">
        <f t="shared" si="60"/>
        <v>2</v>
      </c>
      <c r="E323" s="10" t="str">
        <f t="shared" si="61"/>
        <v>Q2-2024</v>
      </c>
      <c r="F323" t="s">
        <v>645</v>
      </c>
      <c r="G323" t="s">
        <v>650</v>
      </c>
      <c r="H323" t="s">
        <v>668</v>
      </c>
      <c r="I323" t="s">
        <v>705</v>
      </c>
      <c r="J323" t="s">
        <v>707</v>
      </c>
      <c r="K323" t="s">
        <v>720</v>
      </c>
      <c r="L323" t="s">
        <v>732</v>
      </c>
      <c r="M323" t="s">
        <v>830</v>
      </c>
      <c r="N323" s="3">
        <v>1227.08</v>
      </c>
      <c r="O323" s="3">
        <v>1896.62</v>
      </c>
      <c r="P323" s="6">
        <v>0</v>
      </c>
      <c r="Q323" s="6">
        <f>IF(Table1[[#This Row],[DiscountPct]]&gt;25%,25%,Table1[[#This Row],[DiscountPct]])</f>
        <v>0</v>
      </c>
      <c r="R323" s="5">
        <v>18</v>
      </c>
      <c r="S323" s="6">
        <f t="shared" si="62"/>
        <v>0.54563679629689998</v>
      </c>
      <c r="T323" s="8">
        <f t="shared" si="63"/>
        <v>34139.159999999996</v>
      </c>
      <c r="U323" s="8">
        <f t="shared" si="64"/>
        <v>22087.439999999999</v>
      </c>
      <c r="V323" s="9">
        <f t="shared" si="65"/>
        <v>12051.719999999998</v>
      </c>
      <c r="W323" s="6">
        <f t="shared" si="66"/>
        <v>0.353017473189147</v>
      </c>
      <c r="X323" t="str" cm="1">
        <f t="array" ref="X323">_xlfn.IFS(S323&lt;=25%, "Low", S323&lt;=75%, "Medium", S323&gt;75%, "High")</f>
        <v>Medium</v>
      </c>
      <c r="Y323" s="8">
        <f>Table1[[#This Row],[Quantity]]*(Table1[[#This Row],[UnitPrice]]*(1-Table1[[#This Row],[DiscountPct]]))</f>
        <v>34139.159999999996</v>
      </c>
      <c r="Z323" s="9">
        <f t="shared" si="67"/>
        <v>12051.719999999998</v>
      </c>
      <c r="AA323">
        <f>COUNTIF($G$2:G324,G323)</f>
        <v>23</v>
      </c>
      <c r="AB323" s="21">
        <f t="shared" si="68"/>
        <v>44988</v>
      </c>
      <c r="AC323" s="21">
        <f t="shared" si="69"/>
        <v>45016</v>
      </c>
      <c r="AD323" s="5">
        <f>(Table1[[#This Row],[OrderDate]]-Table1[[#This Row],[Date of first order]])/30</f>
        <v>15</v>
      </c>
      <c r="AE323" t="str">
        <f t="shared" si="70"/>
        <v>Good</v>
      </c>
      <c r="AF323">
        <f>COUNTIF(AE$2:AE324,AE323)</f>
        <v>91</v>
      </c>
      <c r="AG323" t="str">
        <f t="shared" si="71"/>
        <v>False</v>
      </c>
      <c r="AH323" s="7">
        <f>Table1[[#This Row],[UnitPrice]]*(1-Table1[[#This Row],[Disc Scenario]])*Table1[[#This Row],[Quantity]]</f>
        <v>34139.159999999996</v>
      </c>
      <c r="AI323">
        <f>ROUNDDOWN((Table1[[#This Row],[Quantity]]*(1+20%)),0)</f>
        <v>21</v>
      </c>
      <c r="AJ323" s="7">
        <f>Table1[[#This Row],[Quantity increase by 20%]]*Table1[[#This Row],[UnitPrice]]</f>
        <v>39829.019999999997</v>
      </c>
      <c r="AK323">
        <f>ROUNDDOWN(Table1[[#This Row],[Quantity]]*(1+20%),0)</f>
        <v>21</v>
      </c>
      <c r="AL323" s="7">
        <f>Table1[[#This Row],[UnitCost]]*(1+15%)</f>
        <v>1411.1419999999998</v>
      </c>
      <c r="AM323" s="9">
        <f>Table1[[#This Row],[Quantity]]*Table1[[#This Row],[Cost of unit by inflation 15%]]</f>
        <v>25400.555999999997</v>
      </c>
      <c r="AN323" s="21" cm="1">
        <f t="array" ref="AN323">_xlfn.UNIQUE(AC323)</f>
        <v>45016</v>
      </c>
    </row>
    <row r="324" spans="1:40" x14ac:dyDescent="0.35">
      <c r="A324" t="s">
        <v>507</v>
      </c>
      <c r="B324" s="21">
        <v>45439</v>
      </c>
      <c r="C324" s="10">
        <v>45460</v>
      </c>
      <c r="D324" s="3">
        <f t="shared" si="60"/>
        <v>21</v>
      </c>
      <c r="E324" s="10" t="str">
        <f t="shared" si="61"/>
        <v>Q2-2024</v>
      </c>
      <c r="F324" t="s">
        <v>646</v>
      </c>
      <c r="G324" t="s">
        <v>653</v>
      </c>
      <c r="H324" t="s">
        <v>679</v>
      </c>
      <c r="I324" t="s">
        <v>704</v>
      </c>
      <c r="J324" t="s">
        <v>707</v>
      </c>
      <c r="K324" t="s">
        <v>721</v>
      </c>
      <c r="L324" t="s">
        <v>732</v>
      </c>
      <c r="M324" t="s">
        <v>1224</v>
      </c>
      <c r="N324" s="3">
        <v>465.02</v>
      </c>
      <c r="O324" s="3">
        <v>651.55999999999995</v>
      </c>
      <c r="P324" s="6">
        <v>4.2000000000000003E-2</v>
      </c>
      <c r="Q324" s="6">
        <f>IF(Table1[[#This Row],[DiscountPct]]&gt;25%,25%,Table1[[#This Row],[DiscountPct]])</f>
        <v>4.2000000000000003E-2</v>
      </c>
      <c r="R324" s="5">
        <v>19</v>
      </c>
      <c r="S324" s="6">
        <f t="shared" si="62"/>
        <v>0.40114403681562077</v>
      </c>
      <c r="T324" s="8">
        <f t="shared" si="63"/>
        <v>11859.695119999998</v>
      </c>
      <c r="U324" s="8">
        <f t="shared" si="64"/>
        <v>8835.3799999999992</v>
      </c>
      <c r="V324" s="9">
        <f t="shared" si="65"/>
        <v>3024.3151199999993</v>
      </c>
      <c r="W324" s="6">
        <f t="shared" si="66"/>
        <v>0.25500783025187918</v>
      </c>
      <c r="X324" t="str" cm="1">
        <f t="array" ref="X324">_xlfn.IFS(S324&lt;=25%, "Low", S324&lt;=75%, "Medium", S324&gt;75%, "High")</f>
        <v>Medium</v>
      </c>
      <c r="Y324" s="8">
        <f>Table1[[#This Row],[Quantity]]*(Table1[[#This Row],[UnitPrice]]*(1-Table1[[#This Row],[DiscountPct]]))</f>
        <v>11859.695119999998</v>
      </c>
      <c r="Z324" s="9">
        <f t="shared" si="67"/>
        <v>3024.3151199999993</v>
      </c>
      <c r="AA324">
        <f>COUNTIF($G$2:G325,G324)</f>
        <v>32</v>
      </c>
      <c r="AB324" s="21">
        <f t="shared" si="68"/>
        <v>44988</v>
      </c>
      <c r="AC324" s="21">
        <f t="shared" si="69"/>
        <v>45016</v>
      </c>
      <c r="AD324" s="5">
        <f>(Table1[[#This Row],[OrderDate]]-Table1[[#This Row],[Date of first order]])/30</f>
        <v>15.033333333333333</v>
      </c>
      <c r="AE324" t="str">
        <f t="shared" si="70"/>
        <v>Poor</v>
      </c>
      <c r="AF324">
        <f>COUNTIF(AE$2:AE325,AE324)</f>
        <v>233</v>
      </c>
      <c r="AG324" t="str">
        <f t="shared" si="71"/>
        <v>False</v>
      </c>
      <c r="AH324" s="7">
        <f>Table1[[#This Row],[UnitPrice]]*(1-Table1[[#This Row],[Disc Scenario]])*Table1[[#This Row],[Quantity]]</f>
        <v>11859.695119999998</v>
      </c>
      <c r="AI324">
        <f>ROUNDDOWN((Table1[[#This Row],[Quantity]]*(1+20%)),0)</f>
        <v>22</v>
      </c>
      <c r="AJ324" s="7">
        <f>Table1[[#This Row],[Quantity increase by 20%]]*Table1[[#This Row],[UnitPrice]]</f>
        <v>14334.32</v>
      </c>
      <c r="AK324">
        <f>ROUNDDOWN(Table1[[#This Row],[Quantity]]*(1+20%),0)</f>
        <v>22</v>
      </c>
      <c r="AL324" s="7">
        <f>Table1[[#This Row],[UnitCost]]*(1+15%)</f>
        <v>534.77299999999991</v>
      </c>
      <c r="AM324" s="9">
        <f>Table1[[#This Row],[Quantity]]*Table1[[#This Row],[Cost of unit by inflation 15%]]</f>
        <v>10160.686999999998</v>
      </c>
      <c r="AN324" s="21" cm="1">
        <f t="array" ref="AN324">_xlfn.UNIQUE(AC324)</f>
        <v>45016</v>
      </c>
    </row>
    <row r="325" spans="1:40" x14ac:dyDescent="0.35">
      <c r="A325" t="s">
        <v>333</v>
      </c>
      <c r="B325" s="21">
        <v>45440</v>
      </c>
      <c r="C325" s="10">
        <v>45461</v>
      </c>
      <c r="D325" s="3">
        <f t="shared" si="60"/>
        <v>21</v>
      </c>
      <c r="E325" s="10" t="str">
        <f t="shared" si="61"/>
        <v>Q2-2024</v>
      </c>
      <c r="F325" t="s">
        <v>648</v>
      </c>
      <c r="G325" t="s">
        <v>655</v>
      </c>
      <c r="H325" t="s">
        <v>697</v>
      </c>
      <c r="I325" t="s">
        <v>704</v>
      </c>
      <c r="J325" t="s">
        <v>707</v>
      </c>
      <c r="K325" t="s">
        <v>717</v>
      </c>
      <c r="L325" t="s">
        <v>729</v>
      </c>
      <c r="M325" t="s">
        <v>1051</v>
      </c>
      <c r="N325" s="3">
        <v>986.85</v>
      </c>
      <c r="O325" s="3">
        <v>2422.1</v>
      </c>
      <c r="P325" s="6">
        <v>7.5999999999999998E-2</v>
      </c>
      <c r="Q325" s="6">
        <f>IF(Table1[[#This Row],[DiscountPct]]&gt;25%,25%,Table1[[#This Row],[DiscountPct]])</f>
        <v>7.5999999999999998E-2</v>
      </c>
      <c r="R325" s="5">
        <v>10</v>
      </c>
      <c r="S325" s="6">
        <f t="shared" si="62"/>
        <v>1.4543750316664132</v>
      </c>
      <c r="T325" s="8">
        <f t="shared" si="63"/>
        <v>22380.204000000002</v>
      </c>
      <c r="U325" s="8">
        <f t="shared" si="64"/>
        <v>9868.5</v>
      </c>
      <c r="V325" s="9">
        <f t="shared" si="65"/>
        <v>12511.704000000002</v>
      </c>
      <c r="W325" s="6">
        <f t="shared" si="66"/>
        <v>0.55905227673527913</v>
      </c>
      <c r="X325" t="str" cm="1">
        <f t="array" ref="X325">_xlfn.IFS(S325&lt;=25%, "Low", S325&lt;=75%, "Medium", S325&gt;75%, "High")</f>
        <v>High</v>
      </c>
      <c r="Y325" s="8">
        <f>Table1[[#This Row],[Quantity]]*(Table1[[#This Row],[UnitPrice]]*(1-Table1[[#This Row],[DiscountPct]]))</f>
        <v>22380.203999999998</v>
      </c>
      <c r="Z325" s="9">
        <f t="shared" si="67"/>
        <v>12511.703999999998</v>
      </c>
      <c r="AA325">
        <f>COUNTIF($G$2:G326,G325)</f>
        <v>30</v>
      </c>
      <c r="AB325" s="21">
        <f t="shared" si="68"/>
        <v>44988</v>
      </c>
      <c r="AC325" s="21">
        <f t="shared" si="69"/>
        <v>45016</v>
      </c>
      <c r="AD325" s="5">
        <f>(Table1[[#This Row],[OrderDate]]-Table1[[#This Row],[Date of first order]])/30</f>
        <v>15.066666666666666</v>
      </c>
      <c r="AE325" t="str">
        <f t="shared" si="70"/>
        <v>Poor</v>
      </c>
      <c r="AF325">
        <f>COUNTIF(AE$2:AE326,AE325)</f>
        <v>234</v>
      </c>
      <c r="AG325" t="str">
        <f t="shared" si="71"/>
        <v>False</v>
      </c>
      <c r="AH325" s="7">
        <f>Table1[[#This Row],[UnitPrice]]*(1-Table1[[#This Row],[Disc Scenario]])*Table1[[#This Row],[Quantity]]</f>
        <v>22380.203999999998</v>
      </c>
      <c r="AI325">
        <f>ROUNDDOWN((Table1[[#This Row],[Quantity]]*(1+20%)),0)</f>
        <v>12</v>
      </c>
      <c r="AJ325" s="7">
        <f>Table1[[#This Row],[Quantity increase by 20%]]*Table1[[#This Row],[UnitPrice]]</f>
        <v>29065.199999999997</v>
      </c>
      <c r="AK325">
        <f>ROUNDDOWN(Table1[[#This Row],[Quantity]]*(1+20%),0)</f>
        <v>12</v>
      </c>
      <c r="AL325" s="7">
        <f>Table1[[#This Row],[UnitCost]]*(1+15%)</f>
        <v>1134.8774999999998</v>
      </c>
      <c r="AM325" s="9">
        <f>Table1[[#This Row],[Quantity]]*Table1[[#This Row],[Cost of unit by inflation 15%]]</f>
        <v>11348.774999999998</v>
      </c>
      <c r="AN325" s="21" cm="1">
        <f t="array" ref="AN325">_xlfn.UNIQUE(AC325)</f>
        <v>45016</v>
      </c>
    </row>
    <row r="326" spans="1:40" x14ac:dyDescent="0.35">
      <c r="A326" t="s">
        <v>143</v>
      </c>
      <c r="B326" s="21">
        <v>45442</v>
      </c>
      <c r="C326" s="10">
        <v>45456</v>
      </c>
      <c r="D326" s="3">
        <f t="shared" si="60"/>
        <v>14</v>
      </c>
      <c r="E326" s="10" t="str">
        <f t="shared" si="61"/>
        <v>Q2-2024</v>
      </c>
      <c r="F326" t="s">
        <v>647</v>
      </c>
      <c r="G326" t="s">
        <v>659</v>
      </c>
      <c r="H326" t="s">
        <v>685</v>
      </c>
      <c r="I326" t="s">
        <v>704</v>
      </c>
      <c r="J326" t="s">
        <v>706</v>
      </c>
      <c r="K326" t="s">
        <v>720</v>
      </c>
      <c r="L326" t="s">
        <v>729</v>
      </c>
      <c r="M326" t="s">
        <v>861</v>
      </c>
      <c r="N326" s="3">
        <v>157.78</v>
      </c>
      <c r="O326" s="3">
        <v>361.1</v>
      </c>
      <c r="P326" s="6">
        <v>0.187</v>
      </c>
      <c r="Q326" s="6">
        <f>IF(Table1[[#This Row],[DiscountPct]]&gt;25%,25%,Table1[[#This Row],[DiscountPct]])</f>
        <v>0.187</v>
      </c>
      <c r="R326" s="5">
        <v>9</v>
      </c>
      <c r="S326" s="6">
        <f t="shared" si="62"/>
        <v>1.2886297376093296</v>
      </c>
      <c r="T326" s="8">
        <f t="shared" si="63"/>
        <v>2642.1686999999997</v>
      </c>
      <c r="U326" s="8">
        <f t="shared" si="64"/>
        <v>1420.02</v>
      </c>
      <c r="V326" s="9">
        <f t="shared" si="65"/>
        <v>1222.1486999999997</v>
      </c>
      <c r="W326" s="6">
        <f t="shared" si="66"/>
        <v>0.46255513510549112</v>
      </c>
      <c r="X326" t="str" cm="1">
        <f t="array" ref="X326">_xlfn.IFS(S326&lt;=25%, "Low", S326&lt;=75%, "Medium", S326&gt;75%, "High")</f>
        <v>High</v>
      </c>
      <c r="Y326" s="8">
        <f>Table1[[#This Row],[Quantity]]*(Table1[[#This Row],[UnitPrice]]*(1-Table1[[#This Row],[DiscountPct]]))</f>
        <v>2642.1687000000002</v>
      </c>
      <c r="Z326" s="9">
        <f t="shared" si="67"/>
        <v>1222.1487000000002</v>
      </c>
      <c r="AA326">
        <f>COUNTIF($G$2:G327,G326)</f>
        <v>32</v>
      </c>
      <c r="AB326" s="21">
        <f t="shared" si="68"/>
        <v>44988</v>
      </c>
      <c r="AC326" s="21">
        <f t="shared" si="69"/>
        <v>45016</v>
      </c>
      <c r="AD326" s="5">
        <f>(Table1[[#This Row],[OrderDate]]-Table1[[#This Row],[Date of first order]])/30</f>
        <v>15.133333333333333</v>
      </c>
      <c r="AE326" t="str">
        <f t="shared" si="70"/>
        <v>Poor</v>
      </c>
      <c r="AF326">
        <f>COUNTIF(AE$2:AE327,AE326)</f>
        <v>235</v>
      </c>
      <c r="AG326" t="str">
        <f t="shared" si="71"/>
        <v>False</v>
      </c>
      <c r="AH326" s="7">
        <f>Table1[[#This Row],[UnitPrice]]*(1-Table1[[#This Row],[Disc Scenario]])*Table1[[#This Row],[Quantity]]</f>
        <v>2642.1687000000002</v>
      </c>
      <c r="AI326">
        <f>ROUNDDOWN((Table1[[#This Row],[Quantity]]*(1+20%)),0)</f>
        <v>10</v>
      </c>
      <c r="AJ326" s="7">
        <f>Table1[[#This Row],[Quantity increase by 20%]]*Table1[[#This Row],[UnitPrice]]</f>
        <v>3611</v>
      </c>
      <c r="AK326">
        <f>ROUNDDOWN(Table1[[#This Row],[Quantity]]*(1+20%),0)</f>
        <v>10</v>
      </c>
      <c r="AL326" s="7">
        <f>Table1[[#This Row],[UnitCost]]*(1+15%)</f>
        <v>181.44699999999997</v>
      </c>
      <c r="AM326" s="9">
        <f>Table1[[#This Row],[Quantity]]*Table1[[#This Row],[Cost of unit by inflation 15%]]</f>
        <v>1633.0229999999997</v>
      </c>
      <c r="AN326" s="21" cm="1">
        <f t="array" ref="AN326">_xlfn.UNIQUE(AC326)</f>
        <v>45016</v>
      </c>
    </row>
    <row r="327" spans="1:40" x14ac:dyDescent="0.35">
      <c r="A327" t="s">
        <v>379</v>
      </c>
      <c r="B327" s="21">
        <v>45445</v>
      </c>
      <c r="C327" s="10">
        <v>45458</v>
      </c>
      <c r="D327" s="3">
        <f t="shared" si="60"/>
        <v>13</v>
      </c>
      <c r="E327" s="10" t="str">
        <f t="shared" si="61"/>
        <v>Q2-2024</v>
      </c>
      <c r="F327" t="s">
        <v>645</v>
      </c>
      <c r="G327" t="s">
        <v>649</v>
      </c>
      <c r="H327" t="s">
        <v>674</v>
      </c>
      <c r="I327" t="s">
        <v>701</v>
      </c>
      <c r="J327" t="s">
        <v>707</v>
      </c>
      <c r="K327" t="s">
        <v>718</v>
      </c>
      <c r="L327" t="s">
        <v>729</v>
      </c>
      <c r="M327" t="s">
        <v>1097</v>
      </c>
      <c r="N327" s="3">
        <v>1295.18</v>
      </c>
      <c r="O327" s="3">
        <v>3024.03</v>
      </c>
      <c r="P327" s="6">
        <v>0.192</v>
      </c>
      <c r="Q327" s="6">
        <f>IF(Table1[[#This Row],[DiscountPct]]&gt;25%,25%,Table1[[#This Row],[DiscountPct]])</f>
        <v>0.192</v>
      </c>
      <c r="R327" s="5">
        <v>8</v>
      </c>
      <c r="S327" s="6">
        <f t="shared" si="62"/>
        <v>1.3348337682793125</v>
      </c>
      <c r="T327" s="8">
        <f t="shared" si="63"/>
        <v>19547.329920000004</v>
      </c>
      <c r="U327" s="8">
        <f t="shared" si="64"/>
        <v>10361.44</v>
      </c>
      <c r="V327" s="9">
        <f t="shared" si="65"/>
        <v>9185.8899200000033</v>
      </c>
      <c r="W327" s="6">
        <f t="shared" si="66"/>
        <v>0.46993067378483178</v>
      </c>
      <c r="X327" t="str" cm="1">
        <f t="array" ref="X327">_xlfn.IFS(S327&lt;=25%, "Low", S327&lt;=75%, "Medium", S327&gt;75%, "High")</f>
        <v>High</v>
      </c>
      <c r="Y327" s="8">
        <f>Table1[[#This Row],[Quantity]]*(Table1[[#This Row],[UnitPrice]]*(1-Table1[[#This Row],[DiscountPct]]))</f>
        <v>19547.329920000004</v>
      </c>
      <c r="Z327" s="9">
        <f t="shared" si="67"/>
        <v>9185.8899200000033</v>
      </c>
      <c r="AA327">
        <f>COUNTIF($G$2:G328,G327)</f>
        <v>29</v>
      </c>
      <c r="AB327" s="21">
        <f t="shared" si="68"/>
        <v>44988</v>
      </c>
      <c r="AC327" s="21">
        <f t="shared" si="69"/>
        <v>45016</v>
      </c>
      <c r="AD327" s="5">
        <f>(Table1[[#This Row],[OrderDate]]-Table1[[#This Row],[Date of first order]])/30</f>
        <v>15.233333333333333</v>
      </c>
      <c r="AE327" t="str">
        <f t="shared" si="70"/>
        <v>Poor</v>
      </c>
      <c r="AF327">
        <f>COUNTIF(AE$2:AE328,AE327)</f>
        <v>235</v>
      </c>
      <c r="AG327" t="str">
        <f t="shared" si="71"/>
        <v>False</v>
      </c>
      <c r="AH327" s="7">
        <f>Table1[[#This Row],[UnitPrice]]*(1-Table1[[#This Row],[Disc Scenario]])*Table1[[#This Row],[Quantity]]</f>
        <v>19547.329920000004</v>
      </c>
      <c r="AI327">
        <f>ROUNDDOWN((Table1[[#This Row],[Quantity]]*(1+20%)),0)</f>
        <v>9</v>
      </c>
      <c r="AJ327" s="7">
        <f>Table1[[#This Row],[Quantity increase by 20%]]*Table1[[#This Row],[UnitPrice]]</f>
        <v>27216.27</v>
      </c>
      <c r="AK327">
        <f>ROUNDDOWN(Table1[[#This Row],[Quantity]]*(1+20%),0)</f>
        <v>9</v>
      </c>
      <c r="AL327" s="7">
        <f>Table1[[#This Row],[UnitCost]]*(1+15%)</f>
        <v>1489.4569999999999</v>
      </c>
      <c r="AM327" s="9">
        <f>Table1[[#This Row],[Quantity]]*Table1[[#This Row],[Cost of unit by inflation 15%]]</f>
        <v>11915.655999999999</v>
      </c>
      <c r="AN327" s="21" cm="1">
        <f t="array" ref="AN327">_xlfn.UNIQUE(AC327)</f>
        <v>45016</v>
      </c>
    </row>
    <row r="328" spans="1:40" x14ac:dyDescent="0.35">
      <c r="A328" t="s">
        <v>124</v>
      </c>
      <c r="B328" s="21">
        <v>45445</v>
      </c>
      <c r="C328" s="10">
        <v>45451</v>
      </c>
      <c r="D328" s="3">
        <f t="shared" si="60"/>
        <v>6</v>
      </c>
      <c r="E328" s="10" t="str">
        <f t="shared" si="61"/>
        <v>Q2-2024</v>
      </c>
      <c r="F328" t="s">
        <v>645</v>
      </c>
      <c r="G328" t="s">
        <v>649</v>
      </c>
      <c r="H328" t="s">
        <v>661</v>
      </c>
      <c r="I328" t="s">
        <v>703</v>
      </c>
      <c r="J328" t="s">
        <v>708</v>
      </c>
      <c r="K328" t="s">
        <v>719</v>
      </c>
      <c r="L328" t="s">
        <v>732</v>
      </c>
      <c r="M328" t="s">
        <v>842</v>
      </c>
      <c r="N328" s="3">
        <v>292.94</v>
      </c>
      <c r="O328" s="3">
        <v>356.55</v>
      </c>
      <c r="P328" s="6">
        <v>0.22900000000000001</v>
      </c>
      <c r="Q328" s="6">
        <f>IF(Table1[[#This Row],[DiscountPct]]&gt;25%,25%,Table1[[#This Row],[DiscountPct]])</f>
        <v>0.22900000000000001</v>
      </c>
      <c r="R328" s="5">
        <v>2</v>
      </c>
      <c r="S328" s="6">
        <f t="shared" si="62"/>
        <v>0.21714344234314198</v>
      </c>
      <c r="T328" s="8">
        <f t="shared" si="63"/>
        <v>549.80010000000004</v>
      </c>
      <c r="U328" s="8">
        <f t="shared" si="64"/>
        <v>585.88</v>
      </c>
      <c r="V328" s="9">
        <f t="shared" si="65"/>
        <v>-36.079899999999952</v>
      </c>
      <c r="W328" s="6">
        <f t="shared" si="66"/>
        <v>-6.5623669402751925E-2</v>
      </c>
      <c r="X328" t="str" cm="1">
        <f t="array" ref="X328">_xlfn.IFS(S328&lt;=25%, "Low", S328&lt;=75%, "Medium", S328&gt;75%, "High")</f>
        <v>Low</v>
      </c>
      <c r="Y328" s="8">
        <f>Table1[[#This Row],[Quantity]]*(Table1[[#This Row],[UnitPrice]]*(1-Table1[[#This Row],[DiscountPct]]))</f>
        <v>549.80010000000004</v>
      </c>
      <c r="Z328" s="9">
        <f t="shared" si="67"/>
        <v>-36.079899999999952</v>
      </c>
      <c r="AA328">
        <f>COUNTIF($G$2:G329,G328)</f>
        <v>29</v>
      </c>
      <c r="AB328" s="21">
        <f t="shared" si="68"/>
        <v>44988</v>
      </c>
      <c r="AC328" s="21">
        <f t="shared" si="69"/>
        <v>45016</v>
      </c>
      <c r="AD328" s="5">
        <f>(Table1[[#This Row],[OrderDate]]-Table1[[#This Row],[Date of first order]])/30</f>
        <v>15.233333333333333</v>
      </c>
      <c r="AE328" t="str">
        <f t="shared" si="70"/>
        <v>Good</v>
      </c>
      <c r="AF328">
        <f>COUNTIF(AE$2:AE329,AE328)</f>
        <v>92</v>
      </c>
      <c r="AG328" t="str">
        <f t="shared" si="71"/>
        <v>True</v>
      </c>
      <c r="AH328" s="7">
        <f>Table1[[#This Row],[UnitPrice]]*(1-Table1[[#This Row],[Disc Scenario]])*Table1[[#This Row],[Quantity]]</f>
        <v>549.80010000000004</v>
      </c>
      <c r="AI328">
        <f>ROUNDDOWN((Table1[[#This Row],[Quantity]]*(1+20%)),0)</f>
        <v>2</v>
      </c>
      <c r="AJ328" s="7">
        <f>Table1[[#This Row],[Quantity increase by 20%]]*Table1[[#This Row],[UnitPrice]]</f>
        <v>713.1</v>
      </c>
      <c r="AK328">
        <f>ROUNDDOWN(Table1[[#This Row],[Quantity]]*(1+20%),0)</f>
        <v>2</v>
      </c>
      <c r="AL328" s="7">
        <f>Table1[[#This Row],[UnitCost]]*(1+15%)</f>
        <v>336.88099999999997</v>
      </c>
      <c r="AM328" s="9">
        <f>Table1[[#This Row],[Quantity]]*Table1[[#This Row],[Cost of unit by inflation 15%]]</f>
        <v>673.76199999999994</v>
      </c>
      <c r="AN328" s="21" cm="1">
        <f t="array" ref="AN328">_xlfn.UNIQUE(AC328)</f>
        <v>45016</v>
      </c>
    </row>
    <row r="329" spans="1:40" x14ac:dyDescent="0.35">
      <c r="A329" t="s">
        <v>461</v>
      </c>
      <c r="B329" s="21">
        <v>45446</v>
      </c>
      <c r="C329" s="10">
        <v>45467</v>
      </c>
      <c r="D329" s="3">
        <f t="shared" si="60"/>
        <v>21</v>
      </c>
      <c r="E329" s="10" t="str">
        <f t="shared" si="61"/>
        <v>Q2-2024</v>
      </c>
      <c r="F329" t="s">
        <v>647</v>
      </c>
      <c r="G329" t="s">
        <v>652</v>
      </c>
      <c r="H329" t="s">
        <v>666</v>
      </c>
      <c r="I329" t="s">
        <v>704</v>
      </c>
      <c r="J329" t="s">
        <v>710</v>
      </c>
      <c r="K329" t="s">
        <v>714</v>
      </c>
      <c r="L329" t="s">
        <v>731</v>
      </c>
      <c r="M329" t="s">
        <v>1178</v>
      </c>
      <c r="N329" s="3">
        <v>1205.5</v>
      </c>
      <c r="O329" s="3">
        <v>2210.17</v>
      </c>
      <c r="P329" s="6">
        <v>0.104</v>
      </c>
      <c r="Q329" s="6">
        <f>IF(Table1[[#This Row],[DiscountPct]]&gt;25%,25%,Table1[[#This Row],[DiscountPct]])</f>
        <v>0.104</v>
      </c>
      <c r="R329" s="5">
        <v>23</v>
      </c>
      <c r="S329" s="6">
        <f t="shared" si="62"/>
        <v>0.8334052260472834</v>
      </c>
      <c r="T329" s="8">
        <f t="shared" si="63"/>
        <v>45547.183360000003</v>
      </c>
      <c r="U329" s="8">
        <f t="shared" si="64"/>
        <v>27726.5</v>
      </c>
      <c r="V329" s="9">
        <f t="shared" si="65"/>
        <v>17820.683360000003</v>
      </c>
      <c r="W329" s="6">
        <f t="shared" si="66"/>
        <v>0.39125763758314652</v>
      </c>
      <c r="X329" t="str" cm="1">
        <f t="array" ref="X329">_xlfn.IFS(S329&lt;=25%, "Low", S329&lt;=75%, "Medium", S329&gt;75%, "High")</f>
        <v>High</v>
      </c>
      <c r="Y329" s="8">
        <f>Table1[[#This Row],[Quantity]]*(Table1[[#This Row],[UnitPrice]]*(1-Table1[[#This Row],[DiscountPct]]))</f>
        <v>45547.183360000003</v>
      </c>
      <c r="Z329" s="9">
        <f t="shared" si="67"/>
        <v>17820.683360000003</v>
      </c>
      <c r="AA329">
        <f>COUNTIF($G$2:G330,G329)</f>
        <v>22</v>
      </c>
      <c r="AB329" s="21">
        <f t="shared" si="68"/>
        <v>44988</v>
      </c>
      <c r="AC329" s="21">
        <f t="shared" si="69"/>
        <v>45016</v>
      </c>
      <c r="AD329" s="5">
        <f>(Table1[[#This Row],[OrderDate]]-Table1[[#This Row],[Date of first order]])/30</f>
        <v>15.266666666666667</v>
      </c>
      <c r="AE329" t="str">
        <f t="shared" si="70"/>
        <v>Poor</v>
      </c>
      <c r="AF329">
        <f>COUNTIF(AE$2:AE330,AE329)</f>
        <v>237</v>
      </c>
      <c r="AG329" t="str">
        <f t="shared" si="71"/>
        <v>False</v>
      </c>
      <c r="AH329" s="7">
        <f>Table1[[#This Row],[UnitPrice]]*(1-Table1[[#This Row],[Disc Scenario]])*Table1[[#This Row],[Quantity]]</f>
        <v>45547.183360000003</v>
      </c>
      <c r="AI329">
        <f>ROUNDDOWN((Table1[[#This Row],[Quantity]]*(1+20%)),0)</f>
        <v>27</v>
      </c>
      <c r="AJ329" s="7">
        <f>Table1[[#This Row],[Quantity increase by 20%]]*Table1[[#This Row],[UnitPrice]]</f>
        <v>59674.590000000004</v>
      </c>
      <c r="AK329">
        <f>ROUNDDOWN(Table1[[#This Row],[Quantity]]*(1+20%),0)</f>
        <v>27</v>
      </c>
      <c r="AL329" s="7">
        <f>Table1[[#This Row],[UnitCost]]*(1+15%)</f>
        <v>1386.3249999999998</v>
      </c>
      <c r="AM329" s="9">
        <f>Table1[[#This Row],[Quantity]]*Table1[[#This Row],[Cost of unit by inflation 15%]]</f>
        <v>31885.474999999995</v>
      </c>
      <c r="AN329" s="21" cm="1">
        <f t="array" ref="AN329">_xlfn.UNIQUE(AC329)</f>
        <v>45016</v>
      </c>
    </row>
    <row r="330" spans="1:40" x14ac:dyDescent="0.35">
      <c r="A330" t="s">
        <v>178</v>
      </c>
      <c r="B330" s="21">
        <v>45447</v>
      </c>
      <c r="C330" s="10">
        <v>45459</v>
      </c>
      <c r="D330" s="3">
        <f t="shared" si="60"/>
        <v>12</v>
      </c>
      <c r="E330" s="10" t="str">
        <f t="shared" si="61"/>
        <v>Q2-2024</v>
      </c>
      <c r="F330" t="s">
        <v>646</v>
      </c>
      <c r="G330" t="s">
        <v>658</v>
      </c>
      <c r="H330" t="s">
        <v>684</v>
      </c>
      <c r="I330" t="s">
        <v>700</v>
      </c>
      <c r="J330" t="s">
        <v>706</v>
      </c>
      <c r="K330" t="s">
        <v>712</v>
      </c>
      <c r="L330" t="s">
        <v>727</v>
      </c>
      <c r="M330" t="s">
        <v>896</v>
      </c>
      <c r="N330" s="3">
        <v>918.42</v>
      </c>
      <c r="O330" s="3">
        <v>1511.71</v>
      </c>
      <c r="P330" s="6">
        <v>0.02</v>
      </c>
      <c r="Q330" s="6">
        <f>IF(Table1[[#This Row],[DiscountPct]]&gt;25%,25%,Table1[[#This Row],[DiscountPct]])</f>
        <v>0.02</v>
      </c>
      <c r="R330" s="5">
        <v>8</v>
      </c>
      <c r="S330" s="6">
        <f t="shared" si="62"/>
        <v>0.64598985213736648</v>
      </c>
      <c r="T330" s="8">
        <f t="shared" si="63"/>
        <v>11851.806399999999</v>
      </c>
      <c r="U330" s="8">
        <f t="shared" si="64"/>
        <v>7347.36</v>
      </c>
      <c r="V330" s="9">
        <f t="shared" si="65"/>
        <v>4504.4463999999998</v>
      </c>
      <c r="W330" s="6">
        <f t="shared" si="66"/>
        <v>0.38006412254590999</v>
      </c>
      <c r="X330" t="str" cm="1">
        <f t="array" ref="X330">_xlfn.IFS(S330&lt;=25%, "Low", S330&lt;=75%, "Medium", S330&gt;75%, "High")</f>
        <v>Medium</v>
      </c>
      <c r="Y330" s="8">
        <f>Table1[[#This Row],[Quantity]]*(Table1[[#This Row],[UnitPrice]]*(1-Table1[[#This Row],[DiscountPct]]))</f>
        <v>11851.806399999999</v>
      </c>
      <c r="Z330" s="9">
        <f t="shared" si="67"/>
        <v>4504.4463999999998</v>
      </c>
      <c r="AA330">
        <f>COUNTIF($G$2:G331,G330)</f>
        <v>25</v>
      </c>
      <c r="AB330" s="21">
        <f t="shared" si="68"/>
        <v>44988</v>
      </c>
      <c r="AC330" s="21">
        <f t="shared" si="69"/>
        <v>45016</v>
      </c>
      <c r="AD330" s="5">
        <f>(Table1[[#This Row],[OrderDate]]-Table1[[#This Row],[Date of first order]])/30</f>
        <v>15.3</v>
      </c>
      <c r="AE330" t="str">
        <f t="shared" si="70"/>
        <v>Poor</v>
      </c>
      <c r="AF330">
        <f>COUNTIF(AE$2:AE331,AE330)</f>
        <v>238</v>
      </c>
      <c r="AG330" t="str">
        <f t="shared" si="71"/>
        <v>False</v>
      </c>
      <c r="AH330" s="7">
        <f>Table1[[#This Row],[UnitPrice]]*(1-Table1[[#This Row],[Disc Scenario]])*Table1[[#This Row],[Quantity]]</f>
        <v>11851.806399999999</v>
      </c>
      <c r="AI330">
        <f>ROUNDDOWN((Table1[[#This Row],[Quantity]]*(1+20%)),0)</f>
        <v>9</v>
      </c>
      <c r="AJ330" s="7">
        <f>Table1[[#This Row],[Quantity increase by 20%]]*Table1[[#This Row],[UnitPrice]]</f>
        <v>13605.39</v>
      </c>
      <c r="AK330">
        <f>ROUNDDOWN(Table1[[#This Row],[Quantity]]*(1+20%),0)</f>
        <v>9</v>
      </c>
      <c r="AL330" s="7">
        <f>Table1[[#This Row],[UnitCost]]*(1+15%)</f>
        <v>1056.1829999999998</v>
      </c>
      <c r="AM330" s="9">
        <f>Table1[[#This Row],[Quantity]]*Table1[[#This Row],[Cost of unit by inflation 15%]]</f>
        <v>8449.4639999999981</v>
      </c>
      <c r="AN330" s="21" cm="1">
        <f t="array" ref="AN330">_xlfn.UNIQUE(AC330)</f>
        <v>45016</v>
      </c>
    </row>
    <row r="331" spans="1:40" x14ac:dyDescent="0.35">
      <c r="A331" t="s">
        <v>541</v>
      </c>
      <c r="B331" s="21">
        <v>45448</v>
      </c>
      <c r="C331" s="10">
        <v>45466</v>
      </c>
      <c r="D331" s="3">
        <f t="shared" si="60"/>
        <v>18</v>
      </c>
      <c r="E331" s="10" t="str">
        <f t="shared" si="61"/>
        <v>Q2-2024</v>
      </c>
      <c r="F331" t="s">
        <v>645</v>
      </c>
      <c r="G331" t="s">
        <v>649</v>
      </c>
      <c r="H331" t="s">
        <v>663</v>
      </c>
      <c r="I331" t="s">
        <v>703</v>
      </c>
      <c r="J331" t="s">
        <v>709</v>
      </c>
      <c r="K331" t="s">
        <v>725</v>
      </c>
      <c r="L331" t="s">
        <v>730</v>
      </c>
      <c r="M331" t="s">
        <v>1258</v>
      </c>
      <c r="N331" s="3">
        <v>1208.74</v>
      </c>
      <c r="O331" s="3">
        <v>1594.78</v>
      </c>
      <c r="P331" s="6">
        <v>5.8999999999999997E-2</v>
      </c>
      <c r="Q331" s="6">
        <f>IF(Table1[[#This Row],[DiscountPct]]&gt;25%,25%,Table1[[#This Row],[DiscountPct]])</f>
        <v>5.8999999999999997E-2</v>
      </c>
      <c r="R331" s="5">
        <v>39</v>
      </c>
      <c r="S331" s="6">
        <f t="shared" si="62"/>
        <v>0.31937389347585088</v>
      </c>
      <c r="T331" s="8">
        <f t="shared" si="63"/>
        <v>58526.83122</v>
      </c>
      <c r="U331" s="8">
        <f t="shared" si="64"/>
        <v>47140.86</v>
      </c>
      <c r="V331" s="9">
        <f t="shared" si="65"/>
        <v>11385.971219999999</v>
      </c>
      <c r="W331" s="6">
        <f t="shared" si="66"/>
        <v>0.1945427589817838</v>
      </c>
      <c r="X331" t="str" cm="1">
        <f t="array" ref="X331">_xlfn.IFS(S331&lt;=25%, "Low", S331&lt;=75%, "Medium", S331&gt;75%, "High")</f>
        <v>Medium</v>
      </c>
      <c r="Y331" s="8">
        <f>Table1[[#This Row],[Quantity]]*(Table1[[#This Row],[UnitPrice]]*(1-Table1[[#This Row],[DiscountPct]]))</f>
        <v>58526.831220000007</v>
      </c>
      <c r="Z331" s="9">
        <f t="shared" si="67"/>
        <v>11385.971220000007</v>
      </c>
      <c r="AA331">
        <f>COUNTIF($G$2:G332,G331)</f>
        <v>30</v>
      </c>
      <c r="AB331" s="21">
        <f t="shared" si="68"/>
        <v>44988</v>
      </c>
      <c r="AC331" s="21">
        <f t="shared" si="69"/>
        <v>45016</v>
      </c>
      <c r="AD331" s="5">
        <f>(Table1[[#This Row],[OrderDate]]-Table1[[#This Row],[Date of first order]])/30</f>
        <v>15.333333333333334</v>
      </c>
      <c r="AE331" t="str">
        <f t="shared" si="70"/>
        <v>Poor</v>
      </c>
      <c r="AF331">
        <f>COUNTIF(AE$2:AE332,AE331)</f>
        <v>239</v>
      </c>
      <c r="AG331" t="str">
        <f t="shared" si="71"/>
        <v>False</v>
      </c>
      <c r="AH331" s="7">
        <f>Table1[[#This Row],[UnitPrice]]*(1-Table1[[#This Row],[Disc Scenario]])*Table1[[#This Row],[Quantity]]</f>
        <v>58526.831220000007</v>
      </c>
      <c r="AI331">
        <f>ROUNDDOWN((Table1[[#This Row],[Quantity]]*(1+20%)),0)</f>
        <v>46</v>
      </c>
      <c r="AJ331" s="7">
        <f>Table1[[#This Row],[Quantity increase by 20%]]*Table1[[#This Row],[UnitPrice]]</f>
        <v>73359.88</v>
      </c>
      <c r="AK331">
        <f>ROUNDDOWN(Table1[[#This Row],[Quantity]]*(1+20%),0)</f>
        <v>46</v>
      </c>
      <c r="AL331" s="7">
        <f>Table1[[#This Row],[UnitCost]]*(1+15%)</f>
        <v>1390.0509999999999</v>
      </c>
      <c r="AM331" s="9">
        <f>Table1[[#This Row],[Quantity]]*Table1[[#This Row],[Cost of unit by inflation 15%]]</f>
        <v>54211.988999999994</v>
      </c>
      <c r="AN331" s="21" cm="1">
        <f t="array" ref="AN331">_xlfn.UNIQUE(AC331)</f>
        <v>45016</v>
      </c>
    </row>
    <row r="332" spans="1:40" x14ac:dyDescent="0.35">
      <c r="A332" t="s">
        <v>427</v>
      </c>
      <c r="B332" s="21">
        <v>45449</v>
      </c>
      <c r="C332" s="10">
        <v>45467</v>
      </c>
      <c r="D332" s="3">
        <f t="shared" si="60"/>
        <v>18</v>
      </c>
      <c r="E332" s="10" t="str">
        <f t="shared" si="61"/>
        <v>Q2-2024</v>
      </c>
      <c r="F332" t="s">
        <v>646</v>
      </c>
      <c r="G332" t="s">
        <v>653</v>
      </c>
      <c r="H332" t="s">
        <v>667</v>
      </c>
      <c r="I332" t="s">
        <v>704</v>
      </c>
      <c r="J332" t="s">
        <v>710</v>
      </c>
      <c r="K332" t="s">
        <v>721</v>
      </c>
      <c r="L332" t="s">
        <v>728</v>
      </c>
      <c r="M332" t="s">
        <v>1144</v>
      </c>
      <c r="N332" s="3">
        <v>1253.25</v>
      </c>
      <c r="O332" s="3">
        <v>3087.13</v>
      </c>
      <c r="P332" s="6">
        <v>7.1999999999999995E-2</v>
      </c>
      <c r="Q332" s="6">
        <f>IF(Table1[[#This Row],[DiscountPct]]&gt;25%,25%,Table1[[#This Row],[DiscountPct]])</f>
        <v>7.1999999999999995E-2</v>
      </c>
      <c r="R332" s="5">
        <v>11</v>
      </c>
      <c r="S332" s="6">
        <f t="shared" si="62"/>
        <v>1.4632994215040895</v>
      </c>
      <c r="T332" s="8">
        <f t="shared" si="63"/>
        <v>31513.423040000001</v>
      </c>
      <c r="U332" s="8">
        <f t="shared" si="64"/>
        <v>13785.75</v>
      </c>
      <c r="V332" s="9">
        <f t="shared" si="65"/>
        <v>17727.673040000001</v>
      </c>
      <c r="W332" s="6">
        <f t="shared" si="66"/>
        <v>0.562543555408064</v>
      </c>
      <c r="X332" t="str" cm="1">
        <f t="array" ref="X332">_xlfn.IFS(S332&lt;=25%, "Low", S332&lt;=75%, "Medium", S332&gt;75%, "High")</f>
        <v>High</v>
      </c>
      <c r="Y332" s="8">
        <f>Table1[[#This Row],[Quantity]]*(Table1[[#This Row],[UnitPrice]]*(1-Table1[[#This Row],[DiscountPct]]))</f>
        <v>31513.423040000005</v>
      </c>
      <c r="Z332" s="9">
        <f t="shared" si="67"/>
        <v>17727.673040000005</v>
      </c>
      <c r="AA332">
        <f>COUNTIF($G$2:G333,G332)</f>
        <v>33</v>
      </c>
      <c r="AB332" s="21">
        <f t="shared" si="68"/>
        <v>44988</v>
      </c>
      <c r="AC332" s="21">
        <f t="shared" si="69"/>
        <v>45016</v>
      </c>
      <c r="AD332" s="5">
        <f>(Table1[[#This Row],[OrderDate]]-Table1[[#This Row],[Date of first order]])/30</f>
        <v>15.366666666666667</v>
      </c>
      <c r="AE332" t="str">
        <f t="shared" si="70"/>
        <v>Poor</v>
      </c>
      <c r="AF332">
        <f>COUNTIF(AE$2:AE333,AE332)</f>
        <v>240</v>
      </c>
      <c r="AG332" t="str">
        <f t="shared" si="71"/>
        <v>False</v>
      </c>
      <c r="AH332" s="7">
        <f>Table1[[#This Row],[UnitPrice]]*(1-Table1[[#This Row],[Disc Scenario]])*Table1[[#This Row],[Quantity]]</f>
        <v>31513.423040000005</v>
      </c>
      <c r="AI332">
        <f>ROUNDDOWN((Table1[[#This Row],[Quantity]]*(1+20%)),0)</f>
        <v>13</v>
      </c>
      <c r="AJ332" s="7">
        <f>Table1[[#This Row],[Quantity increase by 20%]]*Table1[[#This Row],[UnitPrice]]</f>
        <v>40132.69</v>
      </c>
      <c r="AK332">
        <f>ROUNDDOWN(Table1[[#This Row],[Quantity]]*(1+20%),0)</f>
        <v>13</v>
      </c>
      <c r="AL332" s="7">
        <f>Table1[[#This Row],[UnitCost]]*(1+15%)</f>
        <v>1441.2375</v>
      </c>
      <c r="AM332" s="9">
        <f>Table1[[#This Row],[Quantity]]*Table1[[#This Row],[Cost of unit by inflation 15%]]</f>
        <v>15853.612499999999</v>
      </c>
      <c r="AN332" s="21" cm="1">
        <f t="array" ref="AN332">_xlfn.UNIQUE(AC332)</f>
        <v>45016</v>
      </c>
    </row>
    <row r="333" spans="1:40" x14ac:dyDescent="0.35">
      <c r="A333" t="s">
        <v>141</v>
      </c>
      <c r="B333" s="21">
        <v>45450</v>
      </c>
      <c r="C333" s="10">
        <v>45469</v>
      </c>
      <c r="D333" s="3">
        <f t="shared" si="60"/>
        <v>19</v>
      </c>
      <c r="E333" s="10" t="str">
        <f t="shared" si="61"/>
        <v>Q2-2024</v>
      </c>
      <c r="F333" t="s">
        <v>648</v>
      </c>
      <c r="G333" t="s">
        <v>655</v>
      </c>
      <c r="H333" t="s">
        <v>670</v>
      </c>
      <c r="I333" t="s">
        <v>702</v>
      </c>
      <c r="J333" t="s">
        <v>708</v>
      </c>
      <c r="K333" t="s">
        <v>723</v>
      </c>
      <c r="L333" t="s">
        <v>726</v>
      </c>
      <c r="M333" t="s">
        <v>859</v>
      </c>
      <c r="N333" s="3">
        <v>1064.32</v>
      </c>
      <c r="O333" s="3">
        <v>1848.39</v>
      </c>
      <c r="P333" s="6">
        <v>7.2999999999999995E-2</v>
      </c>
      <c r="Q333" s="6">
        <f>IF(Table1[[#This Row],[DiscountPct]]&gt;25%,25%,Table1[[#This Row],[DiscountPct]])</f>
        <v>7.2999999999999995E-2</v>
      </c>
      <c r="R333" s="5">
        <v>38</v>
      </c>
      <c r="S333" s="6">
        <f t="shared" si="62"/>
        <v>0.73668633493686131</v>
      </c>
      <c r="T333" s="8">
        <f t="shared" si="63"/>
        <v>65111.38614000001</v>
      </c>
      <c r="U333" s="8">
        <f t="shared" si="64"/>
        <v>40444.159999999996</v>
      </c>
      <c r="V333" s="9">
        <f t="shared" si="65"/>
        <v>24667.226140000013</v>
      </c>
      <c r="W333" s="6">
        <f t="shared" si="66"/>
        <v>0.3788465827921631</v>
      </c>
      <c r="X333" t="str" cm="1">
        <f t="array" ref="X333">_xlfn.IFS(S333&lt;=25%, "Low", S333&lt;=75%, "Medium", S333&gt;75%, "High")</f>
        <v>Medium</v>
      </c>
      <c r="Y333" s="8">
        <f>Table1[[#This Row],[Quantity]]*(Table1[[#This Row],[UnitPrice]]*(1-Table1[[#This Row],[DiscountPct]]))</f>
        <v>65111.386140000002</v>
      </c>
      <c r="Z333" s="9">
        <f t="shared" si="67"/>
        <v>24667.226140000006</v>
      </c>
      <c r="AA333">
        <f>COUNTIF($G$2:G334,G333)</f>
        <v>31</v>
      </c>
      <c r="AB333" s="21">
        <f t="shared" si="68"/>
        <v>44988</v>
      </c>
      <c r="AC333" s="21">
        <f t="shared" si="69"/>
        <v>45016</v>
      </c>
      <c r="AD333" s="5">
        <f>(Table1[[#This Row],[OrderDate]]-Table1[[#This Row],[Date of first order]])/30</f>
        <v>15.4</v>
      </c>
      <c r="AE333" t="str">
        <f t="shared" si="70"/>
        <v>Poor</v>
      </c>
      <c r="AF333">
        <f>COUNTIF(AE$2:AE334,AE333)</f>
        <v>240</v>
      </c>
      <c r="AG333" t="str">
        <f t="shared" si="71"/>
        <v>False</v>
      </c>
      <c r="AH333" s="7">
        <f>Table1[[#This Row],[UnitPrice]]*(1-Table1[[#This Row],[Disc Scenario]])*Table1[[#This Row],[Quantity]]</f>
        <v>65111.386140000002</v>
      </c>
      <c r="AI333">
        <f>ROUNDDOWN((Table1[[#This Row],[Quantity]]*(1+20%)),0)</f>
        <v>45</v>
      </c>
      <c r="AJ333" s="7">
        <f>Table1[[#This Row],[Quantity increase by 20%]]*Table1[[#This Row],[UnitPrice]]</f>
        <v>83177.55</v>
      </c>
      <c r="AK333">
        <f>ROUNDDOWN(Table1[[#This Row],[Quantity]]*(1+20%),0)</f>
        <v>45</v>
      </c>
      <c r="AL333" s="7">
        <f>Table1[[#This Row],[UnitCost]]*(1+15%)</f>
        <v>1223.9679999999998</v>
      </c>
      <c r="AM333" s="9">
        <f>Table1[[#This Row],[Quantity]]*Table1[[#This Row],[Cost of unit by inflation 15%]]</f>
        <v>46510.783999999992</v>
      </c>
      <c r="AN333" s="21" cm="1">
        <f t="array" ref="AN333">_xlfn.UNIQUE(AC333)</f>
        <v>45016</v>
      </c>
    </row>
    <row r="334" spans="1:40" x14ac:dyDescent="0.35">
      <c r="A334" t="s">
        <v>555</v>
      </c>
      <c r="B334" s="21">
        <v>45450</v>
      </c>
      <c r="C334" s="10">
        <v>45452</v>
      </c>
      <c r="D334" s="3">
        <f t="shared" si="60"/>
        <v>2</v>
      </c>
      <c r="E334" s="10" t="str">
        <f t="shared" si="61"/>
        <v>Q2-2024</v>
      </c>
      <c r="F334" t="s">
        <v>646</v>
      </c>
      <c r="G334" t="s">
        <v>658</v>
      </c>
      <c r="H334" t="s">
        <v>684</v>
      </c>
      <c r="I334" t="s">
        <v>700</v>
      </c>
      <c r="J334" t="s">
        <v>706</v>
      </c>
      <c r="K334" t="s">
        <v>718</v>
      </c>
      <c r="L334" t="s">
        <v>731</v>
      </c>
      <c r="M334" t="s">
        <v>1271</v>
      </c>
      <c r="N334" s="3">
        <v>1370.28</v>
      </c>
      <c r="O334" s="3">
        <v>2209.66</v>
      </c>
      <c r="P334" s="6">
        <v>0.13300000000000001</v>
      </c>
      <c r="Q334" s="6">
        <f>IF(Table1[[#This Row],[DiscountPct]]&gt;25%,25%,Table1[[#This Row],[DiscountPct]])</f>
        <v>0.13300000000000001</v>
      </c>
      <c r="R334" s="5">
        <v>16</v>
      </c>
      <c r="S334" s="6">
        <f t="shared" si="62"/>
        <v>0.61256093645094423</v>
      </c>
      <c r="T334" s="8">
        <f t="shared" si="63"/>
        <v>30652.403519999996</v>
      </c>
      <c r="U334" s="8">
        <f t="shared" si="64"/>
        <v>21924.48</v>
      </c>
      <c r="V334" s="9">
        <f t="shared" si="65"/>
        <v>8727.9235199999966</v>
      </c>
      <c r="W334" s="6">
        <f t="shared" si="66"/>
        <v>0.28473863442079589</v>
      </c>
      <c r="X334" t="str" cm="1">
        <f t="array" ref="X334">_xlfn.IFS(S334&lt;=25%, "Low", S334&lt;=75%, "Medium", S334&gt;75%, "High")</f>
        <v>Medium</v>
      </c>
      <c r="Y334" s="8">
        <f>Table1[[#This Row],[Quantity]]*(Table1[[#This Row],[UnitPrice]]*(1-Table1[[#This Row],[DiscountPct]]))</f>
        <v>30652.403519999996</v>
      </c>
      <c r="Z334" s="9">
        <f t="shared" si="67"/>
        <v>8727.9235199999966</v>
      </c>
      <c r="AA334">
        <f>COUNTIF($G$2:G335,G334)</f>
        <v>26</v>
      </c>
      <c r="AB334" s="21">
        <f t="shared" si="68"/>
        <v>44988</v>
      </c>
      <c r="AC334" s="21">
        <f t="shared" si="69"/>
        <v>45016</v>
      </c>
      <c r="AD334" s="5">
        <f>(Table1[[#This Row],[OrderDate]]-Table1[[#This Row],[Date of first order]])/30</f>
        <v>15.4</v>
      </c>
      <c r="AE334" t="str">
        <f t="shared" si="70"/>
        <v>Good</v>
      </c>
      <c r="AF334">
        <f>COUNTIF(AE$2:AE335,AE334)</f>
        <v>93</v>
      </c>
      <c r="AG334" t="str">
        <f t="shared" si="71"/>
        <v>False</v>
      </c>
      <c r="AH334" s="7">
        <f>Table1[[#This Row],[UnitPrice]]*(1-Table1[[#This Row],[Disc Scenario]])*Table1[[#This Row],[Quantity]]</f>
        <v>30652.403519999996</v>
      </c>
      <c r="AI334">
        <f>ROUNDDOWN((Table1[[#This Row],[Quantity]]*(1+20%)),0)</f>
        <v>19</v>
      </c>
      <c r="AJ334" s="7">
        <f>Table1[[#This Row],[Quantity increase by 20%]]*Table1[[#This Row],[UnitPrice]]</f>
        <v>41983.539999999994</v>
      </c>
      <c r="AK334">
        <f>ROUNDDOWN(Table1[[#This Row],[Quantity]]*(1+20%),0)</f>
        <v>19</v>
      </c>
      <c r="AL334" s="7">
        <f>Table1[[#This Row],[UnitCost]]*(1+15%)</f>
        <v>1575.8219999999999</v>
      </c>
      <c r="AM334" s="9">
        <f>Table1[[#This Row],[Quantity]]*Table1[[#This Row],[Cost of unit by inflation 15%]]</f>
        <v>25213.151999999998</v>
      </c>
      <c r="AN334" s="21" cm="1">
        <f t="array" ref="AN334">_xlfn.UNIQUE(AC334)</f>
        <v>45016</v>
      </c>
    </row>
    <row r="335" spans="1:40" x14ac:dyDescent="0.35">
      <c r="A335" t="s">
        <v>327</v>
      </c>
      <c r="B335" s="21">
        <v>45451</v>
      </c>
      <c r="C335" s="10">
        <v>45467</v>
      </c>
      <c r="D335" s="3">
        <f t="shared" si="60"/>
        <v>16</v>
      </c>
      <c r="E335" s="10" t="str">
        <f t="shared" si="61"/>
        <v>Q2-2024</v>
      </c>
      <c r="F335" t="s">
        <v>645</v>
      </c>
      <c r="G335" t="s">
        <v>660</v>
      </c>
      <c r="H335" t="s">
        <v>686</v>
      </c>
      <c r="I335" t="s">
        <v>701</v>
      </c>
      <c r="J335" t="s">
        <v>709</v>
      </c>
      <c r="K335" t="s">
        <v>721</v>
      </c>
      <c r="L335" t="s">
        <v>731</v>
      </c>
      <c r="M335" t="s">
        <v>1045</v>
      </c>
      <c r="N335" s="3">
        <v>597.85</v>
      </c>
      <c r="O335" s="3">
        <v>741.92</v>
      </c>
      <c r="P335" s="6">
        <v>3.1E-2</v>
      </c>
      <c r="Q335" s="6">
        <f>IF(Table1[[#This Row],[DiscountPct]]&gt;25%,25%,Table1[[#This Row],[DiscountPct]])</f>
        <v>3.1E-2</v>
      </c>
      <c r="R335" s="5">
        <v>7</v>
      </c>
      <c r="S335" s="6">
        <f t="shared" si="62"/>
        <v>0.24098017897465909</v>
      </c>
      <c r="T335" s="8">
        <f t="shared" si="63"/>
        <v>5032.4433599999993</v>
      </c>
      <c r="U335" s="8">
        <f t="shared" si="64"/>
        <v>4184.95</v>
      </c>
      <c r="V335" s="9">
        <f t="shared" si="65"/>
        <v>847.49335999999948</v>
      </c>
      <c r="W335" s="6">
        <f t="shared" si="66"/>
        <v>0.16840594108544515</v>
      </c>
      <c r="X335" t="str" cm="1">
        <f t="array" ref="X335">_xlfn.IFS(S335&lt;=25%, "Low", S335&lt;=75%, "Medium", S335&gt;75%, "High")</f>
        <v>Low</v>
      </c>
      <c r="Y335" s="8">
        <f>Table1[[#This Row],[Quantity]]*(Table1[[#This Row],[UnitPrice]]*(1-Table1[[#This Row],[DiscountPct]]))</f>
        <v>5032.4433599999993</v>
      </c>
      <c r="Z335" s="9">
        <f t="shared" si="67"/>
        <v>847.49335999999948</v>
      </c>
      <c r="AA335">
        <f>COUNTIF($G$2:G336,G335)</f>
        <v>29</v>
      </c>
      <c r="AB335" s="21">
        <f t="shared" si="68"/>
        <v>44988</v>
      </c>
      <c r="AC335" s="21">
        <f t="shared" si="69"/>
        <v>45016</v>
      </c>
      <c r="AD335" s="5">
        <f>(Table1[[#This Row],[OrderDate]]-Table1[[#This Row],[Date of first order]])/30</f>
        <v>15.433333333333334</v>
      </c>
      <c r="AE335" t="str">
        <f t="shared" si="70"/>
        <v>Poor</v>
      </c>
      <c r="AF335">
        <f>COUNTIF(AE$2:AE336,AE335)</f>
        <v>242</v>
      </c>
      <c r="AG335" t="str">
        <f t="shared" si="71"/>
        <v>False</v>
      </c>
      <c r="AH335" s="7">
        <f>Table1[[#This Row],[UnitPrice]]*(1-Table1[[#This Row],[Disc Scenario]])*Table1[[#This Row],[Quantity]]</f>
        <v>5032.4433599999993</v>
      </c>
      <c r="AI335">
        <f>ROUNDDOWN((Table1[[#This Row],[Quantity]]*(1+20%)),0)</f>
        <v>8</v>
      </c>
      <c r="AJ335" s="7">
        <f>Table1[[#This Row],[Quantity increase by 20%]]*Table1[[#This Row],[UnitPrice]]</f>
        <v>5935.36</v>
      </c>
      <c r="AK335">
        <f>ROUNDDOWN(Table1[[#This Row],[Quantity]]*(1+20%),0)</f>
        <v>8</v>
      </c>
      <c r="AL335" s="7">
        <f>Table1[[#This Row],[UnitCost]]*(1+15%)</f>
        <v>687.52749999999992</v>
      </c>
      <c r="AM335" s="9">
        <f>Table1[[#This Row],[Quantity]]*Table1[[#This Row],[Cost of unit by inflation 15%]]</f>
        <v>4812.6924999999992</v>
      </c>
      <c r="AN335" s="21" cm="1">
        <f t="array" ref="AN335">_xlfn.UNIQUE(AC335)</f>
        <v>45016</v>
      </c>
    </row>
    <row r="336" spans="1:40" x14ac:dyDescent="0.35">
      <c r="A336" t="s">
        <v>125</v>
      </c>
      <c r="B336" s="21">
        <v>45452</v>
      </c>
      <c r="C336" s="10">
        <v>45480</v>
      </c>
      <c r="D336" s="3">
        <f t="shared" si="60"/>
        <v>28</v>
      </c>
      <c r="E336" s="10" t="str">
        <f t="shared" si="61"/>
        <v>Q2-2024</v>
      </c>
      <c r="F336" t="s">
        <v>646</v>
      </c>
      <c r="G336" t="s">
        <v>658</v>
      </c>
      <c r="H336" t="s">
        <v>675</v>
      </c>
      <c r="I336" t="s">
        <v>700</v>
      </c>
      <c r="J336" t="s">
        <v>707</v>
      </c>
      <c r="K336" t="s">
        <v>712</v>
      </c>
      <c r="L336" t="s">
        <v>726</v>
      </c>
      <c r="M336" t="s">
        <v>843</v>
      </c>
      <c r="N336" s="3">
        <v>550.22</v>
      </c>
      <c r="O336" s="3">
        <v>1025.05</v>
      </c>
      <c r="P336" s="6">
        <v>0</v>
      </c>
      <c r="Q336" s="6">
        <f>IF(Table1[[#This Row],[DiscountPct]]&gt;25%,25%,Table1[[#This Row],[DiscountPct]])</f>
        <v>0</v>
      </c>
      <c r="R336" s="5">
        <v>27</v>
      </c>
      <c r="S336" s="6">
        <f t="shared" si="62"/>
        <v>0.86298207989531439</v>
      </c>
      <c r="T336" s="8">
        <f t="shared" si="63"/>
        <v>27676.35</v>
      </c>
      <c r="U336" s="8">
        <f t="shared" si="64"/>
        <v>14855.94</v>
      </c>
      <c r="V336" s="9">
        <f t="shared" si="65"/>
        <v>12820.409999999998</v>
      </c>
      <c r="W336" s="6">
        <f t="shared" si="66"/>
        <v>0.46322618408858102</v>
      </c>
      <c r="X336" t="str" cm="1">
        <f t="array" ref="X336">_xlfn.IFS(S336&lt;=25%, "Low", S336&lt;=75%, "Medium", S336&gt;75%, "High")</f>
        <v>High</v>
      </c>
      <c r="Y336" s="8">
        <f>Table1[[#This Row],[Quantity]]*(Table1[[#This Row],[UnitPrice]]*(1-Table1[[#This Row],[DiscountPct]]))</f>
        <v>27676.35</v>
      </c>
      <c r="Z336" s="9">
        <f t="shared" si="67"/>
        <v>12820.409999999998</v>
      </c>
      <c r="AA336">
        <f>COUNTIF($G$2:G337,G336)</f>
        <v>27</v>
      </c>
      <c r="AB336" s="21">
        <f t="shared" si="68"/>
        <v>44988</v>
      </c>
      <c r="AC336" s="21">
        <f t="shared" si="69"/>
        <v>45016</v>
      </c>
      <c r="AD336" s="5">
        <f>(Table1[[#This Row],[OrderDate]]-Table1[[#This Row],[Date of first order]])/30</f>
        <v>15.466666666666667</v>
      </c>
      <c r="AE336" t="str">
        <f t="shared" si="70"/>
        <v>Poor</v>
      </c>
      <c r="AF336">
        <f>COUNTIF(AE$2:AE337,AE336)</f>
        <v>242</v>
      </c>
      <c r="AG336" t="str">
        <f t="shared" si="71"/>
        <v>False</v>
      </c>
      <c r="AH336" s="7">
        <f>Table1[[#This Row],[UnitPrice]]*(1-Table1[[#This Row],[Disc Scenario]])*Table1[[#This Row],[Quantity]]</f>
        <v>27676.35</v>
      </c>
      <c r="AI336">
        <f>ROUNDDOWN((Table1[[#This Row],[Quantity]]*(1+20%)),0)</f>
        <v>32</v>
      </c>
      <c r="AJ336" s="7">
        <f>Table1[[#This Row],[Quantity increase by 20%]]*Table1[[#This Row],[UnitPrice]]</f>
        <v>32801.599999999999</v>
      </c>
      <c r="AK336">
        <f>ROUNDDOWN(Table1[[#This Row],[Quantity]]*(1+20%),0)</f>
        <v>32</v>
      </c>
      <c r="AL336" s="7">
        <f>Table1[[#This Row],[UnitCost]]*(1+15%)</f>
        <v>632.75299999999993</v>
      </c>
      <c r="AM336" s="9">
        <f>Table1[[#This Row],[Quantity]]*Table1[[#This Row],[Cost of unit by inflation 15%]]</f>
        <v>17084.330999999998</v>
      </c>
      <c r="AN336" s="21" cm="1">
        <f t="array" ref="AN336">_xlfn.UNIQUE(AC336)</f>
        <v>45016</v>
      </c>
    </row>
    <row r="337" spans="1:40" x14ac:dyDescent="0.35">
      <c r="A337" t="s">
        <v>126</v>
      </c>
      <c r="B337" s="21">
        <v>45453</v>
      </c>
      <c r="C337" s="10">
        <v>45454</v>
      </c>
      <c r="D337" s="3">
        <f t="shared" si="60"/>
        <v>1</v>
      </c>
      <c r="E337" s="10" t="str">
        <f t="shared" si="61"/>
        <v>Q2-2024</v>
      </c>
      <c r="F337" t="s">
        <v>648</v>
      </c>
      <c r="G337" t="s">
        <v>657</v>
      </c>
      <c r="H337" t="s">
        <v>673</v>
      </c>
      <c r="I337" t="s">
        <v>704</v>
      </c>
      <c r="J337" t="s">
        <v>708</v>
      </c>
      <c r="K337" t="s">
        <v>723</v>
      </c>
      <c r="L337" t="s">
        <v>730</v>
      </c>
      <c r="M337" t="s">
        <v>844</v>
      </c>
      <c r="N337" s="3">
        <v>1187.1300000000001</v>
      </c>
      <c r="O337" s="3">
        <v>1795.17</v>
      </c>
      <c r="P337" s="6">
        <v>1.2E-2</v>
      </c>
      <c r="Q337" s="6">
        <f>IF(Table1[[#This Row],[DiscountPct]]&gt;25%,25%,Table1[[#This Row],[DiscountPct]])</f>
        <v>1.2E-2</v>
      </c>
      <c r="R337" s="5">
        <v>17</v>
      </c>
      <c r="S337" s="6">
        <f t="shared" si="62"/>
        <v>0.51219327285133043</v>
      </c>
      <c r="T337" s="8">
        <f t="shared" si="63"/>
        <v>30151.675319999998</v>
      </c>
      <c r="U337" s="8">
        <f t="shared" si="64"/>
        <v>20181.210000000003</v>
      </c>
      <c r="V337" s="9">
        <f t="shared" si="65"/>
        <v>9970.4653199999957</v>
      </c>
      <c r="W337" s="6">
        <f t="shared" si="66"/>
        <v>0.33067699271046663</v>
      </c>
      <c r="X337" t="str" cm="1">
        <f t="array" ref="X337">_xlfn.IFS(S337&lt;=25%, "Low", S337&lt;=75%, "Medium", S337&gt;75%, "High")</f>
        <v>Medium</v>
      </c>
      <c r="Y337" s="8">
        <f>Table1[[#This Row],[Quantity]]*(Table1[[#This Row],[UnitPrice]]*(1-Table1[[#This Row],[DiscountPct]]))</f>
        <v>30151.675320000002</v>
      </c>
      <c r="Z337" s="9">
        <f t="shared" si="67"/>
        <v>9970.4653199999993</v>
      </c>
      <c r="AA337">
        <f>COUNTIF($G$2:G338,G337)</f>
        <v>29</v>
      </c>
      <c r="AB337" s="21">
        <f t="shared" si="68"/>
        <v>44988</v>
      </c>
      <c r="AC337" s="21">
        <f t="shared" si="69"/>
        <v>45016</v>
      </c>
      <c r="AD337" s="5">
        <f>(Table1[[#This Row],[OrderDate]]-Table1[[#This Row],[Date of first order]])/30</f>
        <v>15.5</v>
      </c>
      <c r="AE337" t="str">
        <f t="shared" si="70"/>
        <v>Good</v>
      </c>
      <c r="AF337">
        <f>COUNTIF(AE$2:AE338,AE337)</f>
        <v>94</v>
      </c>
      <c r="AG337" t="str">
        <f t="shared" si="71"/>
        <v>False</v>
      </c>
      <c r="AH337" s="7">
        <f>Table1[[#This Row],[UnitPrice]]*(1-Table1[[#This Row],[Disc Scenario]])*Table1[[#This Row],[Quantity]]</f>
        <v>30151.675320000002</v>
      </c>
      <c r="AI337">
        <f>ROUNDDOWN((Table1[[#This Row],[Quantity]]*(1+20%)),0)</f>
        <v>20</v>
      </c>
      <c r="AJ337" s="7">
        <f>Table1[[#This Row],[Quantity increase by 20%]]*Table1[[#This Row],[UnitPrice]]</f>
        <v>35903.4</v>
      </c>
      <c r="AK337">
        <f>ROUNDDOWN(Table1[[#This Row],[Quantity]]*(1+20%),0)</f>
        <v>20</v>
      </c>
      <c r="AL337" s="7">
        <f>Table1[[#This Row],[UnitCost]]*(1+15%)</f>
        <v>1365.1994999999999</v>
      </c>
      <c r="AM337" s="9">
        <f>Table1[[#This Row],[Quantity]]*Table1[[#This Row],[Cost of unit by inflation 15%]]</f>
        <v>23208.391499999998</v>
      </c>
      <c r="AN337" s="21" cm="1">
        <f t="array" ref="AN337">_xlfn.UNIQUE(AC337)</f>
        <v>45016</v>
      </c>
    </row>
    <row r="338" spans="1:40" x14ac:dyDescent="0.35">
      <c r="A338" t="s">
        <v>462</v>
      </c>
      <c r="B338" s="21">
        <v>45454</v>
      </c>
      <c r="C338" s="10">
        <v>45482</v>
      </c>
      <c r="D338" s="3">
        <f t="shared" si="60"/>
        <v>28</v>
      </c>
      <c r="E338" s="10" t="str">
        <f t="shared" si="61"/>
        <v>Q2-2024</v>
      </c>
      <c r="F338" t="s">
        <v>645</v>
      </c>
      <c r="G338" t="s">
        <v>650</v>
      </c>
      <c r="H338" t="s">
        <v>662</v>
      </c>
      <c r="I338" t="s">
        <v>700</v>
      </c>
      <c r="J338" t="s">
        <v>708</v>
      </c>
      <c r="K338" t="s">
        <v>713</v>
      </c>
      <c r="L338" t="s">
        <v>729</v>
      </c>
      <c r="M338" t="s">
        <v>1179</v>
      </c>
      <c r="N338" s="3">
        <v>895.54</v>
      </c>
      <c r="O338" s="3">
        <v>1045</v>
      </c>
      <c r="P338" s="6">
        <v>0.216</v>
      </c>
      <c r="Q338" s="6">
        <f>IF(Table1[[#This Row],[DiscountPct]]&gt;25%,25%,Table1[[#This Row],[DiscountPct]])</f>
        <v>0.216</v>
      </c>
      <c r="R338" s="5">
        <v>15</v>
      </c>
      <c r="S338" s="6">
        <f t="shared" si="62"/>
        <v>0.16689371775688416</v>
      </c>
      <c r="T338" s="8">
        <f t="shared" si="63"/>
        <v>12289.2</v>
      </c>
      <c r="U338" s="8">
        <f t="shared" si="64"/>
        <v>13433.099999999999</v>
      </c>
      <c r="V338" s="9">
        <f t="shared" si="65"/>
        <v>-1143.8999999999978</v>
      </c>
      <c r="W338" s="6">
        <f t="shared" si="66"/>
        <v>-9.3081730299775234E-2</v>
      </c>
      <c r="X338" t="str" cm="1">
        <f t="array" ref="X338">_xlfn.IFS(S338&lt;=25%, "Low", S338&lt;=75%, "Medium", S338&gt;75%, "High")</f>
        <v>Low</v>
      </c>
      <c r="Y338" s="8">
        <f>Table1[[#This Row],[Quantity]]*(Table1[[#This Row],[UnitPrice]]*(1-Table1[[#This Row],[DiscountPct]]))</f>
        <v>12289.2</v>
      </c>
      <c r="Z338" s="9">
        <f t="shared" si="67"/>
        <v>-1143.8999999999978</v>
      </c>
      <c r="AA338">
        <f>COUNTIF($G$2:G339,G338)</f>
        <v>24</v>
      </c>
      <c r="AB338" s="21">
        <f t="shared" si="68"/>
        <v>44988</v>
      </c>
      <c r="AC338" s="21">
        <f t="shared" si="69"/>
        <v>45016</v>
      </c>
      <c r="AD338" s="5">
        <f>(Table1[[#This Row],[OrderDate]]-Table1[[#This Row],[Date of first order]])/30</f>
        <v>15.533333333333333</v>
      </c>
      <c r="AE338" t="str">
        <f t="shared" si="70"/>
        <v>Poor</v>
      </c>
      <c r="AF338">
        <f>COUNTIF(AE$2:AE339,AE338)</f>
        <v>244</v>
      </c>
      <c r="AG338" t="str">
        <f t="shared" si="71"/>
        <v>True</v>
      </c>
      <c r="AH338" s="7">
        <f>Table1[[#This Row],[UnitPrice]]*(1-Table1[[#This Row],[Disc Scenario]])*Table1[[#This Row],[Quantity]]</f>
        <v>12289.2</v>
      </c>
      <c r="AI338">
        <f>ROUNDDOWN((Table1[[#This Row],[Quantity]]*(1+20%)),0)</f>
        <v>18</v>
      </c>
      <c r="AJ338" s="7">
        <f>Table1[[#This Row],[Quantity increase by 20%]]*Table1[[#This Row],[UnitPrice]]</f>
        <v>18810</v>
      </c>
      <c r="AK338">
        <f>ROUNDDOWN(Table1[[#This Row],[Quantity]]*(1+20%),0)</f>
        <v>18</v>
      </c>
      <c r="AL338" s="7">
        <f>Table1[[#This Row],[UnitCost]]*(1+15%)</f>
        <v>1029.8709999999999</v>
      </c>
      <c r="AM338" s="9">
        <f>Table1[[#This Row],[Quantity]]*Table1[[#This Row],[Cost of unit by inflation 15%]]</f>
        <v>15448.064999999999</v>
      </c>
      <c r="AN338" s="21" cm="1">
        <f t="array" ref="AN338">_xlfn.UNIQUE(AC338)</f>
        <v>45016</v>
      </c>
    </row>
    <row r="339" spans="1:40" x14ac:dyDescent="0.35">
      <c r="A339" t="s">
        <v>157</v>
      </c>
      <c r="B339" s="21">
        <v>45458</v>
      </c>
      <c r="C339" s="10">
        <v>45479</v>
      </c>
      <c r="D339" s="3">
        <f t="shared" si="60"/>
        <v>21</v>
      </c>
      <c r="E339" s="10" t="str">
        <f t="shared" si="61"/>
        <v>Q2-2024</v>
      </c>
      <c r="F339" t="s">
        <v>647</v>
      </c>
      <c r="G339" t="s">
        <v>652</v>
      </c>
      <c r="H339" t="s">
        <v>666</v>
      </c>
      <c r="I339" t="s">
        <v>705</v>
      </c>
      <c r="J339" t="s">
        <v>709</v>
      </c>
      <c r="K339" t="s">
        <v>715</v>
      </c>
      <c r="L339" t="s">
        <v>727</v>
      </c>
      <c r="M339" t="s">
        <v>875</v>
      </c>
      <c r="N339" s="3">
        <v>817.23</v>
      </c>
      <c r="O339" s="3">
        <v>1467.17</v>
      </c>
      <c r="P339" s="6">
        <v>0.245</v>
      </c>
      <c r="Q339" s="6">
        <f>IF(Table1[[#This Row],[DiscountPct]]&gt;25%,25%,Table1[[#This Row],[DiscountPct]])</f>
        <v>0.245</v>
      </c>
      <c r="R339" s="5">
        <v>9</v>
      </c>
      <c r="S339" s="6">
        <f t="shared" si="62"/>
        <v>0.79529630581354094</v>
      </c>
      <c r="T339" s="8">
        <f t="shared" si="63"/>
        <v>9969.4201499999999</v>
      </c>
      <c r="U339" s="8">
        <f t="shared" si="64"/>
        <v>7355.07</v>
      </c>
      <c r="V339" s="9">
        <f t="shared" si="65"/>
        <v>2614.3501500000002</v>
      </c>
      <c r="W339" s="6">
        <f t="shared" si="66"/>
        <v>0.26223693160328893</v>
      </c>
      <c r="X339" t="str" cm="1">
        <f t="array" ref="X339">_xlfn.IFS(S339&lt;=25%, "Low", S339&lt;=75%, "Medium", S339&gt;75%, "High")</f>
        <v>High</v>
      </c>
      <c r="Y339" s="8">
        <f>Table1[[#This Row],[Quantity]]*(Table1[[#This Row],[UnitPrice]]*(1-Table1[[#This Row],[DiscountPct]]))</f>
        <v>9969.4201499999999</v>
      </c>
      <c r="Z339" s="9">
        <f t="shared" si="67"/>
        <v>2614.3501500000002</v>
      </c>
      <c r="AA339">
        <f>COUNTIF($G$2:G340,G339)</f>
        <v>23</v>
      </c>
      <c r="AB339" s="21">
        <f t="shared" si="68"/>
        <v>44988</v>
      </c>
      <c r="AC339" s="21">
        <f t="shared" si="69"/>
        <v>45016</v>
      </c>
      <c r="AD339" s="5">
        <f>(Table1[[#This Row],[OrderDate]]-Table1[[#This Row],[Date of first order]])/30</f>
        <v>15.666666666666666</v>
      </c>
      <c r="AE339" t="str">
        <f t="shared" si="70"/>
        <v>Poor</v>
      </c>
      <c r="AF339">
        <f>COUNTIF(AE$2:AE340,AE339)</f>
        <v>244</v>
      </c>
      <c r="AG339" t="str">
        <f t="shared" si="71"/>
        <v>True</v>
      </c>
      <c r="AH339" s="7">
        <f>Table1[[#This Row],[UnitPrice]]*(1-Table1[[#This Row],[Disc Scenario]])*Table1[[#This Row],[Quantity]]</f>
        <v>9969.4201499999999</v>
      </c>
      <c r="AI339">
        <f>ROUNDDOWN((Table1[[#This Row],[Quantity]]*(1+20%)),0)</f>
        <v>10</v>
      </c>
      <c r="AJ339" s="7">
        <f>Table1[[#This Row],[Quantity increase by 20%]]*Table1[[#This Row],[UnitPrice]]</f>
        <v>14671.7</v>
      </c>
      <c r="AK339">
        <f>ROUNDDOWN(Table1[[#This Row],[Quantity]]*(1+20%),0)</f>
        <v>10</v>
      </c>
      <c r="AL339" s="7">
        <f>Table1[[#This Row],[UnitCost]]*(1+15%)</f>
        <v>939.81449999999995</v>
      </c>
      <c r="AM339" s="9">
        <f>Table1[[#This Row],[Quantity]]*Table1[[#This Row],[Cost of unit by inflation 15%]]</f>
        <v>8458.3305</v>
      </c>
      <c r="AN339" s="21" cm="1">
        <f t="array" ref="AN339">_xlfn.UNIQUE(AC339)</f>
        <v>45016</v>
      </c>
    </row>
    <row r="340" spans="1:40" x14ac:dyDescent="0.35">
      <c r="A340" t="s">
        <v>601</v>
      </c>
      <c r="B340" s="21">
        <v>45459</v>
      </c>
      <c r="C340" s="10">
        <v>45464</v>
      </c>
      <c r="D340" s="3">
        <f t="shared" si="60"/>
        <v>5</v>
      </c>
      <c r="E340" s="10" t="str">
        <f t="shared" si="61"/>
        <v>Q2-2024</v>
      </c>
      <c r="F340" t="s">
        <v>646</v>
      </c>
      <c r="G340" t="s">
        <v>651</v>
      </c>
      <c r="H340" t="s">
        <v>688</v>
      </c>
      <c r="I340" t="s">
        <v>704</v>
      </c>
      <c r="J340" t="s">
        <v>709</v>
      </c>
      <c r="K340" t="s">
        <v>720</v>
      </c>
      <c r="L340" t="s">
        <v>729</v>
      </c>
      <c r="M340" t="s">
        <v>1317</v>
      </c>
      <c r="N340" s="3">
        <v>1367.13</v>
      </c>
      <c r="O340" s="3">
        <v>3062.01</v>
      </c>
      <c r="P340" s="6">
        <v>0.10299999999999999</v>
      </c>
      <c r="Q340" s="6">
        <f>IF(Table1[[#This Row],[DiscountPct]]&gt;25%,25%,Table1[[#This Row],[DiscountPct]])</f>
        <v>0.10299999999999999</v>
      </c>
      <c r="R340" s="5">
        <v>25</v>
      </c>
      <c r="S340" s="6">
        <f t="shared" si="62"/>
        <v>1.239735796888372</v>
      </c>
      <c r="T340" s="8">
        <f t="shared" si="63"/>
        <v>68665.574250000005</v>
      </c>
      <c r="U340" s="8">
        <f t="shared" si="64"/>
        <v>34178.25</v>
      </c>
      <c r="V340" s="9">
        <f t="shared" si="65"/>
        <v>34487.324250000005</v>
      </c>
      <c r="W340" s="6">
        <f t="shared" si="66"/>
        <v>0.50225057645971705</v>
      </c>
      <c r="X340" t="str" cm="1">
        <f t="array" ref="X340">_xlfn.IFS(S340&lt;=25%, "Low", S340&lt;=75%, "Medium", S340&gt;75%, "High")</f>
        <v>High</v>
      </c>
      <c r="Y340" s="8">
        <f>Table1[[#This Row],[Quantity]]*(Table1[[#This Row],[UnitPrice]]*(1-Table1[[#This Row],[DiscountPct]]))</f>
        <v>68665.574250000005</v>
      </c>
      <c r="Z340" s="9">
        <f t="shared" si="67"/>
        <v>34487.324250000005</v>
      </c>
      <c r="AA340">
        <f>COUNTIF($G$2:G341,G340)</f>
        <v>24</v>
      </c>
      <c r="AB340" s="21">
        <f t="shared" si="68"/>
        <v>44988</v>
      </c>
      <c r="AC340" s="21">
        <f t="shared" si="69"/>
        <v>45016</v>
      </c>
      <c r="AD340" s="5">
        <f>(Table1[[#This Row],[OrderDate]]-Table1[[#This Row],[Date of first order]])/30</f>
        <v>15.7</v>
      </c>
      <c r="AE340" t="str">
        <f t="shared" si="70"/>
        <v>Good</v>
      </c>
      <c r="AF340">
        <f>COUNTIF(AE$2:AE341,AE340)</f>
        <v>95</v>
      </c>
      <c r="AG340" t="str">
        <f t="shared" si="71"/>
        <v>False</v>
      </c>
      <c r="AH340" s="7">
        <f>Table1[[#This Row],[UnitPrice]]*(1-Table1[[#This Row],[Disc Scenario]])*Table1[[#This Row],[Quantity]]</f>
        <v>68665.574250000005</v>
      </c>
      <c r="AI340">
        <f>ROUNDDOWN((Table1[[#This Row],[Quantity]]*(1+20%)),0)</f>
        <v>30</v>
      </c>
      <c r="AJ340" s="7">
        <f>Table1[[#This Row],[Quantity increase by 20%]]*Table1[[#This Row],[UnitPrice]]</f>
        <v>91860.3</v>
      </c>
      <c r="AK340">
        <f>ROUNDDOWN(Table1[[#This Row],[Quantity]]*(1+20%),0)</f>
        <v>30</v>
      </c>
      <c r="AL340" s="7">
        <f>Table1[[#This Row],[UnitCost]]*(1+15%)</f>
        <v>1572.1994999999999</v>
      </c>
      <c r="AM340" s="9">
        <f>Table1[[#This Row],[Quantity]]*Table1[[#This Row],[Cost of unit by inflation 15%]]</f>
        <v>39304.987499999996</v>
      </c>
      <c r="AN340" s="21" cm="1">
        <f t="array" ref="AN340">_xlfn.UNIQUE(AC340)</f>
        <v>45016</v>
      </c>
    </row>
    <row r="341" spans="1:40" x14ac:dyDescent="0.35">
      <c r="A341" t="s">
        <v>291</v>
      </c>
      <c r="B341" s="21">
        <v>45459</v>
      </c>
      <c r="C341" s="10">
        <v>45476</v>
      </c>
      <c r="D341" s="3">
        <f t="shared" si="60"/>
        <v>17</v>
      </c>
      <c r="E341" s="10" t="str">
        <f t="shared" si="61"/>
        <v>Q2-2024</v>
      </c>
      <c r="F341" t="s">
        <v>645</v>
      </c>
      <c r="G341" t="s">
        <v>660</v>
      </c>
      <c r="H341" t="s">
        <v>681</v>
      </c>
      <c r="I341" t="s">
        <v>705</v>
      </c>
      <c r="J341" t="s">
        <v>708</v>
      </c>
      <c r="K341" t="s">
        <v>720</v>
      </c>
      <c r="L341" t="s">
        <v>729</v>
      </c>
      <c r="M341" t="s">
        <v>1009</v>
      </c>
      <c r="N341" s="3">
        <v>1173.83</v>
      </c>
      <c r="O341" s="3">
        <v>2328.9</v>
      </c>
      <c r="P341" s="6">
        <v>0.12</v>
      </c>
      <c r="Q341" s="6">
        <f>IF(Table1[[#This Row],[DiscountPct]]&gt;25%,25%,Table1[[#This Row],[DiscountPct]])</f>
        <v>0.12</v>
      </c>
      <c r="R341" s="5">
        <v>17</v>
      </c>
      <c r="S341" s="6">
        <f t="shared" si="62"/>
        <v>0.98401812868984451</v>
      </c>
      <c r="T341" s="8">
        <f t="shared" si="63"/>
        <v>34840.344000000005</v>
      </c>
      <c r="U341" s="8">
        <f t="shared" si="64"/>
        <v>19955.11</v>
      </c>
      <c r="V341" s="9">
        <f t="shared" si="65"/>
        <v>14885.234000000004</v>
      </c>
      <c r="W341" s="6">
        <f t="shared" si="66"/>
        <v>0.42724130393201637</v>
      </c>
      <c r="X341" t="str" cm="1">
        <f t="array" ref="X341">_xlfn.IFS(S341&lt;=25%, "Low", S341&lt;=75%, "Medium", S341&gt;75%, "High")</f>
        <v>High</v>
      </c>
      <c r="Y341" s="8">
        <f>Table1[[#This Row],[Quantity]]*(Table1[[#This Row],[UnitPrice]]*(1-Table1[[#This Row],[DiscountPct]]))</f>
        <v>34840.344000000005</v>
      </c>
      <c r="Z341" s="9">
        <f t="shared" si="67"/>
        <v>14885.234000000004</v>
      </c>
      <c r="AA341">
        <f>COUNTIF($G$2:G342,G341)</f>
        <v>30</v>
      </c>
      <c r="AB341" s="21">
        <f t="shared" si="68"/>
        <v>44988</v>
      </c>
      <c r="AC341" s="21">
        <f t="shared" si="69"/>
        <v>45016</v>
      </c>
      <c r="AD341" s="5">
        <f>(Table1[[#This Row],[OrderDate]]-Table1[[#This Row],[Date of first order]])/30</f>
        <v>15.7</v>
      </c>
      <c r="AE341" t="str">
        <f t="shared" si="70"/>
        <v>Poor</v>
      </c>
      <c r="AF341">
        <f>COUNTIF(AE$2:AE342,AE341)</f>
        <v>245</v>
      </c>
      <c r="AG341" t="str">
        <f t="shared" si="71"/>
        <v>False</v>
      </c>
      <c r="AH341" s="7">
        <f>Table1[[#This Row],[UnitPrice]]*(1-Table1[[#This Row],[Disc Scenario]])*Table1[[#This Row],[Quantity]]</f>
        <v>34840.344000000005</v>
      </c>
      <c r="AI341">
        <f>ROUNDDOWN((Table1[[#This Row],[Quantity]]*(1+20%)),0)</f>
        <v>20</v>
      </c>
      <c r="AJ341" s="7">
        <f>Table1[[#This Row],[Quantity increase by 20%]]*Table1[[#This Row],[UnitPrice]]</f>
        <v>46578</v>
      </c>
      <c r="AK341">
        <f>ROUNDDOWN(Table1[[#This Row],[Quantity]]*(1+20%),0)</f>
        <v>20</v>
      </c>
      <c r="AL341" s="7">
        <f>Table1[[#This Row],[UnitCost]]*(1+15%)</f>
        <v>1349.9044999999999</v>
      </c>
      <c r="AM341" s="9">
        <f>Table1[[#This Row],[Quantity]]*Table1[[#This Row],[Cost of unit by inflation 15%]]</f>
        <v>22948.376499999998</v>
      </c>
      <c r="AN341" s="21" cm="1">
        <f t="array" ref="AN341">_xlfn.UNIQUE(AC341)</f>
        <v>45016</v>
      </c>
    </row>
    <row r="342" spans="1:40" x14ac:dyDescent="0.35">
      <c r="A342" t="s">
        <v>317</v>
      </c>
      <c r="B342" s="21">
        <v>45462</v>
      </c>
      <c r="C342" s="10">
        <v>45463</v>
      </c>
      <c r="D342" s="3">
        <f t="shared" si="60"/>
        <v>1</v>
      </c>
      <c r="E342" s="10" t="str">
        <f t="shared" si="61"/>
        <v>Q2-2024</v>
      </c>
      <c r="F342" t="s">
        <v>645</v>
      </c>
      <c r="G342" t="s">
        <v>649</v>
      </c>
      <c r="H342" t="s">
        <v>661</v>
      </c>
      <c r="I342" t="s">
        <v>704</v>
      </c>
      <c r="J342" t="s">
        <v>710</v>
      </c>
      <c r="K342" t="s">
        <v>712</v>
      </c>
      <c r="L342" t="s">
        <v>730</v>
      </c>
      <c r="M342" t="s">
        <v>1035</v>
      </c>
      <c r="N342" s="3">
        <v>231.63</v>
      </c>
      <c r="O342" s="3">
        <v>537.39</v>
      </c>
      <c r="P342" s="6">
        <v>0.08</v>
      </c>
      <c r="Q342" s="6">
        <f>IF(Table1[[#This Row],[DiscountPct]]&gt;25%,25%,Table1[[#This Row],[DiscountPct]])</f>
        <v>0.08</v>
      </c>
      <c r="R342" s="5">
        <v>12</v>
      </c>
      <c r="S342" s="6">
        <f t="shared" si="62"/>
        <v>1.3200362647325476</v>
      </c>
      <c r="T342" s="8">
        <f t="shared" si="63"/>
        <v>5932.7856000000002</v>
      </c>
      <c r="U342" s="8">
        <f t="shared" si="64"/>
        <v>2779.56</v>
      </c>
      <c r="V342" s="9">
        <f t="shared" si="65"/>
        <v>3153.2256000000002</v>
      </c>
      <c r="W342" s="6">
        <f t="shared" si="66"/>
        <v>0.53149158129024587</v>
      </c>
      <c r="X342" t="str" cm="1">
        <f t="array" ref="X342">_xlfn.IFS(S342&lt;=25%, "Low", S342&lt;=75%, "Medium", S342&gt;75%, "High")</f>
        <v>High</v>
      </c>
      <c r="Y342" s="8">
        <f>Table1[[#This Row],[Quantity]]*(Table1[[#This Row],[UnitPrice]]*(1-Table1[[#This Row],[DiscountPct]]))</f>
        <v>5932.7856000000002</v>
      </c>
      <c r="Z342" s="9">
        <f t="shared" si="67"/>
        <v>3153.2256000000002</v>
      </c>
      <c r="AA342">
        <f>COUNTIF($G$2:G343,G342)</f>
        <v>31</v>
      </c>
      <c r="AB342" s="21">
        <f t="shared" si="68"/>
        <v>44988</v>
      </c>
      <c r="AC342" s="21">
        <f t="shared" si="69"/>
        <v>45016</v>
      </c>
      <c r="AD342" s="5">
        <f>(Table1[[#This Row],[OrderDate]]-Table1[[#This Row],[Date of first order]])/30</f>
        <v>15.8</v>
      </c>
      <c r="AE342" t="str">
        <f t="shared" si="70"/>
        <v>Good</v>
      </c>
      <c r="AF342">
        <f>COUNTIF(AE$2:AE343,AE342)</f>
        <v>97</v>
      </c>
      <c r="AG342" t="str">
        <f t="shared" si="71"/>
        <v>False</v>
      </c>
      <c r="AH342" s="7">
        <f>Table1[[#This Row],[UnitPrice]]*(1-Table1[[#This Row],[Disc Scenario]])*Table1[[#This Row],[Quantity]]</f>
        <v>5932.7856000000002</v>
      </c>
      <c r="AI342">
        <f>ROUNDDOWN((Table1[[#This Row],[Quantity]]*(1+20%)),0)</f>
        <v>14</v>
      </c>
      <c r="AJ342" s="7">
        <f>Table1[[#This Row],[Quantity increase by 20%]]*Table1[[#This Row],[UnitPrice]]</f>
        <v>7523.46</v>
      </c>
      <c r="AK342">
        <f>ROUNDDOWN(Table1[[#This Row],[Quantity]]*(1+20%),0)</f>
        <v>14</v>
      </c>
      <c r="AL342" s="7">
        <f>Table1[[#This Row],[UnitCost]]*(1+15%)</f>
        <v>266.37449999999995</v>
      </c>
      <c r="AM342" s="9">
        <f>Table1[[#This Row],[Quantity]]*Table1[[#This Row],[Cost of unit by inflation 15%]]</f>
        <v>3196.4939999999997</v>
      </c>
      <c r="AN342" s="21" cm="1">
        <f t="array" ref="AN342">_xlfn.UNIQUE(AC342)</f>
        <v>45016</v>
      </c>
    </row>
    <row r="343" spans="1:40" x14ac:dyDescent="0.35">
      <c r="A343" t="s">
        <v>373</v>
      </c>
      <c r="B343" s="21">
        <v>45466</v>
      </c>
      <c r="C343" s="10">
        <v>45468</v>
      </c>
      <c r="D343" s="3">
        <f t="shared" si="60"/>
        <v>2</v>
      </c>
      <c r="E343" s="10" t="str">
        <f t="shared" si="61"/>
        <v>Q2-2024</v>
      </c>
      <c r="F343" t="s">
        <v>648</v>
      </c>
      <c r="G343" t="s">
        <v>657</v>
      </c>
      <c r="H343" t="s">
        <v>673</v>
      </c>
      <c r="I343" t="s">
        <v>704</v>
      </c>
      <c r="J343" t="s">
        <v>708</v>
      </c>
      <c r="K343" t="s">
        <v>715</v>
      </c>
      <c r="L343" t="s">
        <v>732</v>
      </c>
      <c r="M343" t="s">
        <v>1091</v>
      </c>
      <c r="N343" s="3">
        <v>951.44</v>
      </c>
      <c r="O343" s="3">
        <v>1646.43</v>
      </c>
      <c r="P343" s="6">
        <v>0.11</v>
      </c>
      <c r="Q343" s="6">
        <f>IF(Table1[[#This Row],[DiscountPct]]&gt;25%,25%,Table1[[#This Row],[DiscountPct]])</f>
        <v>0.11</v>
      </c>
      <c r="R343" s="5">
        <v>24</v>
      </c>
      <c r="S343" s="6">
        <f t="shared" si="62"/>
        <v>0.7304611956613134</v>
      </c>
      <c r="T343" s="8">
        <f t="shared" si="63"/>
        <v>35167.7448</v>
      </c>
      <c r="U343" s="8">
        <f t="shared" si="64"/>
        <v>22834.560000000001</v>
      </c>
      <c r="V343" s="9">
        <f t="shared" si="65"/>
        <v>12333.184799999999</v>
      </c>
      <c r="W343" s="6">
        <f t="shared" si="66"/>
        <v>0.35069592520473475</v>
      </c>
      <c r="X343" t="str" cm="1">
        <f t="array" ref="X343">_xlfn.IFS(S343&lt;=25%, "Low", S343&lt;=75%, "Medium", S343&gt;75%, "High")</f>
        <v>Medium</v>
      </c>
      <c r="Y343" s="8">
        <f>Table1[[#This Row],[Quantity]]*(Table1[[#This Row],[UnitPrice]]*(1-Table1[[#This Row],[DiscountPct]]))</f>
        <v>35167.7448</v>
      </c>
      <c r="Z343" s="9">
        <f t="shared" si="67"/>
        <v>12333.184799999999</v>
      </c>
      <c r="AA343">
        <f>COUNTIF($G$2:G344,G343)</f>
        <v>30</v>
      </c>
      <c r="AB343" s="21">
        <f t="shared" si="68"/>
        <v>44988</v>
      </c>
      <c r="AC343" s="21">
        <f t="shared" si="69"/>
        <v>45016</v>
      </c>
      <c r="AD343" s="5">
        <f>(Table1[[#This Row],[OrderDate]]-Table1[[#This Row],[Date of first order]])/30</f>
        <v>15.933333333333334</v>
      </c>
      <c r="AE343" t="str">
        <f t="shared" si="70"/>
        <v>Good</v>
      </c>
      <c r="AF343">
        <f>COUNTIF(AE$2:AE344,AE343)</f>
        <v>98</v>
      </c>
      <c r="AG343" t="str">
        <f t="shared" si="71"/>
        <v>False</v>
      </c>
      <c r="AH343" s="7">
        <f>Table1[[#This Row],[UnitPrice]]*(1-Table1[[#This Row],[Disc Scenario]])*Table1[[#This Row],[Quantity]]</f>
        <v>35167.7448</v>
      </c>
      <c r="AI343">
        <f>ROUNDDOWN((Table1[[#This Row],[Quantity]]*(1+20%)),0)</f>
        <v>28</v>
      </c>
      <c r="AJ343" s="7">
        <f>Table1[[#This Row],[Quantity increase by 20%]]*Table1[[#This Row],[UnitPrice]]</f>
        <v>46100.04</v>
      </c>
      <c r="AK343">
        <f>ROUNDDOWN(Table1[[#This Row],[Quantity]]*(1+20%),0)</f>
        <v>28</v>
      </c>
      <c r="AL343" s="7">
        <f>Table1[[#This Row],[UnitCost]]*(1+15%)</f>
        <v>1094.1559999999999</v>
      </c>
      <c r="AM343" s="9">
        <f>Table1[[#This Row],[Quantity]]*Table1[[#This Row],[Cost of unit by inflation 15%]]</f>
        <v>26259.743999999999</v>
      </c>
      <c r="AN343" s="21" cm="1">
        <f t="array" ref="AN343">_xlfn.UNIQUE(AC343)</f>
        <v>45016</v>
      </c>
    </row>
    <row r="344" spans="1:40" x14ac:dyDescent="0.35">
      <c r="A344" t="s">
        <v>479</v>
      </c>
      <c r="B344" s="21">
        <v>45466</v>
      </c>
      <c r="C344" s="10">
        <v>45471</v>
      </c>
      <c r="D344" s="3">
        <f t="shared" si="60"/>
        <v>5</v>
      </c>
      <c r="E344" s="10" t="str">
        <f t="shared" si="61"/>
        <v>Q2-2024</v>
      </c>
      <c r="F344" t="s">
        <v>645</v>
      </c>
      <c r="G344" t="s">
        <v>650</v>
      </c>
      <c r="H344" t="s">
        <v>662</v>
      </c>
      <c r="I344" t="s">
        <v>702</v>
      </c>
      <c r="J344" t="s">
        <v>710</v>
      </c>
      <c r="K344" t="s">
        <v>723</v>
      </c>
      <c r="L344" t="s">
        <v>732</v>
      </c>
      <c r="M344" t="s">
        <v>1196</v>
      </c>
      <c r="N344" s="3">
        <v>242.31</v>
      </c>
      <c r="O344" s="3">
        <v>587.95000000000005</v>
      </c>
      <c r="P344" s="6">
        <v>0.22900000000000001</v>
      </c>
      <c r="Q344" s="6">
        <f>IF(Table1[[#This Row],[DiscountPct]]&gt;25%,25%,Table1[[#This Row],[DiscountPct]])</f>
        <v>0.22900000000000001</v>
      </c>
      <c r="R344" s="5">
        <v>6</v>
      </c>
      <c r="S344" s="6">
        <f t="shared" si="62"/>
        <v>1.426437208534522</v>
      </c>
      <c r="T344" s="8">
        <f t="shared" si="63"/>
        <v>2719.8567000000003</v>
      </c>
      <c r="U344" s="8">
        <f t="shared" si="64"/>
        <v>1453.8600000000001</v>
      </c>
      <c r="V344" s="9">
        <f t="shared" si="65"/>
        <v>1265.9967000000001</v>
      </c>
      <c r="W344" s="6">
        <f t="shared" si="66"/>
        <v>0.46546448568411714</v>
      </c>
      <c r="X344" t="str" cm="1">
        <f t="array" ref="X344">_xlfn.IFS(S344&lt;=25%, "Low", S344&lt;=75%, "Medium", S344&gt;75%, "High")</f>
        <v>High</v>
      </c>
      <c r="Y344" s="8">
        <f>Table1[[#This Row],[Quantity]]*(Table1[[#This Row],[UnitPrice]]*(1-Table1[[#This Row],[DiscountPct]]))</f>
        <v>2719.8567000000003</v>
      </c>
      <c r="Z344" s="9">
        <f t="shared" si="67"/>
        <v>1265.9967000000001</v>
      </c>
      <c r="AA344">
        <f>COUNTIF($G$2:G345,G344)</f>
        <v>25</v>
      </c>
      <c r="AB344" s="21">
        <f t="shared" si="68"/>
        <v>44988</v>
      </c>
      <c r="AC344" s="21">
        <f t="shared" si="69"/>
        <v>45016</v>
      </c>
      <c r="AD344" s="5">
        <f>(Table1[[#This Row],[OrderDate]]-Table1[[#This Row],[Date of first order]])/30</f>
        <v>15.933333333333334</v>
      </c>
      <c r="AE344" t="str">
        <f t="shared" si="70"/>
        <v>Good</v>
      </c>
      <c r="AF344">
        <f>COUNTIF(AE$2:AE345,AE344)</f>
        <v>99</v>
      </c>
      <c r="AG344" t="str">
        <f t="shared" si="71"/>
        <v>True</v>
      </c>
      <c r="AH344" s="7">
        <f>Table1[[#This Row],[UnitPrice]]*(1-Table1[[#This Row],[Disc Scenario]])*Table1[[#This Row],[Quantity]]</f>
        <v>2719.8567000000003</v>
      </c>
      <c r="AI344">
        <f>ROUNDDOWN((Table1[[#This Row],[Quantity]]*(1+20%)),0)</f>
        <v>7</v>
      </c>
      <c r="AJ344" s="7">
        <f>Table1[[#This Row],[Quantity increase by 20%]]*Table1[[#This Row],[UnitPrice]]</f>
        <v>4115.6500000000005</v>
      </c>
      <c r="AK344">
        <f>ROUNDDOWN(Table1[[#This Row],[Quantity]]*(1+20%),0)</f>
        <v>7</v>
      </c>
      <c r="AL344" s="7">
        <f>Table1[[#This Row],[UnitCost]]*(1+15%)</f>
        <v>278.65649999999999</v>
      </c>
      <c r="AM344" s="9">
        <f>Table1[[#This Row],[Quantity]]*Table1[[#This Row],[Cost of unit by inflation 15%]]</f>
        <v>1671.9389999999999</v>
      </c>
      <c r="AN344" s="21" cm="1">
        <f t="array" ref="AN344">_xlfn.UNIQUE(AC344)</f>
        <v>45016</v>
      </c>
    </row>
    <row r="345" spans="1:40" x14ac:dyDescent="0.35">
      <c r="A345" t="s">
        <v>626</v>
      </c>
      <c r="B345" s="21">
        <v>45468</v>
      </c>
      <c r="C345" s="10">
        <v>45473</v>
      </c>
      <c r="D345" s="3">
        <f t="shared" si="60"/>
        <v>5</v>
      </c>
      <c r="E345" s="10" t="str">
        <f t="shared" si="61"/>
        <v>Q2-2024</v>
      </c>
      <c r="F345" t="s">
        <v>645</v>
      </c>
      <c r="G345" t="s">
        <v>649</v>
      </c>
      <c r="H345" t="s">
        <v>661</v>
      </c>
      <c r="I345" t="s">
        <v>701</v>
      </c>
      <c r="J345" t="s">
        <v>710</v>
      </c>
      <c r="K345" t="s">
        <v>723</v>
      </c>
      <c r="L345" t="s">
        <v>728</v>
      </c>
      <c r="M345" t="s">
        <v>1342</v>
      </c>
      <c r="N345" s="3">
        <v>1323.55</v>
      </c>
      <c r="O345" s="3">
        <v>3230.35</v>
      </c>
      <c r="P345" s="6">
        <v>2.1999999999999999E-2</v>
      </c>
      <c r="Q345" s="6">
        <f>IF(Table1[[#This Row],[DiscountPct]]&gt;25%,25%,Table1[[#This Row],[DiscountPct]])</f>
        <v>2.1999999999999999E-2</v>
      </c>
      <c r="R345" s="5">
        <v>26</v>
      </c>
      <c r="S345" s="6">
        <f t="shared" si="62"/>
        <v>1.4406709228967549</v>
      </c>
      <c r="T345" s="8">
        <f t="shared" si="63"/>
        <v>82141.339799999987</v>
      </c>
      <c r="U345" s="8">
        <f t="shared" si="64"/>
        <v>34412.299999999996</v>
      </c>
      <c r="V345" s="9">
        <f t="shared" si="65"/>
        <v>47729.039799999991</v>
      </c>
      <c r="W345" s="6">
        <f t="shared" si="66"/>
        <v>0.58105991351263542</v>
      </c>
      <c r="X345" t="str" cm="1">
        <f t="array" ref="X345">_xlfn.IFS(S345&lt;=25%, "Low", S345&lt;=75%, "Medium", S345&gt;75%, "High")</f>
        <v>High</v>
      </c>
      <c r="Y345" s="8">
        <f>Table1[[#This Row],[Quantity]]*(Table1[[#This Row],[UnitPrice]]*(1-Table1[[#This Row],[DiscountPct]]))</f>
        <v>82141.339800000002</v>
      </c>
      <c r="Z345" s="9">
        <f t="shared" si="67"/>
        <v>47729.039800000006</v>
      </c>
      <c r="AA345">
        <f>COUNTIF($G$2:G346,G345)</f>
        <v>32</v>
      </c>
      <c r="AB345" s="21">
        <f t="shared" si="68"/>
        <v>44988</v>
      </c>
      <c r="AC345" s="21">
        <f t="shared" si="69"/>
        <v>45016</v>
      </c>
      <c r="AD345" s="5">
        <f>(Table1[[#This Row],[OrderDate]]-Table1[[#This Row],[Date of first order]])/30</f>
        <v>16</v>
      </c>
      <c r="AE345" t="str">
        <f t="shared" si="70"/>
        <v>Good</v>
      </c>
      <c r="AF345">
        <f>COUNTIF(AE$2:AE346,AE345)</f>
        <v>100</v>
      </c>
      <c r="AG345" t="str">
        <f t="shared" si="71"/>
        <v>False</v>
      </c>
      <c r="AH345" s="7">
        <f>Table1[[#This Row],[UnitPrice]]*(1-Table1[[#This Row],[Disc Scenario]])*Table1[[#This Row],[Quantity]]</f>
        <v>82141.339800000002</v>
      </c>
      <c r="AI345">
        <f>ROUNDDOWN((Table1[[#This Row],[Quantity]]*(1+20%)),0)</f>
        <v>31</v>
      </c>
      <c r="AJ345" s="7">
        <f>Table1[[#This Row],[Quantity increase by 20%]]*Table1[[#This Row],[UnitPrice]]</f>
        <v>100140.84999999999</v>
      </c>
      <c r="AK345">
        <f>ROUNDDOWN(Table1[[#This Row],[Quantity]]*(1+20%),0)</f>
        <v>31</v>
      </c>
      <c r="AL345" s="7">
        <f>Table1[[#This Row],[UnitCost]]*(1+15%)</f>
        <v>1522.0824999999998</v>
      </c>
      <c r="AM345" s="9">
        <f>Table1[[#This Row],[Quantity]]*Table1[[#This Row],[Cost of unit by inflation 15%]]</f>
        <v>39574.144999999997</v>
      </c>
      <c r="AN345" s="21" cm="1">
        <f t="array" ref="AN345">_xlfn.UNIQUE(AC345)</f>
        <v>45016</v>
      </c>
    </row>
    <row r="346" spans="1:40" x14ac:dyDescent="0.35">
      <c r="A346" t="s">
        <v>92</v>
      </c>
      <c r="B346" s="21">
        <v>45471</v>
      </c>
      <c r="C346" s="10">
        <v>45473</v>
      </c>
      <c r="D346" s="3">
        <f t="shared" si="60"/>
        <v>2</v>
      </c>
      <c r="E346" s="10" t="str">
        <f t="shared" si="61"/>
        <v>Q2-2024</v>
      </c>
      <c r="F346" t="s">
        <v>647</v>
      </c>
      <c r="G346" t="s">
        <v>654</v>
      </c>
      <c r="H346" t="s">
        <v>691</v>
      </c>
      <c r="I346" t="s">
        <v>704</v>
      </c>
      <c r="J346" t="s">
        <v>710</v>
      </c>
      <c r="K346" t="s">
        <v>715</v>
      </c>
      <c r="L346" t="s">
        <v>732</v>
      </c>
      <c r="M346" t="s">
        <v>810</v>
      </c>
      <c r="N346" s="3">
        <v>1112.98</v>
      </c>
      <c r="O346" s="3">
        <v>2095.73</v>
      </c>
      <c r="P346" s="6">
        <v>7.1999999999999995E-2</v>
      </c>
      <c r="Q346" s="6">
        <f>IF(Table1[[#This Row],[DiscountPct]]&gt;25%,25%,Table1[[#This Row],[DiscountPct]])</f>
        <v>7.1999999999999995E-2</v>
      </c>
      <c r="R346" s="5">
        <v>17</v>
      </c>
      <c r="S346" s="6">
        <f t="shared" si="62"/>
        <v>0.88298981113766639</v>
      </c>
      <c r="T346" s="8">
        <f t="shared" si="63"/>
        <v>33062.236480000007</v>
      </c>
      <c r="U346" s="8">
        <f t="shared" si="64"/>
        <v>18920.66</v>
      </c>
      <c r="V346" s="9">
        <f t="shared" si="65"/>
        <v>14141.576480000007</v>
      </c>
      <c r="W346" s="6">
        <f t="shared" si="66"/>
        <v>0.42772594916724777</v>
      </c>
      <c r="X346" t="str" cm="1">
        <f t="array" ref="X346">_xlfn.IFS(S346&lt;=25%, "Low", S346&lt;=75%, "Medium", S346&gt;75%, "High")</f>
        <v>High</v>
      </c>
      <c r="Y346" s="8">
        <f>Table1[[#This Row],[Quantity]]*(Table1[[#This Row],[UnitPrice]]*(1-Table1[[#This Row],[DiscountPct]]))</f>
        <v>33062.23648</v>
      </c>
      <c r="Z346" s="9">
        <f t="shared" si="67"/>
        <v>14141.57648</v>
      </c>
      <c r="AA346">
        <f>COUNTIF($G$2:G347,G346)</f>
        <v>32</v>
      </c>
      <c r="AB346" s="21">
        <f t="shared" si="68"/>
        <v>44988</v>
      </c>
      <c r="AC346" s="21">
        <f t="shared" si="69"/>
        <v>45016</v>
      </c>
      <c r="AD346" s="5">
        <f>(Table1[[#This Row],[OrderDate]]-Table1[[#This Row],[Date of first order]])/30</f>
        <v>16.100000000000001</v>
      </c>
      <c r="AE346" t="str">
        <f t="shared" si="70"/>
        <v>Good</v>
      </c>
      <c r="AF346">
        <f>COUNTIF(AE$2:AE347,AE346)</f>
        <v>100</v>
      </c>
      <c r="AG346" t="str">
        <f t="shared" si="71"/>
        <v>False</v>
      </c>
      <c r="AH346" s="7">
        <f>Table1[[#This Row],[UnitPrice]]*(1-Table1[[#This Row],[Disc Scenario]])*Table1[[#This Row],[Quantity]]</f>
        <v>33062.23648</v>
      </c>
      <c r="AI346">
        <f>ROUNDDOWN((Table1[[#This Row],[Quantity]]*(1+20%)),0)</f>
        <v>20</v>
      </c>
      <c r="AJ346" s="7">
        <f>Table1[[#This Row],[Quantity increase by 20%]]*Table1[[#This Row],[UnitPrice]]</f>
        <v>41914.6</v>
      </c>
      <c r="AK346">
        <f>ROUNDDOWN(Table1[[#This Row],[Quantity]]*(1+20%),0)</f>
        <v>20</v>
      </c>
      <c r="AL346" s="7">
        <f>Table1[[#This Row],[UnitCost]]*(1+15%)</f>
        <v>1279.9269999999999</v>
      </c>
      <c r="AM346" s="9">
        <f>Table1[[#This Row],[Quantity]]*Table1[[#This Row],[Cost of unit by inflation 15%]]</f>
        <v>21758.758999999998</v>
      </c>
      <c r="AN346" s="21" cm="1">
        <f t="array" ref="AN346">_xlfn.UNIQUE(AC346)</f>
        <v>45016</v>
      </c>
    </row>
    <row r="347" spans="1:40" x14ac:dyDescent="0.35">
      <c r="A347" t="s">
        <v>127</v>
      </c>
      <c r="B347" s="21">
        <v>45472</v>
      </c>
      <c r="C347" s="10">
        <v>45499</v>
      </c>
      <c r="D347" s="3">
        <f t="shared" si="60"/>
        <v>27</v>
      </c>
      <c r="E347" s="10" t="str">
        <f t="shared" si="61"/>
        <v>Q2-2024</v>
      </c>
      <c r="F347" t="s">
        <v>645</v>
      </c>
      <c r="G347" t="s">
        <v>660</v>
      </c>
      <c r="H347" t="s">
        <v>686</v>
      </c>
      <c r="I347" t="s">
        <v>705</v>
      </c>
      <c r="J347" t="s">
        <v>709</v>
      </c>
      <c r="K347" t="s">
        <v>716</v>
      </c>
      <c r="L347" t="s">
        <v>728</v>
      </c>
      <c r="M347" t="s">
        <v>845</v>
      </c>
      <c r="N347" s="3">
        <v>5.36</v>
      </c>
      <c r="O347" s="3">
        <v>10.237600000000002</v>
      </c>
      <c r="P347" s="6">
        <v>0.11799999999999999</v>
      </c>
      <c r="Q347" s="6">
        <f>IF(Table1[[#This Row],[DiscountPct]]&gt;25%,25%,Table1[[#This Row],[DiscountPct]])</f>
        <v>0.11799999999999999</v>
      </c>
      <c r="R347" s="5">
        <v>9</v>
      </c>
      <c r="S347" s="6">
        <f t="shared" si="62"/>
        <v>0.91000000000000025</v>
      </c>
      <c r="T347" s="8">
        <f t="shared" si="63"/>
        <v>81.266068800000014</v>
      </c>
      <c r="U347" s="8">
        <f t="shared" si="64"/>
        <v>48.24</v>
      </c>
      <c r="V347" s="9">
        <f t="shared" si="65"/>
        <v>33.026068800000012</v>
      </c>
      <c r="W347" s="6">
        <f t="shared" si="66"/>
        <v>0.40639432038085749</v>
      </c>
      <c r="X347" t="str" cm="1">
        <f t="array" ref="X347">_xlfn.IFS(S347&lt;=25%, "Low", S347&lt;=75%, "Medium", S347&gt;75%, "High")</f>
        <v>High</v>
      </c>
      <c r="Y347" s="8">
        <f>Table1[[#This Row],[Quantity]]*(Table1[[#This Row],[UnitPrice]]*(1-Table1[[#This Row],[DiscountPct]]))</f>
        <v>81.266068800000014</v>
      </c>
      <c r="Z347" s="9">
        <f t="shared" si="67"/>
        <v>33.026068800000012</v>
      </c>
      <c r="AA347">
        <f>COUNTIF($G$2:G348,G347)</f>
        <v>31</v>
      </c>
      <c r="AB347" s="21">
        <f t="shared" si="68"/>
        <v>44988</v>
      </c>
      <c r="AC347" s="21">
        <f t="shared" si="69"/>
        <v>45016</v>
      </c>
      <c r="AD347" s="5">
        <f>(Table1[[#This Row],[OrderDate]]-Table1[[#This Row],[Date of first order]])/30</f>
        <v>16.133333333333333</v>
      </c>
      <c r="AE347" t="str">
        <f t="shared" si="70"/>
        <v>Poor</v>
      </c>
      <c r="AF347">
        <f>COUNTIF(AE$2:AE348,AE347)</f>
        <v>247</v>
      </c>
      <c r="AG347" t="str">
        <f t="shared" si="71"/>
        <v>False</v>
      </c>
      <c r="AH347" s="7">
        <f>Table1[[#This Row],[UnitPrice]]*(1-Table1[[#This Row],[Disc Scenario]])*Table1[[#This Row],[Quantity]]</f>
        <v>81.266068800000014</v>
      </c>
      <c r="AI347">
        <f>ROUNDDOWN((Table1[[#This Row],[Quantity]]*(1+20%)),0)</f>
        <v>10</v>
      </c>
      <c r="AJ347" s="7">
        <f>Table1[[#This Row],[Quantity increase by 20%]]*Table1[[#This Row],[UnitPrice]]</f>
        <v>102.37600000000002</v>
      </c>
      <c r="AK347">
        <f>ROUNDDOWN(Table1[[#This Row],[Quantity]]*(1+20%),0)</f>
        <v>10</v>
      </c>
      <c r="AL347" s="7">
        <f>Table1[[#This Row],[UnitCost]]*(1+15%)</f>
        <v>6.1639999999999997</v>
      </c>
      <c r="AM347" s="9">
        <f>Table1[[#This Row],[Quantity]]*Table1[[#This Row],[Cost of unit by inflation 15%]]</f>
        <v>55.475999999999999</v>
      </c>
      <c r="AN347" s="21" cm="1">
        <f t="array" ref="AN347">_xlfn.UNIQUE(AC347)</f>
        <v>45016</v>
      </c>
    </row>
    <row r="348" spans="1:40" x14ac:dyDescent="0.35">
      <c r="A348" t="s">
        <v>608</v>
      </c>
      <c r="B348" s="21">
        <v>45473</v>
      </c>
      <c r="C348" s="10">
        <v>45494</v>
      </c>
      <c r="D348" s="3">
        <f t="shared" si="60"/>
        <v>21</v>
      </c>
      <c r="E348" s="10" t="str">
        <f t="shared" si="61"/>
        <v>Q2-2024</v>
      </c>
      <c r="F348" t="s">
        <v>645</v>
      </c>
      <c r="G348" t="s">
        <v>649</v>
      </c>
      <c r="H348" t="s">
        <v>661</v>
      </c>
      <c r="I348" t="s">
        <v>704</v>
      </c>
      <c r="J348" t="s">
        <v>706</v>
      </c>
      <c r="K348" t="s">
        <v>722</v>
      </c>
      <c r="L348" t="s">
        <v>730</v>
      </c>
      <c r="M348" t="s">
        <v>1324</v>
      </c>
      <c r="N348" s="3">
        <v>753.43</v>
      </c>
      <c r="O348" s="3">
        <v>1787.2</v>
      </c>
      <c r="P348" s="6">
        <v>7.2999999999999995E-2</v>
      </c>
      <c r="Q348" s="6">
        <f>IF(Table1[[#This Row],[DiscountPct]]&gt;25%,25%,Table1[[#This Row],[DiscountPct]])</f>
        <v>7.2999999999999995E-2</v>
      </c>
      <c r="R348" s="5">
        <v>9</v>
      </c>
      <c r="S348" s="6">
        <f t="shared" si="62"/>
        <v>1.3720849979427419</v>
      </c>
      <c r="T348" s="8">
        <f t="shared" si="63"/>
        <v>14910.609600000002</v>
      </c>
      <c r="U348" s="8">
        <f t="shared" si="64"/>
        <v>6780.87</v>
      </c>
      <c r="V348" s="9">
        <f t="shared" si="65"/>
        <v>8129.7396000000017</v>
      </c>
      <c r="W348" s="6">
        <f t="shared" si="66"/>
        <v>0.54523187301476939</v>
      </c>
      <c r="X348" t="str" cm="1">
        <f t="array" ref="X348">_xlfn.IFS(S348&lt;=25%, "Low", S348&lt;=75%, "Medium", S348&gt;75%, "High")</f>
        <v>High</v>
      </c>
      <c r="Y348" s="8">
        <f>Table1[[#This Row],[Quantity]]*(Table1[[#This Row],[UnitPrice]]*(1-Table1[[#This Row],[DiscountPct]]))</f>
        <v>14910.6096</v>
      </c>
      <c r="Z348" s="9">
        <f t="shared" si="67"/>
        <v>8129.7395999999999</v>
      </c>
      <c r="AA348">
        <f>COUNTIF($G$2:G349,G348)</f>
        <v>33</v>
      </c>
      <c r="AB348" s="21">
        <f t="shared" si="68"/>
        <v>44988</v>
      </c>
      <c r="AC348" s="21">
        <f t="shared" si="69"/>
        <v>45016</v>
      </c>
      <c r="AD348" s="5">
        <f>(Table1[[#This Row],[OrderDate]]-Table1[[#This Row],[Date of first order]])/30</f>
        <v>16.166666666666668</v>
      </c>
      <c r="AE348" t="str">
        <f t="shared" si="70"/>
        <v>Poor</v>
      </c>
      <c r="AF348">
        <f>COUNTIF(AE$2:AE349,AE348)</f>
        <v>248</v>
      </c>
      <c r="AG348" t="str">
        <f t="shared" si="71"/>
        <v>False</v>
      </c>
      <c r="AH348" s="7">
        <f>Table1[[#This Row],[UnitPrice]]*(1-Table1[[#This Row],[Disc Scenario]])*Table1[[#This Row],[Quantity]]</f>
        <v>14910.6096</v>
      </c>
      <c r="AI348">
        <f>ROUNDDOWN((Table1[[#This Row],[Quantity]]*(1+20%)),0)</f>
        <v>10</v>
      </c>
      <c r="AJ348" s="7">
        <f>Table1[[#This Row],[Quantity increase by 20%]]*Table1[[#This Row],[UnitPrice]]</f>
        <v>17872</v>
      </c>
      <c r="AK348">
        <f>ROUNDDOWN(Table1[[#This Row],[Quantity]]*(1+20%),0)</f>
        <v>10</v>
      </c>
      <c r="AL348" s="7">
        <f>Table1[[#This Row],[UnitCost]]*(1+15%)</f>
        <v>866.44449999999983</v>
      </c>
      <c r="AM348" s="9">
        <f>Table1[[#This Row],[Quantity]]*Table1[[#This Row],[Cost of unit by inflation 15%]]</f>
        <v>7798.0004999999983</v>
      </c>
      <c r="AN348" s="21" cm="1">
        <f t="array" ref="AN348">_xlfn.UNIQUE(AC348)</f>
        <v>45016</v>
      </c>
    </row>
    <row r="349" spans="1:40" x14ac:dyDescent="0.35">
      <c r="A349" t="s">
        <v>40</v>
      </c>
      <c r="B349" s="21">
        <v>45473</v>
      </c>
      <c r="C349" s="10">
        <v>45487</v>
      </c>
      <c r="D349" s="3">
        <f t="shared" si="60"/>
        <v>14</v>
      </c>
      <c r="E349" s="10" t="str">
        <f t="shared" si="61"/>
        <v>Q2-2024</v>
      </c>
      <c r="F349" t="s">
        <v>647</v>
      </c>
      <c r="G349" t="s">
        <v>654</v>
      </c>
      <c r="H349" t="s">
        <v>671</v>
      </c>
      <c r="I349" t="s">
        <v>701</v>
      </c>
      <c r="J349" t="s">
        <v>706</v>
      </c>
      <c r="K349" t="s">
        <v>711</v>
      </c>
      <c r="L349" t="s">
        <v>732</v>
      </c>
      <c r="M349" t="s">
        <v>758</v>
      </c>
      <c r="N349" s="3">
        <v>1491.85</v>
      </c>
      <c r="O349" s="3">
        <v>2583.02</v>
      </c>
      <c r="P349" s="6">
        <v>0.16800000000000001</v>
      </c>
      <c r="Q349" s="6">
        <f>IF(Table1[[#This Row],[DiscountPct]]&gt;25%,25%,Table1[[#This Row],[DiscountPct]])</f>
        <v>0.16800000000000001</v>
      </c>
      <c r="R349" s="5">
        <v>4</v>
      </c>
      <c r="S349" s="6">
        <f t="shared" si="62"/>
        <v>0.73142071924121066</v>
      </c>
      <c r="T349" s="8">
        <f t="shared" si="63"/>
        <v>8596.2905599999995</v>
      </c>
      <c r="U349" s="8">
        <f t="shared" si="64"/>
        <v>5967.4</v>
      </c>
      <c r="V349" s="9">
        <f t="shared" si="65"/>
        <v>2628.8905599999998</v>
      </c>
      <c r="W349" s="6">
        <f t="shared" si="66"/>
        <v>0.30581685689321325</v>
      </c>
      <c r="X349" t="str" cm="1">
        <f t="array" ref="X349">_xlfn.IFS(S349&lt;=25%, "Low", S349&lt;=75%, "Medium", S349&gt;75%, "High")</f>
        <v>Medium</v>
      </c>
      <c r="Y349" s="8">
        <f>Table1[[#This Row],[Quantity]]*(Table1[[#This Row],[UnitPrice]]*(1-Table1[[#This Row],[DiscountPct]]))</f>
        <v>8596.2905599999995</v>
      </c>
      <c r="Z349" s="9">
        <f t="shared" si="67"/>
        <v>2628.8905599999998</v>
      </c>
      <c r="AA349">
        <f>COUNTIF($G$2:G350,G349)</f>
        <v>33</v>
      </c>
      <c r="AB349" s="21">
        <f t="shared" si="68"/>
        <v>44988</v>
      </c>
      <c r="AC349" s="21">
        <f t="shared" si="69"/>
        <v>45016</v>
      </c>
      <c r="AD349" s="5">
        <f>(Table1[[#This Row],[OrderDate]]-Table1[[#This Row],[Date of first order]])/30</f>
        <v>16.166666666666668</v>
      </c>
      <c r="AE349" t="str">
        <f t="shared" si="70"/>
        <v>Poor</v>
      </c>
      <c r="AF349">
        <f>COUNTIF(AE$2:AE350,AE349)</f>
        <v>248</v>
      </c>
      <c r="AG349" t="str">
        <f t="shared" si="71"/>
        <v>False</v>
      </c>
      <c r="AH349" s="7">
        <f>Table1[[#This Row],[UnitPrice]]*(1-Table1[[#This Row],[Disc Scenario]])*Table1[[#This Row],[Quantity]]</f>
        <v>8596.2905599999995</v>
      </c>
      <c r="AI349">
        <f>ROUNDDOWN((Table1[[#This Row],[Quantity]]*(1+20%)),0)</f>
        <v>4</v>
      </c>
      <c r="AJ349" s="7">
        <f>Table1[[#This Row],[Quantity increase by 20%]]*Table1[[#This Row],[UnitPrice]]</f>
        <v>10332.08</v>
      </c>
      <c r="AK349">
        <f>ROUNDDOWN(Table1[[#This Row],[Quantity]]*(1+20%),0)</f>
        <v>4</v>
      </c>
      <c r="AL349" s="7">
        <f>Table1[[#This Row],[UnitCost]]*(1+15%)</f>
        <v>1715.6274999999998</v>
      </c>
      <c r="AM349" s="9">
        <f>Table1[[#This Row],[Quantity]]*Table1[[#This Row],[Cost of unit by inflation 15%]]</f>
        <v>6862.5099999999993</v>
      </c>
      <c r="AN349" s="21" cm="1">
        <f t="array" ref="AN349">_xlfn.UNIQUE(AC349)</f>
        <v>45016</v>
      </c>
    </row>
    <row r="350" spans="1:40" x14ac:dyDescent="0.35">
      <c r="A350" t="s">
        <v>535</v>
      </c>
      <c r="B350" s="21">
        <v>45482</v>
      </c>
      <c r="C350" s="10">
        <v>45485</v>
      </c>
      <c r="D350" s="3">
        <f t="shared" si="60"/>
        <v>3</v>
      </c>
      <c r="E350" s="10" t="str">
        <f t="shared" si="61"/>
        <v>Q3-2024</v>
      </c>
      <c r="F350" t="s">
        <v>646</v>
      </c>
      <c r="G350" t="s">
        <v>658</v>
      </c>
      <c r="H350" t="s">
        <v>684</v>
      </c>
      <c r="I350" t="s">
        <v>704</v>
      </c>
      <c r="J350" t="s">
        <v>706</v>
      </c>
      <c r="K350" t="s">
        <v>725</v>
      </c>
      <c r="L350" t="s">
        <v>732</v>
      </c>
      <c r="M350" t="s">
        <v>1252</v>
      </c>
      <c r="N350" s="3">
        <v>748.39</v>
      </c>
      <c r="O350" s="3">
        <v>979.42</v>
      </c>
      <c r="P350" s="6">
        <v>0</v>
      </c>
      <c r="Q350" s="6">
        <f>IF(Table1[[#This Row],[DiscountPct]]&gt;25%,25%,Table1[[#This Row],[DiscountPct]])</f>
        <v>0</v>
      </c>
      <c r="R350" s="5">
        <v>23</v>
      </c>
      <c r="S350" s="6">
        <f t="shared" si="62"/>
        <v>0.30870268175683796</v>
      </c>
      <c r="T350" s="8">
        <f t="shared" si="63"/>
        <v>22526.66</v>
      </c>
      <c r="U350" s="8">
        <f t="shared" si="64"/>
        <v>17212.97</v>
      </c>
      <c r="V350" s="9">
        <f t="shared" si="65"/>
        <v>5313.6899999999987</v>
      </c>
      <c r="W350" s="6">
        <f t="shared" si="66"/>
        <v>0.23588450307324738</v>
      </c>
      <c r="X350" t="str" cm="1">
        <f t="array" ref="X350">_xlfn.IFS(S350&lt;=25%, "Low", S350&lt;=75%, "Medium", S350&gt;75%, "High")</f>
        <v>Medium</v>
      </c>
      <c r="Y350" s="8">
        <f>Table1[[#This Row],[Quantity]]*(Table1[[#This Row],[UnitPrice]]*(1-Table1[[#This Row],[DiscountPct]]))</f>
        <v>22526.66</v>
      </c>
      <c r="Z350" s="9">
        <f t="shared" si="67"/>
        <v>5313.6899999999987</v>
      </c>
      <c r="AA350">
        <f>COUNTIF($G$2:G351,G350)</f>
        <v>28</v>
      </c>
      <c r="AB350" s="21">
        <f t="shared" si="68"/>
        <v>44988</v>
      </c>
      <c r="AC350" s="21">
        <f t="shared" si="69"/>
        <v>45016</v>
      </c>
      <c r="AD350" s="5">
        <f>(Table1[[#This Row],[OrderDate]]-Table1[[#This Row],[Date of first order]])/30</f>
        <v>16.466666666666665</v>
      </c>
      <c r="AE350" t="str">
        <f t="shared" si="70"/>
        <v>Good</v>
      </c>
      <c r="AF350">
        <f>COUNTIF(AE$2:AE351,AE350)</f>
        <v>101</v>
      </c>
      <c r="AG350" t="str">
        <f t="shared" si="71"/>
        <v>False</v>
      </c>
      <c r="AH350" s="7">
        <f>Table1[[#This Row],[UnitPrice]]*(1-Table1[[#This Row],[Disc Scenario]])*Table1[[#This Row],[Quantity]]</f>
        <v>22526.66</v>
      </c>
      <c r="AI350">
        <f>ROUNDDOWN((Table1[[#This Row],[Quantity]]*(1+20%)),0)</f>
        <v>27</v>
      </c>
      <c r="AJ350" s="7">
        <f>Table1[[#This Row],[Quantity increase by 20%]]*Table1[[#This Row],[UnitPrice]]</f>
        <v>26444.34</v>
      </c>
      <c r="AK350">
        <f>ROUNDDOWN(Table1[[#This Row],[Quantity]]*(1+20%),0)</f>
        <v>27</v>
      </c>
      <c r="AL350" s="7">
        <f>Table1[[#This Row],[UnitCost]]*(1+15%)</f>
        <v>860.6484999999999</v>
      </c>
      <c r="AM350" s="9">
        <f>Table1[[#This Row],[Quantity]]*Table1[[#This Row],[Cost of unit by inflation 15%]]</f>
        <v>19794.915499999999</v>
      </c>
      <c r="AN350" s="21" cm="1">
        <f t="array" ref="AN350">_xlfn.UNIQUE(AC350)</f>
        <v>45016</v>
      </c>
    </row>
    <row r="351" spans="1:40" x14ac:dyDescent="0.35">
      <c r="A351" t="s">
        <v>533</v>
      </c>
      <c r="B351" s="21">
        <v>45482</v>
      </c>
      <c r="C351" s="10">
        <v>45512</v>
      </c>
      <c r="D351" s="3">
        <f t="shared" si="60"/>
        <v>30</v>
      </c>
      <c r="E351" s="10" t="str">
        <f t="shared" si="61"/>
        <v>Q3-2024</v>
      </c>
      <c r="F351" t="s">
        <v>648</v>
      </c>
      <c r="G351" t="s">
        <v>656</v>
      </c>
      <c r="H351" t="s">
        <v>672</v>
      </c>
      <c r="I351" t="s">
        <v>700</v>
      </c>
      <c r="J351" t="s">
        <v>710</v>
      </c>
      <c r="K351" t="s">
        <v>712</v>
      </c>
      <c r="L351" t="s">
        <v>726</v>
      </c>
      <c r="M351" t="s">
        <v>1250</v>
      </c>
      <c r="N351" s="3">
        <v>1062.3800000000001</v>
      </c>
      <c r="O351" s="3">
        <v>1503.96</v>
      </c>
      <c r="P351" s="6">
        <v>0.18</v>
      </c>
      <c r="Q351" s="6">
        <f>IF(Table1[[#This Row],[DiscountPct]]&gt;25%,25%,Table1[[#This Row],[DiscountPct]])</f>
        <v>0.18</v>
      </c>
      <c r="R351" s="5">
        <v>6</v>
      </c>
      <c r="S351" s="6">
        <f t="shared" si="62"/>
        <v>0.41565165006871352</v>
      </c>
      <c r="T351" s="8">
        <f t="shared" si="63"/>
        <v>7399.4832000000006</v>
      </c>
      <c r="U351" s="8">
        <f t="shared" si="64"/>
        <v>6374.2800000000007</v>
      </c>
      <c r="V351" s="9">
        <f t="shared" si="65"/>
        <v>1025.2031999999999</v>
      </c>
      <c r="W351" s="6">
        <f t="shared" si="66"/>
        <v>0.13855064905073369</v>
      </c>
      <c r="X351" t="str" cm="1">
        <f t="array" ref="X351">_xlfn.IFS(S351&lt;=25%, "Low", S351&lt;=75%, "Medium", S351&gt;75%, "High")</f>
        <v>Medium</v>
      </c>
      <c r="Y351" s="8">
        <f>Table1[[#This Row],[Quantity]]*(Table1[[#This Row],[UnitPrice]]*(1-Table1[[#This Row],[DiscountPct]]))</f>
        <v>7399.4832000000006</v>
      </c>
      <c r="Z351" s="9">
        <f t="shared" si="67"/>
        <v>1025.2031999999999</v>
      </c>
      <c r="AA351">
        <f>COUNTIF($G$2:G352,G351)</f>
        <v>27</v>
      </c>
      <c r="AB351" s="21">
        <f t="shared" si="68"/>
        <v>44988</v>
      </c>
      <c r="AC351" s="21">
        <f t="shared" si="69"/>
        <v>45016</v>
      </c>
      <c r="AD351" s="5">
        <f>(Table1[[#This Row],[OrderDate]]-Table1[[#This Row],[Date of first order]])/30</f>
        <v>16.466666666666665</v>
      </c>
      <c r="AE351" t="str">
        <f t="shared" si="70"/>
        <v>Poor</v>
      </c>
      <c r="AF351">
        <f>COUNTIF(AE$2:AE352,AE351)</f>
        <v>250</v>
      </c>
      <c r="AG351" t="str">
        <f t="shared" si="71"/>
        <v>False</v>
      </c>
      <c r="AH351" s="7">
        <f>Table1[[#This Row],[UnitPrice]]*(1-Table1[[#This Row],[Disc Scenario]])*Table1[[#This Row],[Quantity]]</f>
        <v>7399.4832000000006</v>
      </c>
      <c r="AI351">
        <f>ROUNDDOWN((Table1[[#This Row],[Quantity]]*(1+20%)),0)</f>
        <v>7</v>
      </c>
      <c r="AJ351" s="7">
        <f>Table1[[#This Row],[Quantity increase by 20%]]*Table1[[#This Row],[UnitPrice]]</f>
        <v>10527.720000000001</v>
      </c>
      <c r="AK351">
        <f>ROUNDDOWN(Table1[[#This Row],[Quantity]]*(1+20%),0)</f>
        <v>7</v>
      </c>
      <c r="AL351" s="7">
        <f>Table1[[#This Row],[UnitCost]]*(1+15%)</f>
        <v>1221.7370000000001</v>
      </c>
      <c r="AM351" s="9">
        <f>Table1[[#This Row],[Quantity]]*Table1[[#This Row],[Cost of unit by inflation 15%]]</f>
        <v>7330.4220000000005</v>
      </c>
      <c r="AN351" s="21" cm="1">
        <f t="array" ref="AN351">_xlfn.UNIQUE(AC351)</f>
        <v>45016</v>
      </c>
    </row>
    <row r="352" spans="1:40" x14ac:dyDescent="0.35">
      <c r="A352" t="s">
        <v>349</v>
      </c>
      <c r="B352" s="21">
        <v>45484</v>
      </c>
      <c r="C352" s="10">
        <v>45504</v>
      </c>
      <c r="D352" s="3">
        <f t="shared" si="60"/>
        <v>20</v>
      </c>
      <c r="E352" s="10" t="str">
        <f t="shared" si="61"/>
        <v>Q3-2024</v>
      </c>
      <c r="F352" t="s">
        <v>646</v>
      </c>
      <c r="G352" t="s">
        <v>658</v>
      </c>
      <c r="H352" t="s">
        <v>675</v>
      </c>
      <c r="I352" t="s">
        <v>703</v>
      </c>
      <c r="J352" t="s">
        <v>707</v>
      </c>
      <c r="K352" t="s">
        <v>714</v>
      </c>
      <c r="L352" t="s">
        <v>729</v>
      </c>
      <c r="M352" t="s">
        <v>1067</v>
      </c>
      <c r="N352" s="3">
        <v>647.26</v>
      </c>
      <c r="O352" s="3">
        <v>1374.72</v>
      </c>
      <c r="P352" s="6">
        <v>6.6000000000000003E-2</v>
      </c>
      <c r="Q352" s="6">
        <f>IF(Table1[[#This Row],[DiscountPct]]&gt;25%,25%,Table1[[#This Row],[DiscountPct]])</f>
        <v>6.6000000000000003E-2</v>
      </c>
      <c r="R352" s="5">
        <v>22</v>
      </c>
      <c r="S352" s="6">
        <f t="shared" si="62"/>
        <v>1.1239069307542564</v>
      </c>
      <c r="T352" s="8">
        <f t="shared" si="63"/>
        <v>28247.74656</v>
      </c>
      <c r="U352" s="8">
        <f t="shared" si="64"/>
        <v>14239.72</v>
      </c>
      <c r="V352" s="9">
        <f t="shared" si="65"/>
        <v>14008.02656</v>
      </c>
      <c r="W352" s="6">
        <f t="shared" si="66"/>
        <v>0.49589890401508901</v>
      </c>
      <c r="X352" t="str" cm="1">
        <f t="array" ref="X352">_xlfn.IFS(S352&lt;=25%, "Low", S352&lt;=75%, "Medium", S352&gt;75%, "High")</f>
        <v>High</v>
      </c>
      <c r="Y352" s="8">
        <f>Table1[[#This Row],[Quantity]]*(Table1[[#This Row],[UnitPrice]]*(1-Table1[[#This Row],[DiscountPct]]))</f>
        <v>28247.74656</v>
      </c>
      <c r="Z352" s="9">
        <f t="shared" si="67"/>
        <v>14008.02656</v>
      </c>
      <c r="AA352">
        <f>COUNTIF($G$2:G353,G352)</f>
        <v>29</v>
      </c>
      <c r="AB352" s="21">
        <f t="shared" si="68"/>
        <v>44988</v>
      </c>
      <c r="AC352" s="21">
        <f t="shared" si="69"/>
        <v>45016</v>
      </c>
      <c r="AD352" s="5">
        <f>(Table1[[#This Row],[OrderDate]]-Table1[[#This Row],[Date of first order]])/30</f>
        <v>16.533333333333335</v>
      </c>
      <c r="AE352" t="str">
        <f t="shared" si="70"/>
        <v>Poor</v>
      </c>
      <c r="AF352">
        <f>COUNTIF(AE$2:AE353,AE352)</f>
        <v>250</v>
      </c>
      <c r="AG352" t="str">
        <f t="shared" si="71"/>
        <v>False</v>
      </c>
      <c r="AH352" s="7">
        <f>Table1[[#This Row],[UnitPrice]]*(1-Table1[[#This Row],[Disc Scenario]])*Table1[[#This Row],[Quantity]]</f>
        <v>28247.74656</v>
      </c>
      <c r="AI352">
        <f>ROUNDDOWN((Table1[[#This Row],[Quantity]]*(1+20%)),0)</f>
        <v>26</v>
      </c>
      <c r="AJ352" s="7">
        <f>Table1[[#This Row],[Quantity increase by 20%]]*Table1[[#This Row],[UnitPrice]]</f>
        <v>35742.720000000001</v>
      </c>
      <c r="AK352">
        <f>ROUNDDOWN(Table1[[#This Row],[Quantity]]*(1+20%),0)</f>
        <v>26</v>
      </c>
      <c r="AL352" s="7">
        <f>Table1[[#This Row],[UnitCost]]*(1+15%)</f>
        <v>744.34899999999993</v>
      </c>
      <c r="AM352" s="9">
        <f>Table1[[#This Row],[Quantity]]*Table1[[#This Row],[Cost of unit by inflation 15%]]</f>
        <v>16375.677999999998</v>
      </c>
      <c r="AN352" s="21" cm="1">
        <f t="array" ref="AN352">_xlfn.UNIQUE(AC352)</f>
        <v>45016</v>
      </c>
    </row>
    <row r="353" spans="1:40" x14ac:dyDescent="0.35">
      <c r="A353" t="s">
        <v>357</v>
      </c>
      <c r="B353" s="21">
        <v>45485</v>
      </c>
      <c r="C353" s="10">
        <v>45486</v>
      </c>
      <c r="D353" s="3">
        <f t="shared" si="60"/>
        <v>1</v>
      </c>
      <c r="E353" s="10" t="str">
        <f t="shared" si="61"/>
        <v>Q3-2024</v>
      </c>
      <c r="F353" t="s">
        <v>646</v>
      </c>
      <c r="G353" t="s">
        <v>651</v>
      </c>
      <c r="H353" t="s">
        <v>693</v>
      </c>
      <c r="I353" t="s">
        <v>704</v>
      </c>
      <c r="J353" t="s">
        <v>708</v>
      </c>
      <c r="K353" t="s">
        <v>720</v>
      </c>
      <c r="L353" t="s">
        <v>728</v>
      </c>
      <c r="M353" t="s">
        <v>1075</v>
      </c>
      <c r="N353" s="3">
        <v>105.13</v>
      </c>
      <c r="O353" s="3">
        <v>244.13</v>
      </c>
      <c r="P353" s="6">
        <v>7.0999999999999994E-2</v>
      </c>
      <c r="Q353" s="6">
        <f>IF(Table1[[#This Row],[DiscountPct]]&gt;25%,25%,Table1[[#This Row],[DiscountPct]])</f>
        <v>7.0999999999999994E-2</v>
      </c>
      <c r="R353" s="5">
        <v>14</v>
      </c>
      <c r="S353" s="6">
        <f t="shared" si="62"/>
        <v>1.3221725482735662</v>
      </c>
      <c r="T353" s="8">
        <f t="shared" si="63"/>
        <v>3175.1547799999998</v>
      </c>
      <c r="U353" s="8">
        <f t="shared" si="64"/>
        <v>1471.82</v>
      </c>
      <c r="V353" s="9">
        <f t="shared" si="65"/>
        <v>1703.3347799999999</v>
      </c>
      <c r="W353" s="6">
        <f t="shared" si="66"/>
        <v>0.53645724319618837</v>
      </c>
      <c r="X353" t="str" cm="1">
        <f t="array" ref="X353">_xlfn.IFS(S353&lt;=25%, "Low", S353&lt;=75%, "Medium", S353&gt;75%, "High")</f>
        <v>High</v>
      </c>
      <c r="Y353" s="8">
        <f>Table1[[#This Row],[Quantity]]*(Table1[[#This Row],[UnitPrice]]*(1-Table1[[#This Row],[DiscountPct]]))</f>
        <v>3175.1547800000003</v>
      </c>
      <c r="Z353" s="9">
        <f t="shared" si="67"/>
        <v>1703.3347800000004</v>
      </c>
      <c r="AA353">
        <f>COUNTIF($G$2:G354,G353)</f>
        <v>25</v>
      </c>
      <c r="AB353" s="21">
        <f t="shared" si="68"/>
        <v>44988</v>
      </c>
      <c r="AC353" s="21">
        <f t="shared" si="69"/>
        <v>45016</v>
      </c>
      <c r="AD353" s="5">
        <f>(Table1[[#This Row],[OrderDate]]-Table1[[#This Row],[Date of first order]])/30</f>
        <v>16.566666666666666</v>
      </c>
      <c r="AE353" t="str">
        <f t="shared" si="70"/>
        <v>Good</v>
      </c>
      <c r="AF353">
        <f>COUNTIF(AE$2:AE354,AE353)</f>
        <v>102</v>
      </c>
      <c r="AG353" t="str">
        <f t="shared" si="71"/>
        <v>False</v>
      </c>
      <c r="AH353" s="7">
        <f>Table1[[#This Row],[UnitPrice]]*(1-Table1[[#This Row],[Disc Scenario]])*Table1[[#This Row],[Quantity]]</f>
        <v>3175.1547800000003</v>
      </c>
      <c r="AI353">
        <f>ROUNDDOWN((Table1[[#This Row],[Quantity]]*(1+20%)),0)</f>
        <v>16</v>
      </c>
      <c r="AJ353" s="7">
        <f>Table1[[#This Row],[Quantity increase by 20%]]*Table1[[#This Row],[UnitPrice]]</f>
        <v>3906.08</v>
      </c>
      <c r="AK353">
        <f>ROUNDDOWN(Table1[[#This Row],[Quantity]]*(1+20%),0)</f>
        <v>16</v>
      </c>
      <c r="AL353" s="7">
        <f>Table1[[#This Row],[UnitCost]]*(1+15%)</f>
        <v>120.89949999999999</v>
      </c>
      <c r="AM353" s="9">
        <f>Table1[[#This Row],[Quantity]]*Table1[[#This Row],[Cost of unit by inflation 15%]]</f>
        <v>1692.5929999999998</v>
      </c>
      <c r="AN353" s="21" cm="1">
        <f t="array" ref="AN353">_xlfn.UNIQUE(AC353)</f>
        <v>45016</v>
      </c>
    </row>
    <row r="354" spans="1:40" x14ac:dyDescent="0.35">
      <c r="A354" t="s">
        <v>562</v>
      </c>
      <c r="B354" s="21">
        <v>45486</v>
      </c>
      <c r="C354" s="10">
        <v>45507</v>
      </c>
      <c r="D354" s="3">
        <f t="shared" si="60"/>
        <v>21</v>
      </c>
      <c r="E354" s="10" t="str">
        <f t="shared" si="61"/>
        <v>Q3-2024</v>
      </c>
      <c r="F354" t="s">
        <v>647</v>
      </c>
      <c r="G354" t="s">
        <v>654</v>
      </c>
      <c r="H354" t="s">
        <v>691</v>
      </c>
      <c r="I354" t="s">
        <v>700</v>
      </c>
      <c r="J354" t="s">
        <v>708</v>
      </c>
      <c r="K354" t="s">
        <v>723</v>
      </c>
      <c r="L354" t="s">
        <v>731</v>
      </c>
      <c r="M354" t="s">
        <v>1278</v>
      </c>
      <c r="N354" s="3">
        <v>702.98</v>
      </c>
      <c r="O354" s="3">
        <v>1104.8</v>
      </c>
      <c r="P354" s="6">
        <v>0.17499999999999999</v>
      </c>
      <c r="Q354" s="6">
        <f>IF(Table1[[#This Row],[DiscountPct]]&gt;25%,25%,Table1[[#This Row],[DiscountPct]])</f>
        <v>0.17499999999999999</v>
      </c>
      <c r="R354" s="5">
        <v>12</v>
      </c>
      <c r="S354" s="6">
        <f t="shared" si="62"/>
        <v>0.57159520896753813</v>
      </c>
      <c r="T354" s="8">
        <f t="shared" si="63"/>
        <v>10937.519999999999</v>
      </c>
      <c r="U354" s="8">
        <f t="shared" si="64"/>
        <v>8435.76</v>
      </c>
      <c r="V354" s="9">
        <f t="shared" si="65"/>
        <v>2501.7599999999984</v>
      </c>
      <c r="W354" s="6">
        <f t="shared" si="66"/>
        <v>0.22873192460448061</v>
      </c>
      <c r="X354" t="str" cm="1">
        <f t="array" ref="X354">_xlfn.IFS(S354&lt;=25%, "Low", S354&lt;=75%, "Medium", S354&gt;75%, "High")</f>
        <v>Medium</v>
      </c>
      <c r="Y354" s="8">
        <f>Table1[[#This Row],[Quantity]]*(Table1[[#This Row],[UnitPrice]]*(1-Table1[[#This Row],[DiscountPct]]))</f>
        <v>10937.519999999999</v>
      </c>
      <c r="Z354" s="9">
        <f t="shared" si="67"/>
        <v>2501.7599999999984</v>
      </c>
      <c r="AA354">
        <f>COUNTIF($G$2:G355,G354)</f>
        <v>34</v>
      </c>
      <c r="AB354" s="21">
        <f t="shared" si="68"/>
        <v>44988</v>
      </c>
      <c r="AC354" s="21">
        <f t="shared" si="69"/>
        <v>45016</v>
      </c>
      <c r="AD354" s="5">
        <f>(Table1[[#This Row],[OrderDate]]-Table1[[#This Row],[Date of first order]])/30</f>
        <v>16.600000000000001</v>
      </c>
      <c r="AE354" t="str">
        <f t="shared" si="70"/>
        <v>Poor</v>
      </c>
      <c r="AF354">
        <f>COUNTIF(AE$2:AE355,AE354)</f>
        <v>251</v>
      </c>
      <c r="AG354" t="str">
        <f t="shared" si="71"/>
        <v>False</v>
      </c>
      <c r="AH354" s="7">
        <f>Table1[[#This Row],[UnitPrice]]*(1-Table1[[#This Row],[Disc Scenario]])*Table1[[#This Row],[Quantity]]</f>
        <v>10937.519999999999</v>
      </c>
      <c r="AI354">
        <f>ROUNDDOWN((Table1[[#This Row],[Quantity]]*(1+20%)),0)</f>
        <v>14</v>
      </c>
      <c r="AJ354" s="7">
        <f>Table1[[#This Row],[Quantity increase by 20%]]*Table1[[#This Row],[UnitPrice]]</f>
        <v>15467.199999999999</v>
      </c>
      <c r="AK354">
        <f>ROUNDDOWN(Table1[[#This Row],[Quantity]]*(1+20%),0)</f>
        <v>14</v>
      </c>
      <c r="AL354" s="7">
        <f>Table1[[#This Row],[UnitCost]]*(1+15%)</f>
        <v>808.42699999999991</v>
      </c>
      <c r="AM354" s="9">
        <f>Table1[[#This Row],[Quantity]]*Table1[[#This Row],[Cost of unit by inflation 15%]]</f>
        <v>9701.1239999999998</v>
      </c>
      <c r="AN354" s="21" cm="1">
        <f t="array" ref="AN354">_xlfn.UNIQUE(AC354)</f>
        <v>45016</v>
      </c>
    </row>
    <row r="355" spans="1:40" x14ac:dyDescent="0.35">
      <c r="A355" t="s">
        <v>184</v>
      </c>
      <c r="B355" s="21">
        <v>45488</v>
      </c>
      <c r="C355" s="10">
        <v>45488</v>
      </c>
      <c r="D355" s="3">
        <f t="shared" si="60"/>
        <v>0</v>
      </c>
      <c r="E355" s="10" t="str">
        <f t="shared" si="61"/>
        <v>Q3-2024</v>
      </c>
      <c r="F355" t="s">
        <v>646</v>
      </c>
      <c r="G355" t="s">
        <v>651</v>
      </c>
      <c r="H355" t="s">
        <v>688</v>
      </c>
      <c r="I355" t="s">
        <v>704</v>
      </c>
      <c r="J355" t="s">
        <v>708</v>
      </c>
      <c r="K355" t="s">
        <v>714</v>
      </c>
      <c r="L355" t="s">
        <v>732</v>
      </c>
      <c r="M355" t="s">
        <v>902</v>
      </c>
      <c r="N355" s="3">
        <v>801.77</v>
      </c>
      <c r="O355" s="3">
        <v>1218.92</v>
      </c>
      <c r="P355" s="6">
        <v>0.254</v>
      </c>
      <c r="Q355" s="6">
        <f>IF(Table1[[#This Row],[DiscountPct]]&gt;25%,25%,Table1[[#This Row],[DiscountPct]])</f>
        <v>0.25</v>
      </c>
      <c r="R355" s="5">
        <v>16</v>
      </c>
      <c r="S355" s="6">
        <f t="shared" si="62"/>
        <v>0.52028636641430848</v>
      </c>
      <c r="T355" s="8">
        <f t="shared" si="63"/>
        <v>14549.029120000001</v>
      </c>
      <c r="U355" s="8">
        <f t="shared" si="64"/>
        <v>12828.32</v>
      </c>
      <c r="V355" s="9">
        <f t="shared" si="65"/>
        <v>1720.7091200000013</v>
      </c>
      <c r="W355" s="6">
        <f t="shared" si="66"/>
        <v>0.11826968698788344</v>
      </c>
      <c r="X355" t="str" cm="1">
        <f t="array" ref="X355">_xlfn.IFS(S355&lt;=25%, "Low", S355&lt;=75%, "Medium", S355&gt;75%, "High")</f>
        <v>Medium</v>
      </c>
      <c r="Y355" s="8">
        <f>Table1[[#This Row],[Quantity]]*(Table1[[#This Row],[UnitPrice]]*(1-Table1[[#This Row],[DiscountPct]]))</f>
        <v>14549.029120000001</v>
      </c>
      <c r="Z355" s="9">
        <f t="shared" si="67"/>
        <v>1720.7091200000013</v>
      </c>
      <c r="AA355">
        <f>COUNTIF($G$2:G356,G355)</f>
        <v>26</v>
      </c>
      <c r="AB355" s="21">
        <f t="shared" si="68"/>
        <v>44988</v>
      </c>
      <c r="AC355" s="21">
        <f t="shared" si="69"/>
        <v>45016</v>
      </c>
      <c r="AD355" s="5">
        <f>(Table1[[#This Row],[OrderDate]]-Table1[[#This Row],[Date of first order]])/30</f>
        <v>16.666666666666668</v>
      </c>
      <c r="AE355" t="str">
        <f t="shared" si="70"/>
        <v>Good</v>
      </c>
      <c r="AF355">
        <f>COUNTIF(AE$2:AE356,AE355)</f>
        <v>103</v>
      </c>
      <c r="AG355" t="str">
        <f t="shared" si="71"/>
        <v>True</v>
      </c>
      <c r="AH355" s="7">
        <f>Table1[[#This Row],[UnitPrice]]*(1-Table1[[#This Row],[Disc Scenario]])*Table1[[#This Row],[Quantity]]</f>
        <v>14627.04</v>
      </c>
      <c r="AI355">
        <f>ROUNDDOWN((Table1[[#This Row],[Quantity]]*(1+20%)),0)</f>
        <v>19</v>
      </c>
      <c r="AJ355" s="7">
        <f>Table1[[#This Row],[Quantity increase by 20%]]*Table1[[#This Row],[UnitPrice]]</f>
        <v>23159.480000000003</v>
      </c>
      <c r="AK355">
        <f>ROUNDDOWN(Table1[[#This Row],[Quantity]]*(1+20%),0)</f>
        <v>19</v>
      </c>
      <c r="AL355" s="7">
        <f>Table1[[#This Row],[UnitCost]]*(1+15%)</f>
        <v>922.03549999999996</v>
      </c>
      <c r="AM355" s="9">
        <f>Table1[[#This Row],[Quantity]]*Table1[[#This Row],[Cost of unit by inflation 15%]]</f>
        <v>14752.567999999999</v>
      </c>
      <c r="AN355" s="21" cm="1">
        <f t="array" ref="AN355">_xlfn.UNIQUE(AC355)</f>
        <v>45016</v>
      </c>
    </row>
    <row r="356" spans="1:40" x14ac:dyDescent="0.35">
      <c r="A356" t="s">
        <v>397</v>
      </c>
      <c r="B356" s="21">
        <v>45491</v>
      </c>
      <c r="C356" s="10">
        <v>45511</v>
      </c>
      <c r="D356" s="3">
        <f t="shared" si="60"/>
        <v>20</v>
      </c>
      <c r="E356" s="10" t="str">
        <f t="shared" si="61"/>
        <v>Q3-2024</v>
      </c>
      <c r="F356" t="s">
        <v>648</v>
      </c>
      <c r="G356" t="s">
        <v>656</v>
      </c>
      <c r="H356" t="s">
        <v>672</v>
      </c>
      <c r="I356" t="s">
        <v>700</v>
      </c>
      <c r="J356" t="s">
        <v>706</v>
      </c>
      <c r="K356" t="s">
        <v>720</v>
      </c>
      <c r="L356" t="s">
        <v>731</v>
      </c>
      <c r="M356" t="s">
        <v>1114</v>
      </c>
      <c r="N356" s="3">
        <v>941.35</v>
      </c>
      <c r="O356" s="3">
        <v>1703.8435000000002</v>
      </c>
      <c r="P356" s="6">
        <v>5.8000000000000003E-2</v>
      </c>
      <c r="Q356" s="6">
        <f>IF(Table1[[#This Row],[DiscountPct]]&gt;25%,25%,Table1[[#This Row],[DiscountPct]])</f>
        <v>5.8000000000000003E-2</v>
      </c>
      <c r="R356" s="5">
        <v>18</v>
      </c>
      <c r="S356" s="6">
        <f t="shared" si="62"/>
        <v>0.81000000000000016</v>
      </c>
      <c r="T356" s="8">
        <f t="shared" si="63"/>
        <v>28890.370386000002</v>
      </c>
      <c r="U356" s="8">
        <f t="shared" si="64"/>
        <v>16944.3</v>
      </c>
      <c r="V356" s="9">
        <f t="shared" si="65"/>
        <v>11946.070386000003</v>
      </c>
      <c r="W356" s="6">
        <f t="shared" si="66"/>
        <v>0.41349661587547365</v>
      </c>
      <c r="X356" t="str" cm="1">
        <f t="array" ref="X356">_xlfn.IFS(S356&lt;=25%, "Low", S356&lt;=75%, "Medium", S356&gt;75%, "High")</f>
        <v>High</v>
      </c>
      <c r="Y356" s="8">
        <f>Table1[[#This Row],[Quantity]]*(Table1[[#This Row],[UnitPrice]]*(1-Table1[[#This Row],[DiscountPct]]))</f>
        <v>28890.370385999999</v>
      </c>
      <c r="Z356" s="9">
        <f t="shared" si="67"/>
        <v>11946.070385999999</v>
      </c>
      <c r="AA356">
        <f>COUNTIF($G$2:G357,G356)</f>
        <v>28</v>
      </c>
      <c r="AB356" s="21">
        <f t="shared" si="68"/>
        <v>44988</v>
      </c>
      <c r="AC356" s="21">
        <f t="shared" si="69"/>
        <v>45016</v>
      </c>
      <c r="AD356" s="5">
        <f>(Table1[[#This Row],[OrderDate]]-Table1[[#This Row],[Date of first order]])/30</f>
        <v>16.766666666666666</v>
      </c>
      <c r="AE356" t="str">
        <f t="shared" si="70"/>
        <v>Poor</v>
      </c>
      <c r="AF356">
        <f>COUNTIF(AE$2:AE357,AE356)</f>
        <v>252</v>
      </c>
      <c r="AG356" t="str">
        <f t="shared" si="71"/>
        <v>False</v>
      </c>
      <c r="AH356" s="7">
        <f>Table1[[#This Row],[UnitPrice]]*(1-Table1[[#This Row],[Disc Scenario]])*Table1[[#This Row],[Quantity]]</f>
        <v>28890.370385999999</v>
      </c>
      <c r="AI356">
        <f>ROUNDDOWN((Table1[[#This Row],[Quantity]]*(1+20%)),0)</f>
        <v>21</v>
      </c>
      <c r="AJ356" s="7">
        <f>Table1[[#This Row],[Quantity increase by 20%]]*Table1[[#This Row],[UnitPrice]]</f>
        <v>35780.713500000005</v>
      </c>
      <c r="AK356">
        <f>ROUNDDOWN(Table1[[#This Row],[Quantity]]*(1+20%),0)</f>
        <v>21</v>
      </c>
      <c r="AL356" s="7">
        <f>Table1[[#This Row],[UnitCost]]*(1+15%)</f>
        <v>1082.5525</v>
      </c>
      <c r="AM356" s="9">
        <f>Table1[[#This Row],[Quantity]]*Table1[[#This Row],[Cost of unit by inflation 15%]]</f>
        <v>19485.945</v>
      </c>
      <c r="AN356" s="21" cm="1">
        <f t="array" ref="AN356">_xlfn.UNIQUE(AC356)</f>
        <v>45016</v>
      </c>
    </row>
    <row r="357" spans="1:40" x14ac:dyDescent="0.35">
      <c r="A357" t="s">
        <v>42</v>
      </c>
      <c r="B357" s="21">
        <v>45492</v>
      </c>
      <c r="C357" s="10">
        <v>45492</v>
      </c>
      <c r="D357" s="3">
        <f t="shared" si="60"/>
        <v>0</v>
      </c>
      <c r="E357" s="10" t="str">
        <f t="shared" si="61"/>
        <v>Q3-2024</v>
      </c>
      <c r="F357" t="s">
        <v>645</v>
      </c>
      <c r="G357" t="s">
        <v>649</v>
      </c>
      <c r="H357" t="s">
        <v>661</v>
      </c>
      <c r="I357" t="s">
        <v>704</v>
      </c>
      <c r="J357" t="s">
        <v>706</v>
      </c>
      <c r="K357" t="s">
        <v>719</v>
      </c>
      <c r="L357" t="s">
        <v>729</v>
      </c>
      <c r="M357" t="s">
        <v>760</v>
      </c>
      <c r="N357" s="3">
        <v>857.24</v>
      </c>
      <c r="O357" s="3">
        <v>1268.7152000000001</v>
      </c>
      <c r="P357" s="6">
        <v>0.125</v>
      </c>
      <c r="Q357" s="6">
        <f>IF(Table1[[#This Row],[DiscountPct]]&gt;25%,25%,Table1[[#This Row],[DiscountPct]])</f>
        <v>0.125</v>
      </c>
      <c r="R357" s="5">
        <v>6</v>
      </c>
      <c r="S357" s="6">
        <f t="shared" si="62"/>
        <v>0.48000000000000009</v>
      </c>
      <c r="T357" s="8">
        <f t="shared" si="63"/>
        <v>6660.7548000000006</v>
      </c>
      <c r="U357" s="8">
        <f t="shared" si="64"/>
        <v>5143.4400000000005</v>
      </c>
      <c r="V357" s="9">
        <f t="shared" si="65"/>
        <v>1517.3148000000001</v>
      </c>
      <c r="W357" s="6">
        <f t="shared" si="66"/>
        <v>0.22779922779922779</v>
      </c>
      <c r="X357" t="str" cm="1">
        <f t="array" ref="X357">_xlfn.IFS(S357&lt;=25%, "Low", S357&lt;=75%, "Medium", S357&gt;75%, "High")</f>
        <v>Medium</v>
      </c>
      <c r="Y357" s="8">
        <f>Table1[[#This Row],[Quantity]]*(Table1[[#This Row],[UnitPrice]]*(1-Table1[[#This Row],[DiscountPct]]))</f>
        <v>6660.7548000000006</v>
      </c>
      <c r="Z357" s="9">
        <f t="shared" si="67"/>
        <v>1517.3148000000001</v>
      </c>
      <c r="AA357">
        <f>COUNTIF($G$2:G358,G357)</f>
        <v>35</v>
      </c>
      <c r="AB357" s="21">
        <f t="shared" si="68"/>
        <v>44988</v>
      </c>
      <c r="AC357" s="21">
        <f t="shared" si="69"/>
        <v>45016</v>
      </c>
      <c r="AD357" s="5">
        <f>(Table1[[#This Row],[OrderDate]]-Table1[[#This Row],[Date of first order]])/30</f>
        <v>16.8</v>
      </c>
      <c r="AE357" t="str">
        <f t="shared" si="70"/>
        <v>Good</v>
      </c>
      <c r="AF357">
        <f>COUNTIF(AE$2:AE358,AE357)</f>
        <v>105</v>
      </c>
      <c r="AG357" t="str">
        <f t="shared" si="71"/>
        <v>False</v>
      </c>
      <c r="AH357" s="7">
        <f>Table1[[#This Row],[UnitPrice]]*(1-Table1[[#This Row],[Disc Scenario]])*Table1[[#This Row],[Quantity]]</f>
        <v>6660.7548000000006</v>
      </c>
      <c r="AI357">
        <f>ROUNDDOWN((Table1[[#This Row],[Quantity]]*(1+20%)),0)</f>
        <v>7</v>
      </c>
      <c r="AJ357" s="7">
        <f>Table1[[#This Row],[Quantity increase by 20%]]*Table1[[#This Row],[UnitPrice]]</f>
        <v>8881.0064000000002</v>
      </c>
      <c r="AK357">
        <f>ROUNDDOWN(Table1[[#This Row],[Quantity]]*(1+20%),0)</f>
        <v>7</v>
      </c>
      <c r="AL357" s="7">
        <f>Table1[[#This Row],[UnitCost]]*(1+15%)</f>
        <v>985.82599999999991</v>
      </c>
      <c r="AM357" s="9">
        <f>Table1[[#This Row],[Quantity]]*Table1[[#This Row],[Cost of unit by inflation 15%]]</f>
        <v>5914.9559999999992</v>
      </c>
      <c r="AN357" s="21" cm="1">
        <f t="array" ref="AN357">_xlfn.UNIQUE(AC357)</f>
        <v>45016</v>
      </c>
    </row>
    <row r="358" spans="1:40" x14ac:dyDescent="0.35">
      <c r="A358" t="s">
        <v>35</v>
      </c>
      <c r="B358" s="21">
        <v>45497</v>
      </c>
      <c r="C358" s="10">
        <v>45498</v>
      </c>
      <c r="D358" s="3">
        <f t="shared" si="60"/>
        <v>1</v>
      </c>
      <c r="E358" s="10" t="str">
        <f t="shared" si="61"/>
        <v>Q3-2024</v>
      </c>
      <c r="F358" t="s">
        <v>645</v>
      </c>
      <c r="G358" t="s">
        <v>649</v>
      </c>
      <c r="H358" t="s">
        <v>674</v>
      </c>
      <c r="I358" t="s">
        <v>702</v>
      </c>
      <c r="J358" t="s">
        <v>710</v>
      </c>
      <c r="K358" t="s">
        <v>712</v>
      </c>
      <c r="L358" t="s">
        <v>730</v>
      </c>
      <c r="M358" t="s">
        <v>753</v>
      </c>
      <c r="N358" s="3">
        <v>1494.4</v>
      </c>
      <c r="O358" s="3">
        <v>3661.07</v>
      </c>
      <c r="P358" s="6">
        <v>7.1999999999999995E-2</v>
      </c>
      <c r="Q358" s="6">
        <f>IF(Table1[[#This Row],[DiscountPct]]&gt;25%,25%,Table1[[#This Row],[DiscountPct]])</f>
        <v>7.1999999999999995E-2</v>
      </c>
      <c r="R358" s="5">
        <v>7</v>
      </c>
      <c r="S358" s="6">
        <f t="shared" si="62"/>
        <v>1.4498594753747323</v>
      </c>
      <c r="T358" s="8">
        <f t="shared" si="63"/>
        <v>23782.310720000001</v>
      </c>
      <c r="U358" s="8">
        <f t="shared" si="64"/>
        <v>10460.800000000001</v>
      </c>
      <c r="V358" s="9">
        <f t="shared" si="65"/>
        <v>13321.51072</v>
      </c>
      <c r="W358" s="6">
        <f t="shared" si="66"/>
        <v>0.56014366630897339</v>
      </c>
      <c r="X358" t="str" cm="1">
        <f t="array" ref="X358">_xlfn.IFS(S358&lt;=25%, "Low", S358&lt;=75%, "Medium", S358&gt;75%, "High")</f>
        <v>High</v>
      </c>
      <c r="Y358" s="8">
        <f>Table1[[#This Row],[Quantity]]*(Table1[[#This Row],[UnitPrice]]*(1-Table1[[#This Row],[DiscountPct]]))</f>
        <v>23782.310720000005</v>
      </c>
      <c r="Z358" s="9">
        <f t="shared" si="67"/>
        <v>13321.510720000004</v>
      </c>
      <c r="AA358">
        <f>COUNTIF($G$2:G359,G358)</f>
        <v>35</v>
      </c>
      <c r="AB358" s="21">
        <f t="shared" si="68"/>
        <v>44988</v>
      </c>
      <c r="AC358" s="21">
        <f t="shared" si="69"/>
        <v>45016</v>
      </c>
      <c r="AD358" s="5">
        <f>(Table1[[#This Row],[OrderDate]]-Table1[[#This Row],[Date of first order]])/30</f>
        <v>16.966666666666665</v>
      </c>
      <c r="AE358" t="str">
        <f t="shared" si="70"/>
        <v>Good</v>
      </c>
      <c r="AF358">
        <f>COUNTIF(AE$2:AE359,AE358)</f>
        <v>105</v>
      </c>
      <c r="AG358" t="str">
        <f t="shared" si="71"/>
        <v>False</v>
      </c>
      <c r="AH358" s="7">
        <f>Table1[[#This Row],[UnitPrice]]*(1-Table1[[#This Row],[Disc Scenario]])*Table1[[#This Row],[Quantity]]</f>
        <v>23782.310720000005</v>
      </c>
      <c r="AI358">
        <f>ROUNDDOWN((Table1[[#This Row],[Quantity]]*(1+20%)),0)</f>
        <v>8</v>
      </c>
      <c r="AJ358" s="7">
        <f>Table1[[#This Row],[Quantity increase by 20%]]*Table1[[#This Row],[UnitPrice]]</f>
        <v>29288.560000000001</v>
      </c>
      <c r="AK358">
        <f>ROUNDDOWN(Table1[[#This Row],[Quantity]]*(1+20%),0)</f>
        <v>8</v>
      </c>
      <c r="AL358" s="7">
        <f>Table1[[#This Row],[UnitCost]]*(1+15%)</f>
        <v>1718.56</v>
      </c>
      <c r="AM358" s="9">
        <f>Table1[[#This Row],[Quantity]]*Table1[[#This Row],[Cost of unit by inflation 15%]]</f>
        <v>12029.92</v>
      </c>
      <c r="AN358" s="21" cm="1">
        <f t="array" ref="AN358">_xlfn.UNIQUE(AC358)</f>
        <v>45016</v>
      </c>
    </row>
    <row r="359" spans="1:40" x14ac:dyDescent="0.35">
      <c r="A359" t="s">
        <v>416</v>
      </c>
      <c r="B359" s="21">
        <v>45497</v>
      </c>
      <c r="C359" s="10">
        <v>45512</v>
      </c>
      <c r="D359" s="3">
        <f t="shared" si="60"/>
        <v>15</v>
      </c>
      <c r="E359" s="10" t="str">
        <f t="shared" si="61"/>
        <v>Q3-2024</v>
      </c>
      <c r="F359" t="s">
        <v>648</v>
      </c>
      <c r="G359" t="s">
        <v>656</v>
      </c>
      <c r="H359" t="s">
        <v>672</v>
      </c>
      <c r="I359" t="s">
        <v>705</v>
      </c>
      <c r="J359" t="s">
        <v>708</v>
      </c>
      <c r="K359" t="s">
        <v>721</v>
      </c>
      <c r="L359" t="s">
        <v>730</v>
      </c>
      <c r="M359" t="s">
        <v>1133</v>
      </c>
      <c r="N359" s="3">
        <v>501.5</v>
      </c>
      <c r="O359" s="3">
        <v>1201.47</v>
      </c>
      <c r="P359" s="6">
        <v>0.126</v>
      </c>
      <c r="Q359" s="6">
        <f>IF(Table1[[#This Row],[DiscountPct]]&gt;25%,25%,Table1[[#This Row],[DiscountPct]])</f>
        <v>0.126</v>
      </c>
      <c r="R359" s="5">
        <v>5</v>
      </c>
      <c r="S359" s="6">
        <f t="shared" si="62"/>
        <v>1.395752741774676</v>
      </c>
      <c r="T359" s="8">
        <f t="shared" si="63"/>
        <v>5250.4239000000007</v>
      </c>
      <c r="U359" s="8">
        <f t="shared" si="64"/>
        <v>2507.5</v>
      </c>
      <c r="V359" s="9">
        <f t="shared" si="65"/>
        <v>2742.9239000000007</v>
      </c>
      <c r="W359" s="6">
        <f t="shared" si="66"/>
        <v>0.52241951359394057</v>
      </c>
      <c r="X359" t="str" cm="1">
        <f t="array" ref="X359">_xlfn.IFS(S359&lt;=25%, "Low", S359&lt;=75%, "Medium", S359&gt;75%, "High")</f>
        <v>High</v>
      </c>
      <c r="Y359" s="8">
        <f>Table1[[#This Row],[Quantity]]*(Table1[[#This Row],[UnitPrice]]*(1-Table1[[#This Row],[DiscountPct]]))</f>
        <v>5250.4238999999998</v>
      </c>
      <c r="Z359" s="9">
        <f t="shared" si="67"/>
        <v>2742.9238999999998</v>
      </c>
      <c r="AA359">
        <f>COUNTIF($G$2:G360,G359)</f>
        <v>29</v>
      </c>
      <c r="AB359" s="21">
        <f t="shared" si="68"/>
        <v>44988</v>
      </c>
      <c r="AC359" s="21">
        <f t="shared" si="69"/>
        <v>45016</v>
      </c>
      <c r="AD359" s="5">
        <f>(Table1[[#This Row],[OrderDate]]-Table1[[#This Row],[Date of first order]])/30</f>
        <v>16.966666666666665</v>
      </c>
      <c r="AE359" t="str">
        <f t="shared" si="70"/>
        <v>Poor</v>
      </c>
      <c r="AF359">
        <f>COUNTIF(AE$2:AE360,AE359)</f>
        <v>254</v>
      </c>
      <c r="AG359" t="str">
        <f t="shared" si="71"/>
        <v>False</v>
      </c>
      <c r="AH359" s="7">
        <f>Table1[[#This Row],[UnitPrice]]*(1-Table1[[#This Row],[Disc Scenario]])*Table1[[#This Row],[Quantity]]</f>
        <v>5250.4238999999998</v>
      </c>
      <c r="AI359">
        <f>ROUNDDOWN((Table1[[#This Row],[Quantity]]*(1+20%)),0)</f>
        <v>6</v>
      </c>
      <c r="AJ359" s="7">
        <f>Table1[[#This Row],[Quantity increase by 20%]]*Table1[[#This Row],[UnitPrice]]</f>
        <v>7208.82</v>
      </c>
      <c r="AK359">
        <f>ROUNDDOWN(Table1[[#This Row],[Quantity]]*(1+20%),0)</f>
        <v>6</v>
      </c>
      <c r="AL359" s="7">
        <f>Table1[[#This Row],[UnitCost]]*(1+15%)</f>
        <v>576.72499999999991</v>
      </c>
      <c r="AM359" s="9">
        <f>Table1[[#This Row],[Quantity]]*Table1[[#This Row],[Cost of unit by inflation 15%]]</f>
        <v>2883.6249999999995</v>
      </c>
      <c r="AN359" s="21" cm="1">
        <f t="array" ref="AN359">_xlfn.UNIQUE(AC359)</f>
        <v>45016</v>
      </c>
    </row>
    <row r="360" spans="1:40" x14ac:dyDescent="0.35">
      <c r="A360" t="s">
        <v>359</v>
      </c>
      <c r="B360" s="21">
        <v>45498</v>
      </c>
      <c r="C360" s="10">
        <v>45506</v>
      </c>
      <c r="D360" s="3">
        <f t="shared" si="60"/>
        <v>8</v>
      </c>
      <c r="E360" s="10" t="str">
        <f t="shared" si="61"/>
        <v>Q3-2024</v>
      </c>
      <c r="F360" t="s">
        <v>647</v>
      </c>
      <c r="G360" t="s">
        <v>652</v>
      </c>
      <c r="H360" t="s">
        <v>680</v>
      </c>
      <c r="I360" t="s">
        <v>703</v>
      </c>
      <c r="J360" t="s">
        <v>710</v>
      </c>
      <c r="K360" t="s">
        <v>712</v>
      </c>
      <c r="L360" t="s">
        <v>732</v>
      </c>
      <c r="M360" t="s">
        <v>1077</v>
      </c>
      <c r="N360" s="3">
        <v>986.81</v>
      </c>
      <c r="O360" s="3">
        <v>2050.31</v>
      </c>
      <c r="P360" s="6">
        <v>0.10299999999999999</v>
      </c>
      <c r="Q360" s="6">
        <f>IF(Table1[[#This Row],[DiscountPct]]&gt;25%,25%,Table1[[#This Row],[DiscountPct]])</f>
        <v>0.10299999999999999</v>
      </c>
      <c r="R360" s="5">
        <v>43</v>
      </c>
      <c r="S360" s="6">
        <f t="shared" si="62"/>
        <v>1.0777150616633395</v>
      </c>
      <c r="T360" s="8">
        <f t="shared" si="63"/>
        <v>79082.507010000001</v>
      </c>
      <c r="U360" s="8">
        <f t="shared" si="64"/>
        <v>42432.829999999994</v>
      </c>
      <c r="V360" s="9">
        <f t="shared" si="65"/>
        <v>36649.677010000007</v>
      </c>
      <c r="W360" s="6">
        <f t="shared" si="66"/>
        <v>0.46343595310358138</v>
      </c>
      <c r="X360" t="str" cm="1">
        <f t="array" ref="X360">_xlfn.IFS(S360&lt;=25%, "Low", S360&lt;=75%, "Medium", S360&gt;75%, "High")</f>
        <v>High</v>
      </c>
      <c r="Y360" s="8">
        <f>Table1[[#This Row],[Quantity]]*(Table1[[#This Row],[UnitPrice]]*(1-Table1[[#This Row],[DiscountPct]]))</f>
        <v>79082.507010000001</v>
      </c>
      <c r="Z360" s="9">
        <f t="shared" si="67"/>
        <v>36649.677010000007</v>
      </c>
      <c r="AA360">
        <f>COUNTIF($G$2:G361,G360)</f>
        <v>24</v>
      </c>
      <c r="AB360" s="21">
        <f t="shared" si="68"/>
        <v>44988</v>
      </c>
      <c r="AC360" s="21">
        <f t="shared" si="69"/>
        <v>45016</v>
      </c>
      <c r="AD360" s="5">
        <f>(Table1[[#This Row],[OrderDate]]-Table1[[#This Row],[Date of first order]])/30</f>
        <v>17</v>
      </c>
      <c r="AE360" t="str">
        <f t="shared" si="70"/>
        <v>Poor</v>
      </c>
      <c r="AF360">
        <f>COUNTIF(AE$2:AE361,AE360)</f>
        <v>255</v>
      </c>
      <c r="AG360" t="str">
        <f t="shared" si="71"/>
        <v>False</v>
      </c>
      <c r="AH360" s="7">
        <f>Table1[[#This Row],[UnitPrice]]*(1-Table1[[#This Row],[Disc Scenario]])*Table1[[#This Row],[Quantity]]</f>
        <v>79082.507010000001</v>
      </c>
      <c r="AI360">
        <f>ROUNDDOWN((Table1[[#This Row],[Quantity]]*(1+20%)),0)</f>
        <v>51</v>
      </c>
      <c r="AJ360" s="7">
        <f>Table1[[#This Row],[Quantity increase by 20%]]*Table1[[#This Row],[UnitPrice]]</f>
        <v>104565.81</v>
      </c>
      <c r="AK360">
        <f>ROUNDDOWN(Table1[[#This Row],[Quantity]]*(1+20%),0)</f>
        <v>51</v>
      </c>
      <c r="AL360" s="7">
        <f>Table1[[#This Row],[UnitCost]]*(1+15%)</f>
        <v>1134.8314999999998</v>
      </c>
      <c r="AM360" s="9">
        <f>Table1[[#This Row],[Quantity]]*Table1[[#This Row],[Cost of unit by inflation 15%]]</f>
        <v>48797.754499999988</v>
      </c>
      <c r="AN360" s="21" cm="1">
        <f t="array" ref="AN360">_xlfn.UNIQUE(AC360)</f>
        <v>45016</v>
      </c>
    </row>
    <row r="361" spans="1:40" x14ac:dyDescent="0.35">
      <c r="A361" t="s">
        <v>635</v>
      </c>
      <c r="B361" s="21">
        <v>45501</v>
      </c>
      <c r="C361" s="10">
        <v>45527</v>
      </c>
      <c r="D361" s="3">
        <f t="shared" si="60"/>
        <v>26</v>
      </c>
      <c r="E361" s="10" t="str">
        <f t="shared" si="61"/>
        <v>Q3-2024</v>
      </c>
      <c r="F361" t="s">
        <v>646</v>
      </c>
      <c r="G361" t="s">
        <v>653</v>
      </c>
      <c r="H361" t="s">
        <v>695</v>
      </c>
      <c r="I361" t="s">
        <v>700</v>
      </c>
      <c r="J361" t="s">
        <v>706</v>
      </c>
      <c r="K361" t="s">
        <v>712</v>
      </c>
      <c r="L361" t="s">
        <v>728</v>
      </c>
      <c r="M361" t="s">
        <v>1351</v>
      </c>
      <c r="N361" s="3">
        <v>1339.24</v>
      </c>
      <c r="O361" s="3">
        <v>1558.89</v>
      </c>
      <c r="P361" s="6">
        <v>0.192</v>
      </c>
      <c r="Q361" s="6">
        <f>IF(Table1[[#This Row],[DiscountPct]]&gt;25%,25%,Table1[[#This Row],[DiscountPct]])</f>
        <v>0.192</v>
      </c>
      <c r="R361" s="5">
        <v>24</v>
      </c>
      <c r="S361" s="6">
        <f t="shared" si="62"/>
        <v>0.1640109315731311</v>
      </c>
      <c r="T361" s="8">
        <f t="shared" si="63"/>
        <v>30229.994880000002</v>
      </c>
      <c r="U361" s="8">
        <f t="shared" si="64"/>
        <v>32141.760000000002</v>
      </c>
      <c r="V361" s="9">
        <f t="shared" si="65"/>
        <v>-1911.76512</v>
      </c>
      <c r="W361" s="6">
        <f t="shared" si="66"/>
        <v>-6.3240669659021781E-2</v>
      </c>
      <c r="X361" t="str" cm="1">
        <f t="array" ref="X361">_xlfn.IFS(S361&lt;=25%, "Low", S361&lt;=75%, "Medium", S361&gt;75%, "High")</f>
        <v>Low</v>
      </c>
      <c r="Y361" s="8">
        <f>Table1[[#This Row],[Quantity]]*(Table1[[#This Row],[UnitPrice]]*(1-Table1[[#This Row],[DiscountPct]]))</f>
        <v>30229.994880000006</v>
      </c>
      <c r="Z361" s="9">
        <f t="shared" si="67"/>
        <v>-1911.7651199999964</v>
      </c>
      <c r="AA361">
        <f>COUNTIF($G$2:G362,G361)</f>
        <v>34</v>
      </c>
      <c r="AB361" s="21">
        <f t="shared" si="68"/>
        <v>44988</v>
      </c>
      <c r="AC361" s="21">
        <f t="shared" si="69"/>
        <v>45016</v>
      </c>
      <c r="AD361" s="5">
        <f>(Table1[[#This Row],[OrderDate]]-Table1[[#This Row],[Date of first order]])/30</f>
        <v>17.100000000000001</v>
      </c>
      <c r="AE361" t="str">
        <f t="shared" si="70"/>
        <v>Poor</v>
      </c>
      <c r="AF361">
        <f>COUNTIF(AE$2:AE362,AE361)</f>
        <v>255</v>
      </c>
      <c r="AG361" t="str">
        <f t="shared" si="71"/>
        <v>False</v>
      </c>
      <c r="AH361" s="7">
        <f>Table1[[#This Row],[UnitPrice]]*(1-Table1[[#This Row],[Disc Scenario]])*Table1[[#This Row],[Quantity]]</f>
        <v>30229.994880000006</v>
      </c>
      <c r="AI361">
        <f>ROUNDDOWN((Table1[[#This Row],[Quantity]]*(1+20%)),0)</f>
        <v>28</v>
      </c>
      <c r="AJ361" s="7">
        <f>Table1[[#This Row],[Quantity increase by 20%]]*Table1[[#This Row],[UnitPrice]]</f>
        <v>43648.920000000006</v>
      </c>
      <c r="AK361">
        <f>ROUNDDOWN(Table1[[#This Row],[Quantity]]*(1+20%),0)</f>
        <v>28</v>
      </c>
      <c r="AL361" s="7">
        <f>Table1[[#This Row],[UnitCost]]*(1+15%)</f>
        <v>1540.126</v>
      </c>
      <c r="AM361" s="9">
        <f>Table1[[#This Row],[Quantity]]*Table1[[#This Row],[Cost of unit by inflation 15%]]</f>
        <v>36963.023999999998</v>
      </c>
      <c r="AN361" s="21" cm="1">
        <f t="array" ref="AN361">_xlfn.UNIQUE(AC361)</f>
        <v>45016</v>
      </c>
    </row>
    <row r="362" spans="1:40" x14ac:dyDescent="0.35">
      <c r="A362" t="s">
        <v>266</v>
      </c>
      <c r="B362" s="21">
        <v>45502</v>
      </c>
      <c r="C362" s="10">
        <v>45504</v>
      </c>
      <c r="D362" s="3">
        <f t="shared" si="60"/>
        <v>2</v>
      </c>
      <c r="E362" s="10" t="str">
        <f t="shared" si="61"/>
        <v>Q3-2024</v>
      </c>
      <c r="F362" t="s">
        <v>647</v>
      </c>
      <c r="G362" t="s">
        <v>659</v>
      </c>
      <c r="H362" t="s">
        <v>699</v>
      </c>
      <c r="I362" t="s">
        <v>701</v>
      </c>
      <c r="J362" t="s">
        <v>708</v>
      </c>
      <c r="K362" t="s">
        <v>713</v>
      </c>
      <c r="L362" t="s">
        <v>727</v>
      </c>
      <c r="M362" t="s">
        <v>984</v>
      </c>
      <c r="N362" s="3">
        <v>798.97</v>
      </c>
      <c r="O362" s="3">
        <v>1814.06</v>
      </c>
      <c r="P362" s="6">
        <v>0.122</v>
      </c>
      <c r="Q362" s="6">
        <f>IF(Table1[[#This Row],[DiscountPct]]&gt;25%,25%,Table1[[#This Row],[DiscountPct]])</f>
        <v>0.122</v>
      </c>
      <c r="R362" s="5">
        <v>16</v>
      </c>
      <c r="S362" s="6">
        <f t="shared" si="62"/>
        <v>1.2704982665181419</v>
      </c>
      <c r="T362" s="8">
        <f t="shared" si="63"/>
        <v>25483.91488</v>
      </c>
      <c r="U362" s="8">
        <f t="shared" si="64"/>
        <v>12783.52</v>
      </c>
      <c r="V362" s="9">
        <f t="shared" si="65"/>
        <v>12700.39488</v>
      </c>
      <c r="W362" s="6">
        <f t="shared" si="66"/>
        <v>0.49836906691159061</v>
      </c>
      <c r="X362" t="str" cm="1">
        <f t="array" ref="X362">_xlfn.IFS(S362&lt;=25%, "Low", S362&lt;=75%, "Medium", S362&gt;75%, "High")</f>
        <v>High</v>
      </c>
      <c r="Y362" s="8">
        <f>Table1[[#This Row],[Quantity]]*(Table1[[#This Row],[UnitPrice]]*(1-Table1[[#This Row],[DiscountPct]]))</f>
        <v>25483.91488</v>
      </c>
      <c r="Z362" s="9">
        <f t="shared" si="67"/>
        <v>12700.39488</v>
      </c>
      <c r="AA362">
        <f>COUNTIF($G$2:G363,G362)</f>
        <v>33</v>
      </c>
      <c r="AB362" s="21">
        <f t="shared" si="68"/>
        <v>44988</v>
      </c>
      <c r="AC362" s="21">
        <f t="shared" si="69"/>
        <v>45016</v>
      </c>
      <c r="AD362" s="5">
        <f>(Table1[[#This Row],[OrderDate]]-Table1[[#This Row],[Date of first order]])/30</f>
        <v>17.133333333333333</v>
      </c>
      <c r="AE362" t="str">
        <f t="shared" si="70"/>
        <v>Good</v>
      </c>
      <c r="AF362">
        <f>COUNTIF(AE$2:AE363,AE362)</f>
        <v>106</v>
      </c>
      <c r="AG362" t="str">
        <f t="shared" si="71"/>
        <v>False</v>
      </c>
      <c r="AH362" s="7">
        <f>Table1[[#This Row],[UnitPrice]]*(1-Table1[[#This Row],[Disc Scenario]])*Table1[[#This Row],[Quantity]]</f>
        <v>25483.91488</v>
      </c>
      <c r="AI362">
        <f>ROUNDDOWN((Table1[[#This Row],[Quantity]]*(1+20%)),0)</f>
        <v>19</v>
      </c>
      <c r="AJ362" s="7">
        <f>Table1[[#This Row],[Quantity increase by 20%]]*Table1[[#This Row],[UnitPrice]]</f>
        <v>34467.14</v>
      </c>
      <c r="AK362">
        <f>ROUNDDOWN(Table1[[#This Row],[Quantity]]*(1+20%),0)</f>
        <v>19</v>
      </c>
      <c r="AL362" s="7">
        <f>Table1[[#This Row],[UnitCost]]*(1+15%)</f>
        <v>918.81549999999993</v>
      </c>
      <c r="AM362" s="9">
        <f>Table1[[#This Row],[Quantity]]*Table1[[#This Row],[Cost of unit by inflation 15%]]</f>
        <v>14701.047999999999</v>
      </c>
      <c r="AN362" s="21" cm="1">
        <f t="array" ref="AN362">_xlfn.UNIQUE(AC362)</f>
        <v>45016</v>
      </c>
    </row>
    <row r="363" spans="1:40" x14ac:dyDescent="0.35">
      <c r="A363" t="s">
        <v>606</v>
      </c>
      <c r="B363" s="21">
        <v>45504</v>
      </c>
      <c r="C363" s="10">
        <v>45519</v>
      </c>
      <c r="D363" s="3">
        <f t="shared" si="60"/>
        <v>15</v>
      </c>
      <c r="E363" s="10" t="str">
        <f t="shared" si="61"/>
        <v>Q3-2024</v>
      </c>
      <c r="F363" t="s">
        <v>646</v>
      </c>
      <c r="G363" t="s">
        <v>651</v>
      </c>
      <c r="H363" t="s">
        <v>688</v>
      </c>
      <c r="I363" t="s">
        <v>700</v>
      </c>
      <c r="J363" t="s">
        <v>708</v>
      </c>
      <c r="K363" t="s">
        <v>720</v>
      </c>
      <c r="L363" t="s">
        <v>731</v>
      </c>
      <c r="M363" t="s">
        <v>1322</v>
      </c>
      <c r="N363" s="3">
        <v>1252.52</v>
      </c>
      <c r="O363" s="3">
        <v>1417.24</v>
      </c>
      <c r="P363" s="6">
        <v>0.192</v>
      </c>
      <c r="Q363" s="6">
        <f>IF(Table1[[#This Row],[DiscountPct]]&gt;25%,25%,Table1[[#This Row],[DiscountPct]])</f>
        <v>0.192</v>
      </c>
      <c r="R363" s="5">
        <v>5</v>
      </c>
      <c r="S363" s="6">
        <f t="shared" si="62"/>
        <v>0.13151087407785905</v>
      </c>
      <c r="T363" s="8">
        <f t="shared" si="63"/>
        <v>5725.6496000000006</v>
      </c>
      <c r="U363" s="8">
        <f t="shared" si="64"/>
        <v>6262.6</v>
      </c>
      <c r="V363" s="9">
        <f t="shared" si="65"/>
        <v>-536.95039999999972</v>
      </c>
      <c r="W363" s="6">
        <f t="shared" si="66"/>
        <v>-9.3779821943696953E-2</v>
      </c>
      <c r="X363" t="str" cm="1">
        <f t="array" ref="X363">_xlfn.IFS(S363&lt;=25%, "Low", S363&lt;=75%, "Medium", S363&gt;75%, "High")</f>
        <v>Low</v>
      </c>
      <c r="Y363" s="8">
        <f>Table1[[#This Row],[Quantity]]*(Table1[[#This Row],[UnitPrice]]*(1-Table1[[#This Row],[DiscountPct]]))</f>
        <v>5725.6496000000006</v>
      </c>
      <c r="Z363" s="9">
        <f t="shared" si="67"/>
        <v>-536.95039999999972</v>
      </c>
      <c r="AA363">
        <f>COUNTIF($G$2:G364,G363)</f>
        <v>27</v>
      </c>
      <c r="AB363" s="21">
        <f t="shared" si="68"/>
        <v>44988</v>
      </c>
      <c r="AC363" s="21">
        <f t="shared" si="69"/>
        <v>45016</v>
      </c>
      <c r="AD363" s="5">
        <f>(Table1[[#This Row],[OrderDate]]-Table1[[#This Row],[Date of first order]])/30</f>
        <v>17.2</v>
      </c>
      <c r="AE363" t="str">
        <f t="shared" si="70"/>
        <v>Poor</v>
      </c>
      <c r="AF363">
        <f>COUNTIF(AE$2:AE364,AE363)</f>
        <v>256</v>
      </c>
      <c r="AG363" t="str">
        <f t="shared" si="71"/>
        <v>False</v>
      </c>
      <c r="AH363" s="7">
        <f>Table1[[#This Row],[UnitPrice]]*(1-Table1[[#This Row],[Disc Scenario]])*Table1[[#This Row],[Quantity]]</f>
        <v>5725.6496000000006</v>
      </c>
      <c r="AI363">
        <f>ROUNDDOWN((Table1[[#This Row],[Quantity]]*(1+20%)),0)</f>
        <v>6</v>
      </c>
      <c r="AJ363" s="7">
        <f>Table1[[#This Row],[Quantity increase by 20%]]*Table1[[#This Row],[UnitPrice]]</f>
        <v>8503.44</v>
      </c>
      <c r="AK363">
        <f>ROUNDDOWN(Table1[[#This Row],[Quantity]]*(1+20%),0)</f>
        <v>6</v>
      </c>
      <c r="AL363" s="7">
        <f>Table1[[#This Row],[UnitCost]]*(1+15%)</f>
        <v>1440.3979999999999</v>
      </c>
      <c r="AM363" s="9">
        <f>Table1[[#This Row],[Quantity]]*Table1[[#This Row],[Cost of unit by inflation 15%]]</f>
        <v>7201.99</v>
      </c>
      <c r="AN363" s="21" cm="1">
        <f t="array" ref="AN363">_xlfn.UNIQUE(AC363)</f>
        <v>45016</v>
      </c>
    </row>
    <row r="364" spans="1:40" x14ac:dyDescent="0.35">
      <c r="A364" t="s">
        <v>597</v>
      </c>
      <c r="B364" s="21">
        <v>45507</v>
      </c>
      <c r="C364" s="10">
        <v>45513</v>
      </c>
      <c r="D364" s="3">
        <f t="shared" si="60"/>
        <v>6</v>
      </c>
      <c r="E364" s="10" t="str">
        <f t="shared" si="61"/>
        <v>Q3-2024</v>
      </c>
      <c r="F364" t="s">
        <v>645</v>
      </c>
      <c r="G364" t="s">
        <v>649</v>
      </c>
      <c r="H364" t="s">
        <v>674</v>
      </c>
      <c r="I364" t="s">
        <v>703</v>
      </c>
      <c r="J364" t="s">
        <v>708</v>
      </c>
      <c r="K364" t="s">
        <v>721</v>
      </c>
      <c r="L364" t="s">
        <v>730</v>
      </c>
      <c r="M364" t="s">
        <v>1313</v>
      </c>
      <c r="N364" s="3">
        <v>643.21</v>
      </c>
      <c r="O364" s="3">
        <v>1112.81</v>
      </c>
      <c r="P364" s="6">
        <v>0.14099999999999999</v>
      </c>
      <c r="Q364" s="6">
        <f>IF(Table1[[#This Row],[DiscountPct]]&gt;25%,25%,Table1[[#This Row],[DiscountPct]])</f>
        <v>0.14099999999999999</v>
      </c>
      <c r="R364" s="5">
        <v>4</v>
      </c>
      <c r="S364" s="6">
        <f t="shared" si="62"/>
        <v>0.73008815161455809</v>
      </c>
      <c r="T364" s="8">
        <f t="shared" si="63"/>
        <v>3823.6151599999998</v>
      </c>
      <c r="U364" s="8">
        <f t="shared" si="64"/>
        <v>2572.84</v>
      </c>
      <c r="V364" s="9">
        <f t="shared" si="65"/>
        <v>1250.7751599999997</v>
      </c>
      <c r="W364" s="6">
        <f t="shared" si="66"/>
        <v>0.32711847496702562</v>
      </c>
      <c r="X364" t="str" cm="1">
        <f t="array" ref="X364">_xlfn.IFS(S364&lt;=25%, "Low", S364&lt;=75%, "Medium", S364&gt;75%, "High")</f>
        <v>Medium</v>
      </c>
      <c r="Y364" s="8">
        <f>Table1[[#This Row],[Quantity]]*(Table1[[#This Row],[UnitPrice]]*(1-Table1[[#This Row],[DiscountPct]]))</f>
        <v>3823.6151599999998</v>
      </c>
      <c r="Z364" s="9">
        <f t="shared" si="67"/>
        <v>1250.7751599999997</v>
      </c>
      <c r="AA364">
        <f>COUNTIF($G$2:G365,G364)</f>
        <v>36</v>
      </c>
      <c r="AB364" s="21">
        <f t="shared" si="68"/>
        <v>44988</v>
      </c>
      <c r="AC364" s="21">
        <f t="shared" si="69"/>
        <v>45016</v>
      </c>
      <c r="AD364" s="5">
        <f>(Table1[[#This Row],[OrderDate]]-Table1[[#This Row],[Date of first order]])/30</f>
        <v>17.3</v>
      </c>
      <c r="AE364" t="str">
        <f t="shared" si="70"/>
        <v>Good</v>
      </c>
      <c r="AF364">
        <f>COUNTIF(AE$2:AE365,AE364)</f>
        <v>107</v>
      </c>
      <c r="AG364" t="str">
        <f t="shared" si="71"/>
        <v>False</v>
      </c>
      <c r="AH364" s="7">
        <f>Table1[[#This Row],[UnitPrice]]*(1-Table1[[#This Row],[Disc Scenario]])*Table1[[#This Row],[Quantity]]</f>
        <v>3823.6151599999998</v>
      </c>
      <c r="AI364">
        <f>ROUNDDOWN((Table1[[#This Row],[Quantity]]*(1+20%)),0)</f>
        <v>4</v>
      </c>
      <c r="AJ364" s="7">
        <f>Table1[[#This Row],[Quantity increase by 20%]]*Table1[[#This Row],[UnitPrice]]</f>
        <v>4451.24</v>
      </c>
      <c r="AK364">
        <f>ROUNDDOWN(Table1[[#This Row],[Quantity]]*(1+20%),0)</f>
        <v>4</v>
      </c>
      <c r="AL364" s="7">
        <f>Table1[[#This Row],[UnitCost]]*(1+15%)</f>
        <v>739.69150000000002</v>
      </c>
      <c r="AM364" s="9">
        <f>Table1[[#This Row],[Quantity]]*Table1[[#This Row],[Cost of unit by inflation 15%]]</f>
        <v>2958.7660000000001</v>
      </c>
      <c r="AN364" s="21" cm="1">
        <f t="array" ref="AN364">_xlfn.UNIQUE(AC364)</f>
        <v>45016</v>
      </c>
    </row>
    <row r="365" spans="1:40" x14ac:dyDescent="0.35">
      <c r="A365" t="s">
        <v>508</v>
      </c>
      <c r="B365" s="21">
        <v>45508</v>
      </c>
      <c r="C365" s="10">
        <v>45521</v>
      </c>
      <c r="D365" s="3">
        <f t="shared" si="60"/>
        <v>13</v>
      </c>
      <c r="E365" s="10" t="str">
        <f t="shared" si="61"/>
        <v>Q3-2024</v>
      </c>
      <c r="F365" t="s">
        <v>647</v>
      </c>
      <c r="G365" t="s">
        <v>659</v>
      </c>
      <c r="H365" t="s">
        <v>696</v>
      </c>
      <c r="I365" t="s">
        <v>703</v>
      </c>
      <c r="J365" t="s">
        <v>706</v>
      </c>
      <c r="K365" t="s">
        <v>725</v>
      </c>
      <c r="L365" t="s">
        <v>731</v>
      </c>
      <c r="M365" t="s">
        <v>1225</v>
      </c>
      <c r="N365" s="3">
        <v>352.79</v>
      </c>
      <c r="O365" s="3">
        <v>754.22</v>
      </c>
      <c r="P365" s="6">
        <v>0.113</v>
      </c>
      <c r="Q365" s="6">
        <f>IF(Table1[[#This Row],[DiscountPct]]&gt;25%,25%,Table1[[#This Row],[DiscountPct]])</f>
        <v>0.113</v>
      </c>
      <c r="R365" s="5">
        <v>7</v>
      </c>
      <c r="S365" s="6">
        <f t="shared" si="62"/>
        <v>1.1378723886731483</v>
      </c>
      <c r="T365" s="8">
        <f t="shared" si="63"/>
        <v>4682.9519799999998</v>
      </c>
      <c r="U365" s="8">
        <f t="shared" si="64"/>
        <v>2469.5300000000002</v>
      </c>
      <c r="V365" s="9">
        <f t="shared" si="65"/>
        <v>2213.4219799999996</v>
      </c>
      <c r="W365" s="6">
        <f t="shared" si="66"/>
        <v>0.47265528014233443</v>
      </c>
      <c r="X365" t="str" cm="1">
        <f t="array" ref="X365">_xlfn.IFS(S365&lt;=25%, "Low", S365&lt;=75%, "Medium", S365&gt;75%, "High")</f>
        <v>High</v>
      </c>
      <c r="Y365" s="8">
        <f>Table1[[#This Row],[Quantity]]*(Table1[[#This Row],[UnitPrice]]*(1-Table1[[#This Row],[DiscountPct]]))</f>
        <v>4682.9519799999998</v>
      </c>
      <c r="Z365" s="9">
        <f t="shared" si="67"/>
        <v>2213.4219799999996</v>
      </c>
      <c r="AA365">
        <f>COUNTIF($G$2:G366,G365)</f>
        <v>34</v>
      </c>
      <c r="AB365" s="21">
        <f t="shared" si="68"/>
        <v>44988</v>
      </c>
      <c r="AC365" s="21">
        <f t="shared" si="69"/>
        <v>45016</v>
      </c>
      <c r="AD365" s="5">
        <f>(Table1[[#This Row],[OrderDate]]-Table1[[#This Row],[Date of first order]])/30</f>
        <v>17.333333333333332</v>
      </c>
      <c r="AE365" t="str">
        <f t="shared" si="70"/>
        <v>Poor</v>
      </c>
      <c r="AF365">
        <f>COUNTIF(AE$2:AE366,AE365)</f>
        <v>258</v>
      </c>
      <c r="AG365" t="str">
        <f t="shared" si="71"/>
        <v>False</v>
      </c>
      <c r="AH365" s="7">
        <f>Table1[[#This Row],[UnitPrice]]*(1-Table1[[#This Row],[Disc Scenario]])*Table1[[#This Row],[Quantity]]</f>
        <v>4682.9519799999998</v>
      </c>
      <c r="AI365">
        <f>ROUNDDOWN((Table1[[#This Row],[Quantity]]*(1+20%)),0)</f>
        <v>8</v>
      </c>
      <c r="AJ365" s="7">
        <f>Table1[[#This Row],[Quantity increase by 20%]]*Table1[[#This Row],[UnitPrice]]</f>
        <v>6033.76</v>
      </c>
      <c r="AK365">
        <f>ROUNDDOWN(Table1[[#This Row],[Quantity]]*(1+20%),0)</f>
        <v>8</v>
      </c>
      <c r="AL365" s="7">
        <f>Table1[[#This Row],[UnitCost]]*(1+15%)</f>
        <v>405.70850000000002</v>
      </c>
      <c r="AM365" s="9">
        <f>Table1[[#This Row],[Quantity]]*Table1[[#This Row],[Cost of unit by inflation 15%]]</f>
        <v>2839.9594999999999</v>
      </c>
      <c r="AN365" s="21" cm="1">
        <f t="array" ref="AN365">_xlfn.UNIQUE(AC365)</f>
        <v>45016</v>
      </c>
    </row>
    <row r="366" spans="1:40" x14ac:dyDescent="0.35">
      <c r="A366" t="s">
        <v>169</v>
      </c>
      <c r="B366" s="21">
        <v>45511</v>
      </c>
      <c r="C366" s="10">
        <v>45521</v>
      </c>
      <c r="D366" s="3">
        <f t="shared" si="60"/>
        <v>10</v>
      </c>
      <c r="E366" s="10" t="str">
        <f t="shared" si="61"/>
        <v>Q3-2024</v>
      </c>
      <c r="F366" t="s">
        <v>646</v>
      </c>
      <c r="G366" t="s">
        <v>651</v>
      </c>
      <c r="H366" t="s">
        <v>665</v>
      </c>
      <c r="I366" t="s">
        <v>703</v>
      </c>
      <c r="J366" t="s">
        <v>707</v>
      </c>
      <c r="K366" t="s">
        <v>722</v>
      </c>
      <c r="L366" t="s">
        <v>728</v>
      </c>
      <c r="M366" t="s">
        <v>887</v>
      </c>
      <c r="N366" s="3">
        <v>436.58</v>
      </c>
      <c r="O366" s="3">
        <v>527.48</v>
      </c>
      <c r="P366" s="6">
        <v>0.111</v>
      </c>
      <c r="Q366" s="6">
        <f>IF(Table1[[#This Row],[DiscountPct]]&gt;25%,25%,Table1[[#This Row],[DiscountPct]])</f>
        <v>0.111</v>
      </c>
      <c r="R366" s="5">
        <v>19</v>
      </c>
      <c r="S366" s="6">
        <f t="shared" si="62"/>
        <v>0.20820926290714195</v>
      </c>
      <c r="T366" s="8">
        <f t="shared" si="63"/>
        <v>8909.6646800000017</v>
      </c>
      <c r="U366" s="8">
        <f t="shared" si="64"/>
        <v>8295.02</v>
      </c>
      <c r="V366" s="9">
        <f t="shared" si="65"/>
        <v>614.64468000000124</v>
      </c>
      <c r="W366" s="6">
        <f t="shared" si="66"/>
        <v>6.8986286473802644E-2</v>
      </c>
      <c r="X366" t="str" cm="1">
        <f t="array" ref="X366">_xlfn.IFS(S366&lt;=25%, "Low", S366&lt;=75%, "Medium", S366&gt;75%, "High")</f>
        <v>Low</v>
      </c>
      <c r="Y366" s="8">
        <f>Table1[[#This Row],[Quantity]]*(Table1[[#This Row],[UnitPrice]]*(1-Table1[[#This Row],[DiscountPct]]))</f>
        <v>8909.6646799999999</v>
      </c>
      <c r="Z366" s="9">
        <f t="shared" si="67"/>
        <v>614.64467999999943</v>
      </c>
      <c r="AA366">
        <f>COUNTIF($G$2:G367,G366)</f>
        <v>29</v>
      </c>
      <c r="AB366" s="21">
        <f t="shared" si="68"/>
        <v>44988</v>
      </c>
      <c r="AC366" s="21">
        <f t="shared" si="69"/>
        <v>45016</v>
      </c>
      <c r="AD366" s="5">
        <f>(Table1[[#This Row],[OrderDate]]-Table1[[#This Row],[Date of first order]])/30</f>
        <v>17.433333333333334</v>
      </c>
      <c r="AE366" t="str">
        <f t="shared" si="70"/>
        <v>Poor</v>
      </c>
      <c r="AF366">
        <f>COUNTIF(AE$2:AE367,AE366)</f>
        <v>259</v>
      </c>
      <c r="AG366" t="str">
        <f t="shared" si="71"/>
        <v>False</v>
      </c>
      <c r="AH366" s="7">
        <f>Table1[[#This Row],[UnitPrice]]*(1-Table1[[#This Row],[Disc Scenario]])*Table1[[#This Row],[Quantity]]</f>
        <v>8909.6646799999999</v>
      </c>
      <c r="AI366">
        <f>ROUNDDOWN((Table1[[#This Row],[Quantity]]*(1+20%)),0)</f>
        <v>22</v>
      </c>
      <c r="AJ366" s="7">
        <f>Table1[[#This Row],[Quantity increase by 20%]]*Table1[[#This Row],[UnitPrice]]</f>
        <v>11604.560000000001</v>
      </c>
      <c r="AK366">
        <f>ROUNDDOWN(Table1[[#This Row],[Quantity]]*(1+20%),0)</f>
        <v>22</v>
      </c>
      <c r="AL366" s="7">
        <f>Table1[[#This Row],[UnitCost]]*(1+15%)</f>
        <v>502.06699999999995</v>
      </c>
      <c r="AM366" s="9">
        <f>Table1[[#This Row],[Quantity]]*Table1[[#This Row],[Cost of unit by inflation 15%]]</f>
        <v>9539.2729999999992</v>
      </c>
      <c r="AN366" s="21" cm="1">
        <f t="array" ref="AN366">_xlfn.UNIQUE(AC366)</f>
        <v>45016</v>
      </c>
    </row>
    <row r="367" spans="1:40" x14ac:dyDescent="0.35">
      <c r="A367" t="s">
        <v>366</v>
      </c>
      <c r="B367" s="21">
        <v>45512</v>
      </c>
      <c r="C367" s="10">
        <v>45524</v>
      </c>
      <c r="D367" s="3">
        <f t="shared" si="60"/>
        <v>12</v>
      </c>
      <c r="E367" s="10" t="str">
        <f t="shared" si="61"/>
        <v>Q3-2024</v>
      </c>
      <c r="F367" t="s">
        <v>646</v>
      </c>
      <c r="G367" t="s">
        <v>651</v>
      </c>
      <c r="H367" t="s">
        <v>665</v>
      </c>
      <c r="I367" t="s">
        <v>704</v>
      </c>
      <c r="J367" t="s">
        <v>706</v>
      </c>
      <c r="K367" t="s">
        <v>721</v>
      </c>
      <c r="L367" t="s">
        <v>728</v>
      </c>
      <c r="M367" t="s">
        <v>1084</v>
      </c>
      <c r="N367" s="3">
        <v>1233.3599999999999</v>
      </c>
      <c r="O367" s="3">
        <v>2120.4</v>
      </c>
      <c r="P367" s="6">
        <v>0.17899999999999999</v>
      </c>
      <c r="Q367" s="6">
        <f>IF(Table1[[#This Row],[DiscountPct]]&gt;25%,25%,Table1[[#This Row],[DiscountPct]])</f>
        <v>0.17899999999999999</v>
      </c>
      <c r="R367" s="5">
        <v>20</v>
      </c>
      <c r="S367" s="6">
        <f t="shared" si="62"/>
        <v>0.71920607122008195</v>
      </c>
      <c r="T367" s="8">
        <f t="shared" si="63"/>
        <v>34816.968000000001</v>
      </c>
      <c r="U367" s="8">
        <f t="shared" si="64"/>
        <v>24667.199999999997</v>
      </c>
      <c r="V367" s="9">
        <f t="shared" si="65"/>
        <v>10149.768000000004</v>
      </c>
      <c r="W367" s="6">
        <f t="shared" si="66"/>
        <v>0.29151785991244278</v>
      </c>
      <c r="X367" t="str" cm="1">
        <f t="array" ref="X367">_xlfn.IFS(S367&lt;=25%, "Low", S367&lt;=75%, "Medium", S367&gt;75%, "High")</f>
        <v>Medium</v>
      </c>
      <c r="Y367" s="8">
        <f>Table1[[#This Row],[Quantity]]*(Table1[[#This Row],[UnitPrice]]*(1-Table1[[#This Row],[DiscountPct]]))</f>
        <v>34816.968000000001</v>
      </c>
      <c r="Z367" s="9">
        <f t="shared" si="67"/>
        <v>10149.768000000004</v>
      </c>
      <c r="AA367">
        <f>COUNTIF($G$2:G368,G367)</f>
        <v>29</v>
      </c>
      <c r="AB367" s="21">
        <f t="shared" si="68"/>
        <v>44988</v>
      </c>
      <c r="AC367" s="21">
        <f t="shared" si="69"/>
        <v>45016</v>
      </c>
      <c r="AD367" s="5">
        <f>(Table1[[#This Row],[OrderDate]]-Table1[[#This Row],[Date of first order]])/30</f>
        <v>17.466666666666665</v>
      </c>
      <c r="AE367" t="str">
        <f t="shared" si="70"/>
        <v>Poor</v>
      </c>
      <c r="AF367">
        <f>COUNTIF(AE$2:AE368,AE367)</f>
        <v>260</v>
      </c>
      <c r="AG367" t="str">
        <f t="shared" si="71"/>
        <v>False</v>
      </c>
      <c r="AH367" s="7">
        <f>Table1[[#This Row],[UnitPrice]]*(1-Table1[[#This Row],[Disc Scenario]])*Table1[[#This Row],[Quantity]]</f>
        <v>34816.968000000001</v>
      </c>
      <c r="AI367">
        <f>ROUNDDOWN((Table1[[#This Row],[Quantity]]*(1+20%)),0)</f>
        <v>24</v>
      </c>
      <c r="AJ367" s="7">
        <f>Table1[[#This Row],[Quantity increase by 20%]]*Table1[[#This Row],[UnitPrice]]</f>
        <v>50889.600000000006</v>
      </c>
      <c r="AK367">
        <f>ROUNDDOWN(Table1[[#This Row],[Quantity]]*(1+20%),0)</f>
        <v>24</v>
      </c>
      <c r="AL367" s="7">
        <f>Table1[[#This Row],[UnitCost]]*(1+15%)</f>
        <v>1418.3639999999998</v>
      </c>
      <c r="AM367" s="9">
        <f>Table1[[#This Row],[Quantity]]*Table1[[#This Row],[Cost of unit by inflation 15%]]</f>
        <v>28367.279999999995</v>
      </c>
      <c r="AN367" s="21" cm="1">
        <f t="array" ref="AN367">_xlfn.UNIQUE(AC367)</f>
        <v>45016</v>
      </c>
    </row>
    <row r="368" spans="1:40" x14ac:dyDescent="0.35">
      <c r="A368" t="s">
        <v>404</v>
      </c>
      <c r="B368" s="21">
        <v>45514</v>
      </c>
      <c r="C368" s="10">
        <v>45542</v>
      </c>
      <c r="D368" s="3">
        <f t="shared" si="60"/>
        <v>28</v>
      </c>
      <c r="E368" s="10" t="str">
        <f t="shared" si="61"/>
        <v>Q3-2024</v>
      </c>
      <c r="F368" t="s">
        <v>648</v>
      </c>
      <c r="G368" t="s">
        <v>656</v>
      </c>
      <c r="H368" t="s">
        <v>672</v>
      </c>
      <c r="I368" t="s">
        <v>702</v>
      </c>
      <c r="J368" t="s">
        <v>710</v>
      </c>
      <c r="K368" t="s">
        <v>720</v>
      </c>
      <c r="L368" t="s">
        <v>727</v>
      </c>
      <c r="M368" t="s">
        <v>1121</v>
      </c>
      <c r="N368" s="3">
        <v>229.96</v>
      </c>
      <c r="O368" s="3">
        <v>564.26</v>
      </c>
      <c r="P368" s="6">
        <v>0.105</v>
      </c>
      <c r="Q368" s="6">
        <f>IF(Table1[[#This Row],[DiscountPct]]&gt;25%,25%,Table1[[#This Row],[DiscountPct]])</f>
        <v>0.105</v>
      </c>
      <c r="R368" s="5">
        <v>5</v>
      </c>
      <c r="S368" s="6">
        <f t="shared" si="62"/>
        <v>1.4537310836667243</v>
      </c>
      <c r="T368" s="8">
        <f t="shared" si="63"/>
        <v>2525.0635000000002</v>
      </c>
      <c r="U368" s="8">
        <f t="shared" si="64"/>
        <v>1149.8</v>
      </c>
      <c r="V368" s="9">
        <f t="shared" si="65"/>
        <v>1375.2635000000002</v>
      </c>
      <c r="W368" s="6">
        <f t="shared" si="66"/>
        <v>0.54464511486542821</v>
      </c>
      <c r="X368" t="str" cm="1">
        <f t="array" ref="X368">_xlfn.IFS(S368&lt;=25%, "Low", S368&lt;=75%, "Medium", S368&gt;75%, "High")</f>
        <v>High</v>
      </c>
      <c r="Y368" s="8">
        <f>Table1[[#This Row],[Quantity]]*(Table1[[#This Row],[UnitPrice]]*(1-Table1[[#This Row],[DiscountPct]]))</f>
        <v>2525.0635000000002</v>
      </c>
      <c r="Z368" s="9">
        <f t="shared" si="67"/>
        <v>1375.2635000000002</v>
      </c>
      <c r="AA368">
        <f>COUNTIF($G$2:G369,G368)</f>
        <v>30</v>
      </c>
      <c r="AB368" s="21">
        <f t="shared" si="68"/>
        <v>44988</v>
      </c>
      <c r="AC368" s="21">
        <f t="shared" si="69"/>
        <v>45016</v>
      </c>
      <c r="AD368" s="5">
        <f>(Table1[[#This Row],[OrderDate]]-Table1[[#This Row],[Date of first order]])/30</f>
        <v>17.533333333333335</v>
      </c>
      <c r="AE368" t="str">
        <f t="shared" si="70"/>
        <v>Poor</v>
      </c>
      <c r="AF368">
        <f>COUNTIF(AE$2:AE369,AE368)</f>
        <v>261</v>
      </c>
      <c r="AG368" t="str">
        <f t="shared" si="71"/>
        <v>False</v>
      </c>
      <c r="AH368" s="7">
        <f>Table1[[#This Row],[UnitPrice]]*(1-Table1[[#This Row],[Disc Scenario]])*Table1[[#This Row],[Quantity]]</f>
        <v>2525.0635000000002</v>
      </c>
      <c r="AI368">
        <f>ROUNDDOWN((Table1[[#This Row],[Quantity]]*(1+20%)),0)</f>
        <v>6</v>
      </c>
      <c r="AJ368" s="7">
        <f>Table1[[#This Row],[Quantity increase by 20%]]*Table1[[#This Row],[UnitPrice]]</f>
        <v>3385.56</v>
      </c>
      <c r="AK368">
        <f>ROUNDDOWN(Table1[[#This Row],[Quantity]]*(1+20%),0)</f>
        <v>6</v>
      </c>
      <c r="AL368" s="7">
        <f>Table1[[#This Row],[UnitCost]]*(1+15%)</f>
        <v>264.45400000000001</v>
      </c>
      <c r="AM368" s="9">
        <f>Table1[[#This Row],[Quantity]]*Table1[[#This Row],[Cost of unit by inflation 15%]]</f>
        <v>1322.27</v>
      </c>
      <c r="AN368" s="21" cm="1">
        <f t="array" ref="AN368">_xlfn.UNIQUE(AC368)</f>
        <v>45016</v>
      </c>
    </row>
    <row r="369" spans="1:40" x14ac:dyDescent="0.35">
      <c r="A369" t="s">
        <v>205</v>
      </c>
      <c r="B369" s="21">
        <v>45516</v>
      </c>
      <c r="C369" s="10">
        <v>45538</v>
      </c>
      <c r="D369" s="3">
        <f t="shared" si="60"/>
        <v>22</v>
      </c>
      <c r="E369" s="10" t="str">
        <f t="shared" si="61"/>
        <v>Q3-2024</v>
      </c>
      <c r="F369" t="s">
        <v>647</v>
      </c>
      <c r="G369" t="s">
        <v>659</v>
      </c>
      <c r="H369" t="s">
        <v>696</v>
      </c>
      <c r="I369" t="s">
        <v>703</v>
      </c>
      <c r="J369" t="s">
        <v>709</v>
      </c>
      <c r="K369" t="s">
        <v>713</v>
      </c>
      <c r="L369" t="s">
        <v>730</v>
      </c>
      <c r="M369" t="s">
        <v>923</v>
      </c>
      <c r="N369" s="3">
        <v>797.8</v>
      </c>
      <c r="O369" s="3">
        <v>886.22</v>
      </c>
      <c r="P369" s="6">
        <v>0.23599999999999999</v>
      </c>
      <c r="Q369" s="6">
        <f>IF(Table1[[#This Row],[DiscountPct]]&gt;25%,25%,Table1[[#This Row],[DiscountPct]])</f>
        <v>0.23599999999999999</v>
      </c>
      <c r="R369" s="5">
        <v>36</v>
      </c>
      <c r="S369" s="6">
        <f t="shared" si="62"/>
        <v>0.11082978190022572</v>
      </c>
      <c r="T369" s="8">
        <f t="shared" si="63"/>
        <v>24374.594880000001</v>
      </c>
      <c r="U369" s="8">
        <f t="shared" si="64"/>
        <v>28720.799999999999</v>
      </c>
      <c r="V369" s="9">
        <f t="shared" si="65"/>
        <v>-4346.2051199999987</v>
      </c>
      <c r="W369" s="6">
        <f t="shared" si="66"/>
        <v>-0.17830881462428633</v>
      </c>
      <c r="X369" t="str" cm="1">
        <f t="array" ref="X369">_xlfn.IFS(S369&lt;=25%, "Low", S369&lt;=75%, "Medium", S369&gt;75%, "High")</f>
        <v>Low</v>
      </c>
      <c r="Y369" s="8">
        <f>Table1[[#This Row],[Quantity]]*(Table1[[#This Row],[UnitPrice]]*(1-Table1[[#This Row],[DiscountPct]]))</f>
        <v>24374.594880000001</v>
      </c>
      <c r="Z369" s="9">
        <f t="shared" si="67"/>
        <v>-4346.2051199999987</v>
      </c>
      <c r="AA369">
        <f>COUNTIF($G$2:G370,G369)</f>
        <v>36</v>
      </c>
      <c r="AB369" s="21">
        <f t="shared" si="68"/>
        <v>44988</v>
      </c>
      <c r="AC369" s="21">
        <f t="shared" si="69"/>
        <v>45016</v>
      </c>
      <c r="AD369" s="5">
        <f>(Table1[[#This Row],[OrderDate]]-Table1[[#This Row],[Date of first order]])/30</f>
        <v>17.600000000000001</v>
      </c>
      <c r="AE369" t="str">
        <f t="shared" si="70"/>
        <v>Poor</v>
      </c>
      <c r="AF369">
        <f>COUNTIF(AE$2:AE370,AE369)</f>
        <v>261</v>
      </c>
      <c r="AG369" t="str">
        <f t="shared" si="71"/>
        <v>True</v>
      </c>
      <c r="AH369" s="7">
        <f>Table1[[#This Row],[UnitPrice]]*(1-Table1[[#This Row],[Disc Scenario]])*Table1[[#This Row],[Quantity]]</f>
        <v>24374.594880000001</v>
      </c>
      <c r="AI369">
        <f>ROUNDDOWN((Table1[[#This Row],[Quantity]]*(1+20%)),0)</f>
        <v>43</v>
      </c>
      <c r="AJ369" s="7">
        <f>Table1[[#This Row],[Quantity increase by 20%]]*Table1[[#This Row],[UnitPrice]]</f>
        <v>38107.46</v>
      </c>
      <c r="AK369">
        <f>ROUNDDOWN(Table1[[#This Row],[Quantity]]*(1+20%),0)</f>
        <v>43</v>
      </c>
      <c r="AL369" s="7">
        <f>Table1[[#This Row],[UnitCost]]*(1+15%)</f>
        <v>917.46999999999991</v>
      </c>
      <c r="AM369" s="9">
        <f>Table1[[#This Row],[Quantity]]*Table1[[#This Row],[Cost of unit by inflation 15%]]</f>
        <v>33028.92</v>
      </c>
      <c r="AN369" s="21" cm="1">
        <f t="array" ref="AN369">_xlfn.UNIQUE(AC369)</f>
        <v>45016</v>
      </c>
    </row>
    <row r="370" spans="1:40" x14ac:dyDescent="0.35">
      <c r="A370" t="s">
        <v>414</v>
      </c>
      <c r="B370" s="21">
        <v>45516</v>
      </c>
      <c r="C370" s="10">
        <v>45519</v>
      </c>
      <c r="D370" s="3">
        <f t="shared" si="60"/>
        <v>3</v>
      </c>
      <c r="E370" s="10" t="str">
        <f t="shared" si="61"/>
        <v>Q3-2024</v>
      </c>
      <c r="F370" t="s">
        <v>647</v>
      </c>
      <c r="G370" t="s">
        <v>659</v>
      </c>
      <c r="H370" t="s">
        <v>676</v>
      </c>
      <c r="I370" t="s">
        <v>700</v>
      </c>
      <c r="J370" t="s">
        <v>708</v>
      </c>
      <c r="K370" t="s">
        <v>725</v>
      </c>
      <c r="L370" t="s">
        <v>727</v>
      </c>
      <c r="M370" t="s">
        <v>1131</v>
      </c>
      <c r="N370" s="3">
        <v>850.7</v>
      </c>
      <c r="O370" s="3">
        <v>1118.56</v>
      </c>
      <c r="P370" s="6">
        <v>0.18</v>
      </c>
      <c r="Q370" s="6">
        <f>IF(Table1[[#This Row],[DiscountPct]]&gt;25%,25%,Table1[[#This Row],[DiscountPct]])</f>
        <v>0.18</v>
      </c>
      <c r="R370" s="5">
        <v>19</v>
      </c>
      <c r="S370" s="6">
        <f t="shared" si="62"/>
        <v>0.31487010697072987</v>
      </c>
      <c r="T370" s="8">
        <f t="shared" si="63"/>
        <v>17427.164800000002</v>
      </c>
      <c r="U370" s="8">
        <f t="shared" si="64"/>
        <v>16163.300000000001</v>
      </c>
      <c r="V370" s="9">
        <f t="shared" si="65"/>
        <v>1263.8648000000012</v>
      </c>
      <c r="W370" s="6">
        <f t="shared" si="66"/>
        <v>7.2522685962090688E-2</v>
      </c>
      <c r="X370" t="str" cm="1">
        <f t="array" ref="X370">_xlfn.IFS(S370&lt;=25%, "Low", S370&lt;=75%, "Medium", S370&gt;75%, "High")</f>
        <v>Medium</v>
      </c>
      <c r="Y370" s="8">
        <f>Table1[[#This Row],[Quantity]]*(Table1[[#This Row],[UnitPrice]]*(1-Table1[[#This Row],[DiscountPct]]))</f>
        <v>17427.164799999999</v>
      </c>
      <c r="Z370" s="9">
        <f t="shared" si="67"/>
        <v>1263.8647999999976</v>
      </c>
      <c r="AA370">
        <f>COUNTIF($G$2:G371,G370)</f>
        <v>36</v>
      </c>
      <c r="AB370" s="21">
        <f t="shared" si="68"/>
        <v>44988</v>
      </c>
      <c r="AC370" s="21">
        <f t="shared" si="69"/>
        <v>45016</v>
      </c>
      <c r="AD370" s="5">
        <f>(Table1[[#This Row],[OrderDate]]-Table1[[#This Row],[Date of first order]])/30</f>
        <v>17.600000000000001</v>
      </c>
      <c r="AE370" t="str">
        <f t="shared" si="70"/>
        <v>Good</v>
      </c>
      <c r="AF370">
        <f>COUNTIF(AE$2:AE371,AE370)</f>
        <v>108</v>
      </c>
      <c r="AG370" t="str">
        <f t="shared" si="71"/>
        <v>False</v>
      </c>
      <c r="AH370" s="7">
        <f>Table1[[#This Row],[UnitPrice]]*(1-Table1[[#This Row],[Disc Scenario]])*Table1[[#This Row],[Quantity]]</f>
        <v>17427.164799999999</v>
      </c>
      <c r="AI370">
        <f>ROUNDDOWN((Table1[[#This Row],[Quantity]]*(1+20%)),0)</f>
        <v>22</v>
      </c>
      <c r="AJ370" s="7">
        <f>Table1[[#This Row],[Quantity increase by 20%]]*Table1[[#This Row],[UnitPrice]]</f>
        <v>24608.32</v>
      </c>
      <c r="AK370">
        <f>ROUNDDOWN(Table1[[#This Row],[Quantity]]*(1+20%),0)</f>
        <v>22</v>
      </c>
      <c r="AL370" s="7">
        <f>Table1[[#This Row],[UnitCost]]*(1+15%)</f>
        <v>978.30499999999995</v>
      </c>
      <c r="AM370" s="9">
        <f>Table1[[#This Row],[Quantity]]*Table1[[#This Row],[Cost of unit by inflation 15%]]</f>
        <v>18587.794999999998</v>
      </c>
      <c r="AN370" s="21" cm="1">
        <f t="array" ref="AN370">_xlfn.UNIQUE(AC370)</f>
        <v>45016</v>
      </c>
    </row>
    <row r="371" spans="1:40" x14ac:dyDescent="0.35">
      <c r="A371" t="s">
        <v>122</v>
      </c>
      <c r="B371" s="21">
        <v>45518</v>
      </c>
      <c r="C371" s="10">
        <v>45539</v>
      </c>
      <c r="D371" s="3">
        <f t="shared" si="60"/>
        <v>21</v>
      </c>
      <c r="E371" s="10" t="str">
        <f t="shared" si="61"/>
        <v>Q3-2024</v>
      </c>
      <c r="F371" t="s">
        <v>648</v>
      </c>
      <c r="G371" t="s">
        <v>657</v>
      </c>
      <c r="H371" t="s">
        <v>692</v>
      </c>
      <c r="I371" t="s">
        <v>702</v>
      </c>
      <c r="J371" t="s">
        <v>707</v>
      </c>
      <c r="K371" t="s">
        <v>712</v>
      </c>
      <c r="L371" t="s">
        <v>729</v>
      </c>
      <c r="M371" t="s">
        <v>840</v>
      </c>
      <c r="N371" s="3">
        <v>1138.8</v>
      </c>
      <c r="O371" s="3">
        <v>2250.81</v>
      </c>
      <c r="P371" s="6">
        <v>0.123</v>
      </c>
      <c r="Q371" s="6">
        <f>IF(Table1[[#This Row],[DiscountPct]]&gt;25%,25%,Table1[[#This Row],[DiscountPct]])</f>
        <v>0.123</v>
      </c>
      <c r="R371" s="5">
        <v>12</v>
      </c>
      <c r="S371" s="6">
        <f t="shared" si="62"/>
        <v>0.9764752370916755</v>
      </c>
      <c r="T371" s="8">
        <f t="shared" si="63"/>
        <v>23687.524440000001</v>
      </c>
      <c r="U371" s="8">
        <f t="shared" si="64"/>
        <v>13665.599999999999</v>
      </c>
      <c r="V371" s="9">
        <f t="shared" si="65"/>
        <v>10021.924440000003</v>
      </c>
      <c r="W371" s="6">
        <f t="shared" si="66"/>
        <v>0.42308872188756258</v>
      </c>
      <c r="X371" t="str" cm="1">
        <f t="array" ref="X371">_xlfn.IFS(S371&lt;=25%, "Low", S371&lt;=75%, "Medium", S371&gt;75%, "High")</f>
        <v>High</v>
      </c>
      <c r="Y371" s="8">
        <f>Table1[[#This Row],[Quantity]]*(Table1[[#This Row],[UnitPrice]]*(1-Table1[[#This Row],[DiscountPct]]))</f>
        <v>23687.524440000001</v>
      </c>
      <c r="Z371" s="9">
        <f t="shared" si="67"/>
        <v>10021.924440000003</v>
      </c>
      <c r="AA371">
        <f>COUNTIF($G$2:G372,G371)</f>
        <v>31</v>
      </c>
      <c r="AB371" s="21">
        <f t="shared" si="68"/>
        <v>44988</v>
      </c>
      <c r="AC371" s="21">
        <f t="shared" si="69"/>
        <v>45016</v>
      </c>
      <c r="AD371" s="5">
        <f>(Table1[[#This Row],[OrderDate]]-Table1[[#This Row],[Date of first order]])/30</f>
        <v>17.666666666666668</v>
      </c>
      <c r="AE371" t="str">
        <f t="shared" si="70"/>
        <v>Poor</v>
      </c>
      <c r="AF371">
        <f>COUNTIF(AE$2:AE372,AE371)</f>
        <v>262</v>
      </c>
      <c r="AG371" t="str">
        <f t="shared" si="71"/>
        <v>False</v>
      </c>
      <c r="AH371" s="7">
        <f>Table1[[#This Row],[UnitPrice]]*(1-Table1[[#This Row],[Disc Scenario]])*Table1[[#This Row],[Quantity]]</f>
        <v>23687.524440000001</v>
      </c>
      <c r="AI371">
        <f>ROUNDDOWN((Table1[[#This Row],[Quantity]]*(1+20%)),0)</f>
        <v>14</v>
      </c>
      <c r="AJ371" s="7">
        <f>Table1[[#This Row],[Quantity increase by 20%]]*Table1[[#This Row],[UnitPrice]]</f>
        <v>31511.34</v>
      </c>
      <c r="AK371">
        <f>ROUNDDOWN(Table1[[#This Row],[Quantity]]*(1+20%),0)</f>
        <v>14</v>
      </c>
      <c r="AL371" s="7">
        <f>Table1[[#This Row],[UnitCost]]*(1+15%)</f>
        <v>1309.6199999999999</v>
      </c>
      <c r="AM371" s="9">
        <f>Table1[[#This Row],[Quantity]]*Table1[[#This Row],[Cost of unit by inflation 15%]]</f>
        <v>15715.439999999999</v>
      </c>
      <c r="AN371" s="21" cm="1">
        <f t="array" ref="AN371">_xlfn.UNIQUE(AC371)</f>
        <v>45016</v>
      </c>
    </row>
    <row r="372" spans="1:40" x14ac:dyDescent="0.35">
      <c r="A372" t="s">
        <v>612</v>
      </c>
      <c r="B372" s="21">
        <v>45519</v>
      </c>
      <c r="C372" s="10">
        <v>45521</v>
      </c>
      <c r="D372" s="3">
        <f t="shared" si="60"/>
        <v>2</v>
      </c>
      <c r="E372" s="10" t="str">
        <f t="shared" si="61"/>
        <v>Q3-2024</v>
      </c>
      <c r="F372" t="s">
        <v>647</v>
      </c>
      <c r="G372" t="s">
        <v>654</v>
      </c>
      <c r="H372" t="s">
        <v>691</v>
      </c>
      <c r="I372" t="s">
        <v>703</v>
      </c>
      <c r="J372" t="s">
        <v>710</v>
      </c>
      <c r="K372" t="s">
        <v>723</v>
      </c>
      <c r="L372" t="s">
        <v>731</v>
      </c>
      <c r="M372" t="s">
        <v>1328</v>
      </c>
      <c r="N372" s="3">
        <v>165.3</v>
      </c>
      <c r="O372" s="3">
        <v>275.07</v>
      </c>
      <c r="P372" s="6">
        <v>0.13300000000000001</v>
      </c>
      <c r="Q372" s="6">
        <f>IF(Table1[[#This Row],[DiscountPct]]&gt;25%,25%,Table1[[#This Row],[DiscountPct]])</f>
        <v>0.13300000000000001</v>
      </c>
      <c r="R372" s="5">
        <v>25</v>
      </c>
      <c r="S372" s="6">
        <f t="shared" si="62"/>
        <v>0.66406533575317583</v>
      </c>
      <c r="T372" s="8">
        <f t="shared" si="63"/>
        <v>5962.1422499999999</v>
      </c>
      <c r="U372" s="8">
        <f t="shared" si="64"/>
        <v>4132.5</v>
      </c>
      <c r="V372" s="9">
        <f t="shared" si="65"/>
        <v>1829.6422499999999</v>
      </c>
      <c r="W372" s="6">
        <f t="shared" si="66"/>
        <v>0.30687665159280625</v>
      </c>
      <c r="X372" t="str" cm="1">
        <f t="array" ref="X372">_xlfn.IFS(S372&lt;=25%, "Low", S372&lt;=75%, "Medium", S372&gt;75%, "High")</f>
        <v>Medium</v>
      </c>
      <c r="Y372" s="8">
        <f>Table1[[#This Row],[Quantity]]*(Table1[[#This Row],[UnitPrice]]*(1-Table1[[#This Row],[DiscountPct]]))</f>
        <v>5962.1422499999999</v>
      </c>
      <c r="Z372" s="9">
        <f t="shared" si="67"/>
        <v>1829.6422499999999</v>
      </c>
      <c r="AA372">
        <f>COUNTIF($G$2:G373,G372)</f>
        <v>35</v>
      </c>
      <c r="AB372" s="21">
        <f t="shared" si="68"/>
        <v>44988</v>
      </c>
      <c r="AC372" s="21">
        <f t="shared" si="69"/>
        <v>45016</v>
      </c>
      <c r="AD372" s="5">
        <f>(Table1[[#This Row],[OrderDate]]-Table1[[#This Row],[Date of first order]])/30</f>
        <v>17.7</v>
      </c>
      <c r="AE372" t="str">
        <f t="shared" si="70"/>
        <v>Good</v>
      </c>
      <c r="AF372">
        <f>COUNTIF(AE$2:AE373,AE372)</f>
        <v>109</v>
      </c>
      <c r="AG372" t="str">
        <f t="shared" si="71"/>
        <v>False</v>
      </c>
      <c r="AH372" s="7">
        <f>Table1[[#This Row],[UnitPrice]]*(1-Table1[[#This Row],[Disc Scenario]])*Table1[[#This Row],[Quantity]]</f>
        <v>5962.1422499999999</v>
      </c>
      <c r="AI372">
        <f>ROUNDDOWN((Table1[[#This Row],[Quantity]]*(1+20%)),0)</f>
        <v>30</v>
      </c>
      <c r="AJ372" s="7">
        <f>Table1[[#This Row],[Quantity increase by 20%]]*Table1[[#This Row],[UnitPrice]]</f>
        <v>8252.1</v>
      </c>
      <c r="AK372">
        <f>ROUNDDOWN(Table1[[#This Row],[Quantity]]*(1+20%),0)</f>
        <v>30</v>
      </c>
      <c r="AL372" s="7">
        <f>Table1[[#This Row],[UnitCost]]*(1+15%)</f>
        <v>190.095</v>
      </c>
      <c r="AM372" s="9">
        <f>Table1[[#This Row],[Quantity]]*Table1[[#This Row],[Cost of unit by inflation 15%]]</f>
        <v>4752.375</v>
      </c>
      <c r="AN372" s="21" cm="1">
        <f t="array" ref="AN372">_xlfn.UNIQUE(AC372)</f>
        <v>45016</v>
      </c>
    </row>
    <row r="373" spans="1:40" x14ac:dyDescent="0.35">
      <c r="A373" t="s">
        <v>550</v>
      </c>
      <c r="B373" s="21">
        <v>45520</v>
      </c>
      <c r="C373" s="10">
        <v>45530</v>
      </c>
      <c r="D373" s="3">
        <f t="shared" si="60"/>
        <v>10</v>
      </c>
      <c r="E373" s="10" t="str">
        <f t="shared" si="61"/>
        <v>Q3-2024</v>
      </c>
      <c r="F373" t="s">
        <v>647</v>
      </c>
      <c r="G373" t="s">
        <v>659</v>
      </c>
      <c r="H373" t="s">
        <v>676</v>
      </c>
      <c r="I373" t="s">
        <v>700</v>
      </c>
      <c r="J373" t="s">
        <v>709</v>
      </c>
      <c r="K373" t="s">
        <v>715</v>
      </c>
      <c r="L373" t="s">
        <v>730</v>
      </c>
      <c r="M373" t="s">
        <v>1118</v>
      </c>
      <c r="N373" s="3">
        <v>1291.7</v>
      </c>
      <c r="O373" s="3">
        <v>2657.84</v>
      </c>
      <c r="P373" s="6">
        <v>8.6999999999999994E-2</v>
      </c>
      <c r="Q373" s="6">
        <f>IF(Table1[[#This Row],[DiscountPct]]&gt;25%,25%,Table1[[#This Row],[DiscountPct]])</f>
        <v>8.6999999999999994E-2</v>
      </c>
      <c r="R373" s="5">
        <v>21</v>
      </c>
      <c r="S373" s="6">
        <f t="shared" si="62"/>
        <v>1.0576294805295348</v>
      </c>
      <c r="T373" s="8">
        <f t="shared" si="63"/>
        <v>50958.766320000002</v>
      </c>
      <c r="U373" s="8">
        <f t="shared" si="64"/>
        <v>27125.7</v>
      </c>
      <c r="V373" s="9">
        <f t="shared" si="65"/>
        <v>23833.066320000002</v>
      </c>
      <c r="W373" s="6">
        <f t="shared" si="66"/>
        <v>0.46769315745083367</v>
      </c>
      <c r="X373" t="str" cm="1">
        <f t="array" ref="X373">_xlfn.IFS(S373&lt;=25%, "Low", S373&lt;=75%, "Medium", S373&gt;75%, "High")</f>
        <v>High</v>
      </c>
      <c r="Y373" s="8">
        <f>Table1[[#This Row],[Quantity]]*(Table1[[#This Row],[UnitPrice]]*(1-Table1[[#This Row],[DiscountPct]]))</f>
        <v>50958.76632000001</v>
      </c>
      <c r="Z373" s="9">
        <f t="shared" si="67"/>
        <v>23833.066320000009</v>
      </c>
      <c r="AA373">
        <f>COUNTIF($G$2:G374,G373)</f>
        <v>37</v>
      </c>
      <c r="AB373" s="21">
        <f t="shared" si="68"/>
        <v>44988</v>
      </c>
      <c r="AC373" s="21">
        <f t="shared" si="69"/>
        <v>45016</v>
      </c>
      <c r="AD373" s="5">
        <f>(Table1[[#This Row],[OrderDate]]-Table1[[#This Row],[Date of first order]])/30</f>
        <v>17.733333333333334</v>
      </c>
      <c r="AE373" t="str">
        <f t="shared" si="70"/>
        <v>Poor</v>
      </c>
      <c r="AF373">
        <f>COUNTIF(AE$2:AE374,AE373)</f>
        <v>264</v>
      </c>
      <c r="AG373" t="str">
        <f t="shared" si="71"/>
        <v>False</v>
      </c>
      <c r="AH373" s="7">
        <f>Table1[[#This Row],[UnitPrice]]*(1-Table1[[#This Row],[Disc Scenario]])*Table1[[#This Row],[Quantity]]</f>
        <v>50958.76632000001</v>
      </c>
      <c r="AI373">
        <f>ROUNDDOWN((Table1[[#This Row],[Quantity]]*(1+20%)),0)</f>
        <v>25</v>
      </c>
      <c r="AJ373" s="7">
        <f>Table1[[#This Row],[Quantity increase by 20%]]*Table1[[#This Row],[UnitPrice]]</f>
        <v>66446</v>
      </c>
      <c r="AK373">
        <f>ROUNDDOWN(Table1[[#This Row],[Quantity]]*(1+20%),0)</f>
        <v>25</v>
      </c>
      <c r="AL373" s="7">
        <f>Table1[[#This Row],[UnitCost]]*(1+15%)</f>
        <v>1485.4549999999999</v>
      </c>
      <c r="AM373" s="9">
        <f>Table1[[#This Row],[Quantity]]*Table1[[#This Row],[Cost of unit by inflation 15%]]</f>
        <v>31194.555</v>
      </c>
      <c r="AN373" s="21" cm="1">
        <f t="array" ref="AN373">_xlfn.UNIQUE(AC373)</f>
        <v>45016</v>
      </c>
    </row>
    <row r="374" spans="1:40" x14ac:dyDescent="0.35">
      <c r="A374" t="s">
        <v>440</v>
      </c>
      <c r="B374" s="21">
        <v>45522</v>
      </c>
      <c r="C374" s="10">
        <v>45547</v>
      </c>
      <c r="D374" s="3">
        <f t="shared" si="60"/>
        <v>25</v>
      </c>
      <c r="E374" s="10" t="str">
        <f t="shared" si="61"/>
        <v>Q3-2024</v>
      </c>
      <c r="F374" t="s">
        <v>646</v>
      </c>
      <c r="G374" t="s">
        <v>653</v>
      </c>
      <c r="H374" t="s">
        <v>690</v>
      </c>
      <c r="I374" t="s">
        <v>703</v>
      </c>
      <c r="J374" t="s">
        <v>708</v>
      </c>
      <c r="K374" t="s">
        <v>711</v>
      </c>
      <c r="L374" t="s">
        <v>729</v>
      </c>
      <c r="M374" t="s">
        <v>1157</v>
      </c>
      <c r="N374" s="3">
        <v>1154.03</v>
      </c>
      <c r="O374" s="3">
        <v>1590.36</v>
      </c>
      <c r="P374" s="6">
        <v>0.17</v>
      </c>
      <c r="Q374" s="6">
        <f>IF(Table1[[#This Row],[DiscountPct]]&gt;25%,25%,Table1[[#This Row],[DiscountPct]])</f>
        <v>0.17</v>
      </c>
      <c r="R374" s="5">
        <v>18</v>
      </c>
      <c r="S374" s="6">
        <f t="shared" si="62"/>
        <v>0.37809242394045212</v>
      </c>
      <c r="T374" s="8">
        <f t="shared" si="63"/>
        <v>23759.9784</v>
      </c>
      <c r="U374" s="8">
        <f t="shared" si="64"/>
        <v>20772.54</v>
      </c>
      <c r="V374" s="9">
        <f t="shared" si="65"/>
        <v>2987.4383999999991</v>
      </c>
      <c r="W374" s="6">
        <f t="shared" si="66"/>
        <v>0.12573405369762453</v>
      </c>
      <c r="X374" t="str" cm="1">
        <f t="array" ref="X374">_xlfn.IFS(S374&lt;=25%, "Low", S374&lt;=75%, "Medium", S374&gt;75%, "High")</f>
        <v>Medium</v>
      </c>
      <c r="Y374" s="8">
        <f>Table1[[#This Row],[Quantity]]*(Table1[[#This Row],[UnitPrice]]*(1-Table1[[#This Row],[DiscountPct]]))</f>
        <v>23759.978399999996</v>
      </c>
      <c r="Z374" s="9">
        <f t="shared" si="67"/>
        <v>2987.4383999999955</v>
      </c>
      <c r="AA374">
        <f>COUNTIF($G$2:G375,G374)</f>
        <v>35</v>
      </c>
      <c r="AB374" s="21">
        <f t="shared" si="68"/>
        <v>44988</v>
      </c>
      <c r="AC374" s="21">
        <f t="shared" si="69"/>
        <v>45016</v>
      </c>
      <c r="AD374" s="5">
        <f>(Table1[[#This Row],[OrderDate]]-Table1[[#This Row],[Date of first order]])/30</f>
        <v>17.8</v>
      </c>
      <c r="AE374" t="str">
        <f t="shared" si="70"/>
        <v>Poor</v>
      </c>
      <c r="AF374">
        <f>COUNTIF(AE$2:AE375,AE374)</f>
        <v>265</v>
      </c>
      <c r="AG374" t="str">
        <f t="shared" si="71"/>
        <v>False</v>
      </c>
      <c r="AH374" s="7">
        <f>Table1[[#This Row],[UnitPrice]]*(1-Table1[[#This Row],[Disc Scenario]])*Table1[[#This Row],[Quantity]]</f>
        <v>23759.978399999996</v>
      </c>
      <c r="AI374">
        <f>ROUNDDOWN((Table1[[#This Row],[Quantity]]*(1+20%)),0)</f>
        <v>21</v>
      </c>
      <c r="AJ374" s="7">
        <f>Table1[[#This Row],[Quantity increase by 20%]]*Table1[[#This Row],[UnitPrice]]</f>
        <v>33397.56</v>
      </c>
      <c r="AK374">
        <f>ROUNDDOWN(Table1[[#This Row],[Quantity]]*(1+20%),0)</f>
        <v>21</v>
      </c>
      <c r="AL374" s="7">
        <f>Table1[[#This Row],[UnitCost]]*(1+15%)</f>
        <v>1327.1344999999999</v>
      </c>
      <c r="AM374" s="9">
        <f>Table1[[#This Row],[Quantity]]*Table1[[#This Row],[Cost of unit by inflation 15%]]</f>
        <v>23888.420999999998</v>
      </c>
      <c r="AN374" s="21" cm="1">
        <f t="array" ref="AN374">_xlfn.UNIQUE(AC374)</f>
        <v>45016</v>
      </c>
    </row>
    <row r="375" spans="1:40" x14ac:dyDescent="0.35">
      <c r="A375" t="s">
        <v>614</v>
      </c>
      <c r="B375" s="21">
        <v>45523</v>
      </c>
      <c r="C375" s="10">
        <v>45537</v>
      </c>
      <c r="D375" s="3">
        <f t="shared" si="60"/>
        <v>14</v>
      </c>
      <c r="E375" s="10" t="str">
        <f t="shared" si="61"/>
        <v>Q3-2024</v>
      </c>
      <c r="F375" t="s">
        <v>647</v>
      </c>
      <c r="G375" t="s">
        <v>652</v>
      </c>
      <c r="H375" t="s">
        <v>666</v>
      </c>
      <c r="I375" t="s">
        <v>703</v>
      </c>
      <c r="J375" t="s">
        <v>709</v>
      </c>
      <c r="K375" t="s">
        <v>711</v>
      </c>
      <c r="L375" t="s">
        <v>727</v>
      </c>
      <c r="M375" t="s">
        <v>1330</v>
      </c>
      <c r="N375" s="3">
        <v>1337.01</v>
      </c>
      <c r="O375" s="3">
        <v>2446.7283000000002</v>
      </c>
      <c r="P375" s="6">
        <v>0.16</v>
      </c>
      <c r="Q375" s="6">
        <f>IF(Table1[[#This Row],[DiscountPct]]&gt;25%,25%,Table1[[#This Row],[DiscountPct]])</f>
        <v>0.16</v>
      </c>
      <c r="R375" s="5">
        <v>7</v>
      </c>
      <c r="S375" s="6">
        <f t="shared" si="62"/>
        <v>0.83000000000000018</v>
      </c>
      <c r="T375" s="8">
        <f t="shared" si="63"/>
        <v>14386.762404000003</v>
      </c>
      <c r="U375" s="8">
        <f t="shared" si="64"/>
        <v>9359.07</v>
      </c>
      <c r="V375" s="9">
        <f t="shared" si="65"/>
        <v>5027.6924040000031</v>
      </c>
      <c r="W375" s="6">
        <f t="shared" si="66"/>
        <v>0.34946656258131681</v>
      </c>
      <c r="X375" t="str" cm="1">
        <f t="array" ref="X375">_xlfn.IFS(S375&lt;=25%, "Low", S375&lt;=75%, "Medium", S375&gt;75%, "High")</f>
        <v>High</v>
      </c>
      <c r="Y375" s="8">
        <f>Table1[[#This Row],[Quantity]]*(Table1[[#This Row],[UnitPrice]]*(1-Table1[[#This Row],[DiscountPct]]))</f>
        <v>14386.762404000001</v>
      </c>
      <c r="Z375" s="9">
        <f t="shared" si="67"/>
        <v>5027.6924040000013</v>
      </c>
      <c r="AA375">
        <f>COUNTIF($G$2:G376,G375)</f>
        <v>25</v>
      </c>
      <c r="AB375" s="21">
        <f t="shared" si="68"/>
        <v>44988</v>
      </c>
      <c r="AC375" s="21">
        <f t="shared" si="69"/>
        <v>45016</v>
      </c>
      <c r="AD375" s="5">
        <f>(Table1[[#This Row],[OrderDate]]-Table1[[#This Row],[Date of first order]])/30</f>
        <v>17.833333333333332</v>
      </c>
      <c r="AE375" t="str">
        <f t="shared" si="70"/>
        <v>Poor</v>
      </c>
      <c r="AF375">
        <f>COUNTIF(AE$2:AE376,AE375)</f>
        <v>266</v>
      </c>
      <c r="AG375" t="str">
        <f t="shared" si="71"/>
        <v>False</v>
      </c>
      <c r="AH375" s="7">
        <f>Table1[[#This Row],[UnitPrice]]*(1-Table1[[#This Row],[Disc Scenario]])*Table1[[#This Row],[Quantity]]</f>
        <v>14386.762404000001</v>
      </c>
      <c r="AI375">
        <f>ROUNDDOWN((Table1[[#This Row],[Quantity]]*(1+20%)),0)</f>
        <v>8</v>
      </c>
      <c r="AJ375" s="7">
        <f>Table1[[#This Row],[Quantity increase by 20%]]*Table1[[#This Row],[UnitPrice]]</f>
        <v>19573.826400000002</v>
      </c>
      <c r="AK375">
        <f>ROUNDDOWN(Table1[[#This Row],[Quantity]]*(1+20%),0)</f>
        <v>8</v>
      </c>
      <c r="AL375" s="7">
        <f>Table1[[#This Row],[UnitCost]]*(1+15%)</f>
        <v>1537.5614999999998</v>
      </c>
      <c r="AM375" s="9">
        <f>Table1[[#This Row],[Quantity]]*Table1[[#This Row],[Cost of unit by inflation 15%]]</f>
        <v>10762.930499999999</v>
      </c>
      <c r="AN375" s="21" cm="1">
        <f t="array" ref="AN375">_xlfn.UNIQUE(AC375)</f>
        <v>45016</v>
      </c>
    </row>
    <row r="376" spans="1:40" x14ac:dyDescent="0.35">
      <c r="A376" t="s">
        <v>504</v>
      </c>
      <c r="B376" s="21">
        <v>45523</v>
      </c>
      <c r="C376" s="10">
        <v>45542</v>
      </c>
      <c r="D376" s="3">
        <f t="shared" si="60"/>
        <v>19</v>
      </c>
      <c r="E376" s="10" t="str">
        <f t="shared" si="61"/>
        <v>Q3-2024</v>
      </c>
      <c r="F376" t="s">
        <v>648</v>
      </c>
      <c r="G376" t="s">
        <v>656</v>
      </c>
      <c r="H376" t="s">
        <v>678</v>
      </c>
      <c r="I376" t="s">
        <v>700</v>
      </c>
      <c r="J376" t="s">
        <v>710</v>
      </c>
      <c r="K376" t="s">
        <v>712</v>
      </c>
      <c r="L376" t="s">
        <v>726</v>
      </c>
      <c r="M376" t="s">
        <v>1221</v>
      </c>
      <c r="N376" s="3">
        <v>297.58999999999997</v>
      </c>
      <c r="O376" s="3">
        <v>666.41</v>
      </c>
      <c r="P376" s="6">
        <v>0</v>
      </c>
      <c r="Q376" s="6">
        <f>IF(Table1[[#This Row],[DiscountPct]]&gt;25%,25%,Table1[[#This Row],[DiscountPct]])</f>
        <v>0</v>
      </c>
      <c r="R376" s="5">
        <v>10</v>
      </c>
      <c r="S376" s="6">
        <f t="shared" si="62"/>
        <v>1.2393561611613295</v>
      </c>
      <c r="T376" s="8">
        <f t="shared" si="63"/>
        <v>6664.0999999999995</v>
      </c>
      <c r="U376" s="8">
        <f t="shared" si="64"/>
        <v>2975.8999999999996</v>
      </c>
      <c r="V376" s="9">
        <f t="shared" si="65"/>
        <v>3688.2</v>
      </c>
      <c r="W376" s="6">
        <f t="shared" si="66"/>
        <v>0.55344307558409989</v>
      </c>
      <c r="X376" t="str" cm="1">
        <f t="array" ref="X376">_xlfn.IFS(S376&lt;=25%, "Low", S376&lt;=75%, "Medium", S376&gt;75%, "High")</f>
        <v>High</v>
      </c>
      <c r="Y376" s="8">
        <f>Table1[[#This Row],[Quantity]]*(Table1[[#This Row],[UnitPrice]]*(1-Table1[[#This Row],[DiscountPct]]))</f>
        <v>6664.0999999999995</v>
      </c>
      <c r="Z376" s="9">
        <f t="shared" si="67"/>
        <v>3688.2</v>
      </c>
      <c r="AA376">
        <f>COUNTIF($G$2:G377,G376)</f>
        <v>31</v>
      </c>
      <c r="AB376" s="21">
        <f t="shared" si="68"/>
        <v>44988</v>
      </c>
      <c r="AC376" s="21">
        <f t="shared" si="69"/>
        <v>45016</v>
      </c>
      <c r="AD376" s="5">
        <f>(Table1[[#This Row],[OrderDate]]-Table1[[#This Row],[Date of first order]])/30</f>
        <v>17.833333333333332</v>
      </c>
      <c r="AE376" t="str">
        <f t="shared" si="70"/>
        <v>Poor</v>
      </c>
      <c r="AF376">
        <f>COUNTIF(AE$2:AE377,AE376)</f>
        <v>266</v>
      </c>
      <c r="AG376" t="str">
        <f t="shared" si="71"/>
        <v>False</v>
      </c>
      <c r="AH376" s="7">
        <f>Table1[[#This Row],[UnitPrice]]*(1-Table1[[#This Row],[Disc Scenario]])*Table1[[#This Row],[Quantity]]</f>
        <v>6664.0999999999995</v>
      </c>
      <c r="AI376">
        <f>ROUNDDOWN((Table1[[#This Row],[Quantity]]*(1+20%)),0)</f>
        <v>12</v>
      </c>
      <c r="AJ376" s="7">
        <f>Table1[[#This Row],[Quantity increase by 20%]]*Table1[[#This Row],[UnitPrice]]</f>
        <v>7996.92</v>
      </c>
      <c r="AK376">
        <f>ROUNDDOWN(Table1[[#This Row],[Quantity]]*(1+20%),0)</f>
        <v>12</v>
      </c>
      <c r="AL376" s="7">
        <f>Table1[[#This Row],[UnitCost]]*(1+15%)</f>
        <v>342.22849999999994</v>
      </c>
      <c r="AM376" s="9">
        <f>Table1[[#This Row],[Quantity]]*Table1[[#This Row],[Cost of unit by inflation 15%]]</f>
        <v>3422.2849999999994</v>
      </c>
      <c r="AN376" s="21" cm="1">
        <f t="array" ref="AN376">_xlfn.UNIQUE(AC376)</f>
        <v>45016</v>
      </c>
    </row>
    <row r="377" spans="1:40" x14ac:dyDescent="0.35">
      <c r="A377" t="s">
        <v>49</v>
      </c>
      <c r="B377" s="21">
        <v>45525</v>
      </c>
      <c r="C377" s="10">
        <v>45527</v>
      </c>
      <c r="D377" s="3">
        <f t="shared" si="60"/>
        <v>2</v>
      </c>
      <c r="E377" s="10" t="str">
        <f t="shared" si="61"/>
        <v>Q3-2024</v>
      </c>
      <c r="F377" t="s">
        <v>645</v>
      </c>
      <c r="G377" t="s">
        <v>660</v>
      </c>
      <c r="H377" t="s">
        <v>681</v>
      </c>
      <c r="I377" t="s">
        <v>701</v>
      </c>
      <c r="J377" t="s">
        <v>706</v>
      </c>
      <c r="K377" t="s">
        <v>717</v>
      </c>
      <c r="L377" t="s">
        <v>726</v>
      </c>
      <c r="M377" t="s">
        <v>767</v>
      </c>
      <c r="N377" s="3">
        <v>1432.52</v>
      </c>
      <c r="O377" s="3">
        <v>3036.87</v>
      </c>
      <c r="P377" s="6">
        <v>0</v>
      </c>
      <c r="Q377" s="6">
        <f>IF(Table1[[#This Row],[DiscountPct]]&gt;25%,25%,Table1[[#This Row],[DiscountPct]])</f>
        <v>0</v>
      </c>
      <c r="R377" s="5">
        <v>9</v>
      </c>
      <c r="S377" s="6">
        <f t="shared" si="62"/>
        <v>1.1199494596934074</v>
      </c>
      <c r="T377" s="8">
        <f t="shared" si="63"/>
        <v>27331.829999999998</v>
      </c>
      <c r="U377" s="8">
        <f t="shared" si="64"/>
        <v>12892.68</v>
      </c>
      <c r="V377" s="9">
        <f t="shared" si="65"/>
        <v>14439.149999999998</v>
      </c>
      <c r="W377" s="6">
        <f t="shared" si="66"/>
        <v>0.52829064135112791</v>
      </c>
      <c r="X377" t="str" cm="1">
        <f t="array" ref="X377">_xlfn.IFS(S377&lt;=25%, "Low", S377&lt;=75%, "Medium", S377&gt;75%, "High")</f>
        <v>High</v>
      </c>
      <c r="Y377" s="8">
        <f>Table1[[#This Row],[Quantity]]*(Table1[[#This Row],[UnitPrice]]*(1-Table1[[#This Row],[DiscountPct]]))</f>
        <v>27331.829999999998</v>
      </c>
      <c r="Z377" s="9">
        <f t="shared" si="67"/>
        <v>14439.149999999998</v>
      </c>
      <c r="AA377">
        <f>COUNTIF($G$2:G378,G377)</f>
        <v>32</v>
      </c>
      <c r="AB377" s="21">
        <f t="shared" si="68"/>
        <v>44988</v>
      </c>
      <c r="AC377" s="21">
        <f t="shared" si="69"/>
        <v>45016</v>
      </c>
      <c r="AD377" s="5">
        <f>(Table1[[#This Row],[OrderDate]]-Table1[[#This Row],[Date of first order]])/30</f>
        <v>17.899999999999999</v>
      </c>
      <c r="AE377" t="str">
        <f t="shared" si="70"/>
        <v>Good</v>
      </c>
      <c r="AF377">
        <f>COUNTIF(AE$2:AE378,AE377)</f>
        <v>110</v>
      </c>
      <c r="AG377" t="str">
        <f t="shared" si="71"/>
        <v>False</v>
      </c>
      <c r="AH377" s="7">
        <f>Table1[[#This Row],[UnitPrice]]*(1-Table1[[#This Row],[Disc Scenario]])*Table1[[#This Row],[Quantity]]</f>
        <v>27331.829999999998</v>
      </c>
      <c r="AI377">
        <f>ROUNDDOWN((Table1[[#This Row],[Quantity]]*(1+20%)),0)</f>
        <v>10</v>
      </c>
      <c r="AJ377" s="7">
        <f>Table1[[#This Row],[Quantity increase by 20%]]*Table1[[#This Row],[UnitPrice]]</f>
        <v>30368.699999999997</v>
      </c>
      <c r="AK377">
        <f>ROUNDDOWN(Table1[[#This Row],[Quantity]]*(1+20%),0)</f>
        <v>10</v>
      </c>
      <c r="AL377" s="7">
        <f>Table1[[#This Row],[UnitCost]]*(1+15%)</f>
        <v>1647.3979999999999</v>
      </c>
      <c r="AM377" s="9">
        <f>Table1[[#This Row],[Quantity]]*Table1[[#This Row],[Cost of unit by inflation 15%]]</f>
        <v>14826.581999999999</v>
      </c>
      <c r="AN377" s="21" cm="1">
        <f t="array" ref="AN377">_xlfn.UNIQUE(AC377)</f>
        <v>45016</v>
      </c>
    </row>
    <row r="378" spans="1:40" x14ac:dyDescent="0.35">
      <c r="A378" t="s">
        <v>456</v>
      </c>
      <c r="B378" s="21">
        <v>45526</v>
      </c>
      <c r="C378" s="10">
        <v>45539</v>
      </c>
      <c r="D378" s="3">
        <f t="shared" si="60"/>
        <v>13</v>
      </c>
      <c r="E378" s="10" t="str">
        <f t="shared" si="61"/>
        <v>Q3-2024</v>
      </c>
      <c r="F378" t="s">
        <v>648</v>
      </c>
      <c r="G378" t="s">
        <v>655</v>
      </c>
      <c r="H378" t="s">
        <v>697</v>
      </c>
      <c r="I378" t="s">
        <v>702</v>
      </c>
      <c r="J378" t="s">
        <v>706</v>
      </c>
      <c r="K378" t="s">
        <v>715</v>
      </c>
      <c r="L378" t="s">
        <v>727</v>
      </c>
      <c r="M378" t="s">
        <v>1173</v>
      </c>
      <c r="N378" s="3">
        <v>90.04</v>
      </c>
      <c r="O378" s="3">
        <v>194.62</v>
      </c>
      <c r="P378" s="6">
        <v>4.2999999999999997E-2</v>
      </c>
      <c r="Q378" s="6">
        <f>IF(Table1[[#This Row],[DiscountPct]]&gt;25%,25%,Table1[[#This Row],[DiscountPct]])</f>
        <v>4.2999999999999997E-2</v>
      </c>
      <c r="R378" s="5">
        <v>32</v>
      </c>
      <c r="S378" s="6">
        <f t="shared" si="62"/>
        <v>1.1614837849844513</v>
      </c>
      <c r="T378" s="8">
        <f t="shared" si="63"/>
        <v>5960.04288</v>
      </c>
      <c r="U378" s="8">
        <f t="shared" si="64"/>
        <v>2881.28</v>
      </c>
      <c r="V378" s="9">
        <f t="shared" si="65"/>
        <v>3078.7628799999998</v>
      </c>
      <c r="W378" s="6">
        <f t="shared" si="66"/>
        <v>0.51656723650954672</v>
      </c>
      <c r="X378" t="str" cm="1">
        <f t="array" ref="X378">_xlfn.IFS(S378&lt;=25%, "Low", S378&lt;=75%, "Medium", S378&gt;75%, "High")</f>
        <v>High</v>
      </c>
      <c r="Y378" s="8">
        <f>Table1[[#This Row],[Quantity]]*(Table1[[#This Row],[UnitPrice]]*(1-Table1[[#This Row],[DiscountPct]]))</f>
        <v>5960.04288</v>
      </c>
      <c r="Z378" s="9">
        <f t="shared" si="67"/>
        <v>3078.7628799999998</v>
      </c>
      <c r="AA378">
        <f>COUNTIF($G$2:G379,G378)</f>
        <v>33</v>
      </c>
      <c r="AB378" s="21">
        <f t="shared" si="68"/>
        <v>44988</v>
      </c>
      <c r="AC378" s="21">
        <f t="shared" si="69"/>
        <v>45016</v>
      </c>
      <c r="AD378" s="5">
        <f>(Table1[[#This Row],[OrderDate]]-Table1[[#This Row],[Date of first order]])/30</f>
        <v>17.933333333333334</v>
      </c>
      <c r="AE378" t="str">
        <f t="shared" si="70"/>
        <v>Poor</v>
      </c>
      <c r="AF378">
        <f>COUNTIF(AE$2:AE379,AE378)</f>
        <v>268</v>
      </c>
      <c r="AG378" t="str">
        <f t="shared" si="71"/>
        <v>False</v>
      </c>
      <c r="AH378" s="7">
        <f>Table1[[#This Row],[UnitPrice]]*(1-Table1[[#This Row],[Disc Scenario]])*Table1[[#This Row],[Quantity]]</f>
        <v>5960.04288</v>
      </c>
      <c r="AI378">
        <f>ROUNDDOWN((Table1[[#This Row],[Quantity]]*(1+20%)),0)</f>
        <v>38</v>
      </c>
      <c r="AJ378" s="7">
        <f>Table1[[#This Row],[Quantity increase by 20%]]*Table1[[#This Row],[UnitPrice]]</f>
        <v>7395.56</v>
      </c>
      <c r="AK378">
        <f>ROUNDDOWN(Table1[[#This Row],[Quantity]]*(1+20%),0)</f>
        <v>38</v>
      </c>
      <c r="AL378" s="7">
        <f>Table1[[#This Row],[UnitCost]]*(1+15%)</f>
        <v>103.54599999999999</v>
      </c>
      <c r="AM378" s="9">
        <f>Table1[[#This Row],[Quantity]]*Table1[[#This Row],[Cost of unit by inflation 15%]]</f>
        <v>3313.4719999999998</v>
      </c>
      <c r="AN378" s="21" cm="1">
        <f t="array" ref="AN378">_xlfn.UNIQUE(AC378)</f>
        <v>45016</v>
      </c>
    </row>
    <row r="379" spans="1:40" x14ac:dyDescent="0.35">
      <c r="A379" t="s">
        <v>55</v>
      </c>
      <c r="B379" s="21">
        <v>45531</v>
      </c>
      <c r="C379" s="10">
        <v>45554</v>
      </c>
      <c r="D379" s="3">
        <f t="shared" si="60"/>
        <v>23</v>
      </c>
      <c r="E379" s="10" t="str">
        <f t="shared" si="61"/>
        <v>Q3-2024</v>
      </c>
      <c r="F379" t="s">
        <v>648</v>
      </c>
      <c r="G379" t="s">
        <v>655</v>
      </c>
      <c r="H379" t="s">
        <v>670</v>
      </c>
      <c r="I379" t="s">
        <v>704</v>
      </c>
      <c r="J379" t="s">
        <v>710</v>
      </c>
      <c r="K379" t="s">
        <v>725</v>
      </c>
      <c r="L379" t="s">
        <v>731</v>
      </c>
      <c r="M379" t="s">
        <v>773</v>
      </c>
      <c r="N379" s="3">
        <v>1024.01</v>
      </c>
      <c r="O379" s="3">
        <v>1580.97</v>
      </c>
      <c r="P379" s="6">
        <v>3.6999999999999998E-2</v>
      </c>
      <c r="Q379" s="6">
        <f>IF(Table1[[#This Row],[DiscountPct]]&gt;25%,25%,Table1[[#This Row],[DiscountPct]])</f>
        <v>3.6999999999999998E-2</v>
      </c>
      <c r="R379" s="5">
        <v>27</v>
      </c>
      <c r="S379" s="6">
        <f t="shared" si="62"/>
        <v>0.54390093846739784</v>
      </c>
      <c r="T379" s="8">
        <f t="shared" si="63"/>
        <v>41106.800970000004</v>
      </c>
      <c r="U379" s="8">
        <f t="shared" si="64"/>
        <v>27648.27</v>
      </c>
      <c r="V379" s="9">
        <f t="shared" si="65"/>
        <v>13458.530970000003</v>
      </c>
      <c r="W379" s="6">
        <f t="shared" si="66"/>
        <v>0.3274039976942531</v>
      </c>
      <c r="X379" t="str" cm="1">
        <f t="array" ref="X379">_xlfn.IFS(S379&lt;=25%, "Low", S379&lt;=75%, "Medium", S379&gt;75%, "High")</f>
        <v>Medium</v>
      </c>
      <c r="Y379" s="8">
        <f>Table1[[#This Row],[Quantity]]*(Table1[[#This Row],[UnitPrice]]*(1-Table1[[#This Row],[DiscountPct]]))</f>
        <v>41106.800969999997</v>
      </c>
      <c r="Z379" s="9">
        <f t="shared" si="67"/>
        <v>13458.530969999996</v>
      </c>
      <c r="AA379">
        <f>COUNTIF($G$2:G380,G379)</f>
        <v>33</v>
      </c>
      <c r="AB379" s="21">
        <f t="shared" si="68"/>
        <v>44988</v>
      </c>
      <c r="AC379" s="21">
        <f t="shared" si="69"/>
        <v>45016</v>
      </c>
      <c r="AD379" s="5">
        <f>(Table1[[#This Row],[OrderDate]]-Table1[[#This Row],[Date of first order]])/30</f>
        <v>18.100000000000001</v>
      </c>
      <c r="AE379" t="str">
        <f t="shared" si="70"/>
        <v>Poor</v>
      </c>
      <c r="AF379">
        <f>COUNTIF(AE$2:AE380,AE379)</f>
        <v>269</v>
      </c>
      <c r="AG379" t="str">
        <f t="shared" si="71"/>
        <v>False</v>
      </c>
      <c r="AH379" s="7">
        <f>Table1[[#This Row],[UnitPrice]]*(1-Table1[[#This Row],[Disc Scenario]])*Table1[[#This Row],[Quantity]]</f>
        <v>41106.800969999997</v>
      </c>
      <c r="AI379">
        <f>ROUNDDOWN((Table1[[#This Row],[Quantity]]*(1+20%)),0)</f>
        <v>32</v>
      </c>
      <c r="AJ379" s="7">
        <f>Table1[[#This Row],[Quantity increase by 20%]]*Table1[[#This Row],[UnitPrice]]</f>
        <v>50591.040000000001</v>
      </c>
      <c r="AK379">
        <f>ROUNDDOWN(Table1[[#This Row],[Quantity]]*(1+20%),0)</f>
        <v>32</v>
      </c>
      <c r="AL379" s="7">
        <f>Table1[[#This Row],[UnitCost]]*(1+15%)</f>
        <v>1177.6115</v>
      </c>
      <c r="AM379" s="9">
        <f>Table1[[#This Row],[Quantity]]*Table1[[#This Row],[Cost of unit by inflation 15%]]</f>
        <v>31795.5105</v>
      </c>
      <c r="AN379" s="21" cm="1">
        <f t="array" ref="AN379">_xlfn.UNIQUE(AC379)</f>
        <v>45016</v>
      </c>
    </row>
    <row r="380" spans="1:40" x14ac:dyDescent="0.35">
      <c r="A380" t="s">
        <v>171</v>
      </c>
      <c r="B380" s="21">
        <v>45531</v>
      </c>
      <c r="C380" s="10">
        <v>45553</v>
      </c>
      <c r="D380" s="3">
        <f t="shared" si="60"/>
        <v>22</v>
      </c>
      <c r="E380" s="10" t="str">
        <f t="shared" si="61"/>
        <v>Q3-2024</v>
      </c>
      <c r="F380" t="s">
        <v>646</v>
      </c>
      <c r="G380" t="s">
        <v>653</v>
      </c>
      <c r="H380" t="s">
        <v>679</v>
      </c>
      <c r="I380" t="s">
        <v>703</v>
      </c>
      <c r="J380" t="s">
        <v>710</v>
      </c>
      <c r="K380" t="s">
        <v>716</v>
      </c>
      <c r="L380" t="s">
        <v>726</v>
      </c>
      <c r="M380" t="s">
        <v>889</v>
      </c>
      <c r="N380" s="3">
        <v>896.75</v>
      </c>
      <c r="O380" s="3">
        <v>1651.14</v>
      </c>
      <c r="P380" s="6">
        <v>2.5000000000000001E-2</v>
      </c>
      <c r="Q380" s="6">
        <f>IF(Table1[[#This Row],[DiscountPct]]&gt;25%,25%,Table1[[#This Row],[DiscountPct]])</f>
        <v>2.5000000000000001E-2</v>
      </c>
      <c r="R380" s="5">
        <v>15</v>
      </c>
      <c r="S380" s="6">
        <f t="shared" si="62"/>
        <v>0.84124895455812665</v>
      </c>
      <c r="T380" s="8">
        <f t="shared" si="63"/>
        <v>24147.922500000001</v>
      </c>
      <c r="U380" s="8">
        <f t="shared" si="64"/>
        <v>13451.25</v>
      </c>
      <c r="V380" s="9">
        <f t="shared" si="65"/>
        <v>10696.672500000001</v>
      </c>
      <c r="W380" s="6">
        <f t="shared" si="66"/>
        <v>0.44296450346815552</v>
      </c>
      <c r="X380" t="str" cm="1">
        <f t="array" ref="X380">_xlfn.IFS(S380&lt;=25%, "Low", S380&lt;=75%, "Medium", S380&gt;75%, "High")</f>
        <v>High</v>
      </c>
      <c r="Y380" s="8">
        <f>Table1[[#This Row],[Quantity]]*(Table1[[#This Row],[UnitPrice]]*(1-Table1[[#This Row],[DiscountPct]]))</f>
        <v>24147.922500000001</v>
      </c>
      <c r="Z380" s="9">
        <f t="shared" si="67"/>
        <v>10696.672500000001</v>
      </c>
      <c r="AA380">
        <f>COUNTIF($G$2:G381,G380)</f>
        <v>36</v>
      </c>
      <c r="AB380" s="21">
        <f t="shared" si="68"/>
        <v>44988</v>
      </c>
      <c r="AC380" s="21">
        <f t="shared" si="69"/>
        <v>45016</v>
      </c>
      <c r="AD380" s="5">
        <f>(Table1[[#This Row],[OrderDate]]-Table1[[#This Row],[Date of first order]])/30</f>
        <v>18.100000000000001</v>
      </c>
      <c r="AE380" t="str">
        <f t="shared" si="70"/>
        <v>Poor</v>
      </c>
      <c r="AF380">
        <f>COUNTIF(AE$2:AE381,AE380)</f>
        <v>270</v>
      </c>
      <c r="AG380" t="str">
        <f t="shared" si="71"/>
        <v>False</v>
      </c>
      <c r="AH380" s="7">
        <f>Table1[[#This Row],[UnitPrice]]*(1-Table1[[#This Row],[Disc Scenario]])*Table1[[#This Row],[Quantity]]</f>
        <v>24147.922500000001</v>
      </c>
      <c r="AI380">
        <f>ROUNDDOWN((Table1[[#This Row],[Quantity]]*(1+20%)),0)</f>
        <v>18</v>
      </c>
      <c r="AJ380" s="7">
        <f>Table1[[#This Row],[Quantity increase by 20%]]*Table1[[#This Row],[UnitPrice]]</f>
        <v>29720.52</v>
      </c>
      <c r="AK380">
        <f>ROUNDDOWN(Table1[[#This Row],[Quantity]]*(1+20%),0)</f>
        <v>18</v>
      </c>
      <c r="AL380" s="7">
        <f>Table1[[#This Row],[UnitCost]]*(1+15%)</f>
        <v>1031.2624999999998</v>
      </c>
      <c r="AM380" s="9">
        <f>Table1[[#This Row],[Quantity]]*Table1[[#This Row],[Cost of unit by inflation 15%]]</f>
        <v>15468.937499999996</v>
      </c>
      <c r="AN380" s="21" cm="1">
        <f t="array" ref="AN380">_xlfn.UNIQUE(AC380)</f>
        <v>45016</v>
      </c>
    </row>
    <row r="381" spans="1:40" x14ac:dyDescent="0.35">
      <c r="A381" t="s">
        <v>91</v>
      </c>
      <c r="B381" s="21">
        <v>45532</v>
      </c>
      <c r="C381" s="10">
        <v>45560</v>
      </c>
      <c r="D381" s="3">
        <f t="shared" si="60"/>
        <v>28</v>
      </c>
      <c r="E381" s="10" t="str">
        <f t="shared" si="61"/>
        <v>Q3-2024</v>
      </c>
      <c r="F381" t="s">
        <v>647</v>
      </c>
      <c r="G381" t="s">
        <v>654</v>
      </c>
      <c r="H381" t="s">
        <v>691</v>
      </c>
      <c r="I381" t="s">
        <v>702</v>
      </c>
      <c r="J381" t="s">
        <v>707</v>
      </c>
      <c r="K381" t="s">
        <v>713</v>
      </c>
      <c r="L381" t="s">
        <v>732</v>
      </c>
      <c r="M381" t="s">
        <v>809</v>
      </c>
      <c r="N381" s="3">
        <v>1394.65</v>
      </c>
      <c r="O381" s="3">
        <v>3144.1</v>
      </c>
      <c r="P381" s="6">
        <v>0.13400000000000001</v>
      </c>
      <c r="Q381" s="6">
        <f>IF(Table1[[#This Row],[DiscountPct]]&gt;25%,25%,Table1[[#This Row],[DiscountPct]])</f>
        <v>0.13400000000000001</v>
      </c>
      <c r="R381" s="5">
        <v>13</v>
      </c>
      <c r="S381" s="6">
        <f t="shared" si="62"/>
        <v>1.254400745706808</v>
      </c>
      <c r="T381" s="8">
        <f t="shared" si="63"/>
        <v>35396.277799999996</v>
      </c>
      <c r="U381" s="8">
        <f t="shared" si="64"/>
        <v>18130.45</v>
      </c>
      <c r="V381" s="9">
        <f t="shared" si="65"/>
        <v>17265.827799999995</v>
      </c>
      <c r="W381" s="6">
        <f t="shared" si="66"/>
        <v>0.4877865378263021</v>
      </c>
      <c r="X381" t="str" cm="1">
        <f t="array" ref="X381">_xlfn.IFS(S381&lt;=25%, "Low", S381&lt;=75%, "Medium", S381&gt;75%, "High")</f>
        <v>High</v>
      </c>
      <c r="Y381" s="8">
        <f>Table1[[#This Row],[Quantity]]*(Table1[[#This Row],[UnitPrice]]*(1-Table1[[#This Row],[DiscountPct]]))</f>
        <v>35396.277799999996</v>
      </c>
      <c r="Z381" s="9">
        <f t="shared" si="67"/>
        <v>17265.827799999995</v>
      </c>
      <c r="AA381">
        <f>COUNTIF($G$2:G382,G381)</f>
        <v>36</v>
      </c>
      <c r="AB381" s="21">
        <f t="shared" si="68"/>
        <v>44988</v>
      </c>
      <c r="AC381" s="21">
        <f t="shared" si="69"/>
        <v>45016</v>
      </c>
      <c r="AD381" s="5">
        <f>(Table1[[#This Row],[OrderDate]]-Table1[[#This Row],[Date of first order]])/30</f>
        <v>18.133333333333333</v>
      </c>
      <c r="AE381" t="str">
        <f t="shared" si="70"/>
        <v>Poor</v>
      </c>
      <c r="AF381">
        <f>COUNTIF(AE$2:AE382,AE381)</f>
        <v>270</v>
      </c>
      <c r="AG381" t="str">
        <f t="shared" si="71"/>
        <v>False</v>
      </c>
      <c r="AH381" s="7">
        <f>Table1[[#This Row],[UnitPrice]]*(1-Table1[[#This Row],[Disc Scenario]])*Table1[[#This Row],[Quantity]]</f>
        <v>35396.277799999996</v>
      </c>
      <c r="AI381">
        <f>ROUNDDOWN((Table1[[#This Row],[Quantity]]*(1+20%)),0)</f>
        <v>15</v>
      </c>
      <c r="AJ381" s="7">
        <f>Table1[[#This Row],[Quantity increase by 20%]]*Table1[[#This Row],[UnitPrice]]</f>
        <v>47161.5</v>
      </c>
      <c r="AK381">
        <f>ROUNDDOWN(Table1[[#This Row],[Quantity]]*(1+20%),0)</f>
        <v>15</v>
      </c>
      <c r="AL381" s="7">
        <f>Table1[[#This Row],[UnitCost]]*(1+15%)</f>
        <v>1603.8475000000001</v>
      </c>
      <c r="AM381" s="9">
        <f>Table1[[#This Row],[Quantity]]*Table1[[#This Row],[Cost of unit by inflation 15%]]</f>
        <v>20850.017500000002</v>
      </c>
      <c r="AN381" s="21" cm="1">
        <f t="array" ref="AN381">_xlfn.UNIQUE(AC381)</f>
        <v>45016</v>
      </c>
    </row>
    <row r="382" spans="1:40" x14ac:dyDescent="0.35">
      <c r="A382" t="s">
        <v>423</v>
      </c>
      <c r="B382" s="21">
        <v>45534</v>
      </c>
      <c r="C382" s="10">
        <v>45540</v>
      </c>
      <c r="D382" s="3">
        <f t="shared" si="60"/>
        <v>6</v>
      </c>
      <c r="E382" s="10" t="str">
        <f t="shared" si="61"/>
        <v>Q3-2024</v>
      </c>
      <c r="F382" t="s">
        <v>646</v>
      </c>
      <c r="G382" t="s">
        <v>651</v>
      </c>
      <c r="H382" t="s">
        <v>693</v>
      </c>
      <c r="I382" t="s">
        <v>701</v>
      </c>
      <c r="J382" t="s">
        <v>707</v>
      </c>
      <c r="K382" t="s">
        <v>724</v>
      </c>
      <c r="L382" t="s">
        <v>730</v>
      </c>
      <c r="M382" t="s">
        <v>1140</v>
      </c>
      <c r="N382" s="3">
        <v>466.16</v>
      </c>
      <c r="O382" s="3">
        <v>876.81</v>
      </c>
      <c r="P382" s="6">
        <v>0.24099999999999999</v>
      </c>
      <c r="Q382" s="6">
        <f>IF(Table1[[#This Row],[DiscountPct]]&gt;25%,25%,Table1[[#This Row],[DiscountPct]])</f>
        <v>0.24099999999999999</v>
      </c>
      <c r="R382" s="5">
        <v>8</v>
      </c>
      <c r="S382" s="6">
        <f t="shared" si="62"/>
        <v>0.88092071391796789</v>
      </c>
      <c r="T382" s="8">
        <f t="shared" si="63"/>
        <v>5323.9903199999999</v>
      </c>
      <c r="U382" s="8">
        <f t="shared" si="64"/>
        <v>3729.28</v>
      </c>
      <c r="V382" s="9">
        <f t="shared" si="65"/>
        <v>1594.7103199999997</v>
      </c>
      <c r="W382" s="6">
        <f t="shared" si="66"/>
        <v>0.29953291124691594</v>
      </c>
      <c r="X382" t="str" cm="1">
        <f t="array" ref="X382">_xlfn.IFS(S382&lt;=25%, "Low", S382&lt;=75%, "Medium", S382&gt;75%, "High")</f>
        <v>High</v>
      </c>
      <c r="Y382" s="8">
        <f>Table1[[#This Row],[Quantity]]*(Table1[[#This Row],[UnitPrice]]*(1-Table1[[#This Row],[DiscountPct]]))</f>
        <v>5323.9903199999999</v>
      </c>
      <c r="Z382" s="9">
        <f t="shared" si="67"/>
        <v>1594.7103199999997</v>
      </c>
      <c r="AA382">
        <f>COUNTIF($G$2:G383,G382)</f>
        <v>31</v>
      </c>
      <c r="AB382" s="21">
        <f t="shared" si="68"/>
        <v>44988</v>
      </c>
      <c r="AC382" s="21">
        <f t="shared" si="69"/>
        <v>45016</v>
      </c>
      <c r="AD382" s="5">
        <f>(Table1[[#This Row],[OrderDate]]-Table1[[#This Row],[Date of first order]])/30</f>
        <v>18.2</v>
      </c>
      <c r="AE382" t="str">
        <f t="shared" si="70"/>
        <v>Good</v>
      </c>
      <c r="AF382">
        <f>COUNTIF(AE$2:AE383,AE382)</f>
        <v>111</v>
      </c>
      <c r="AG382" t="str">
        <f t="shared" si="71"/>
        <v>True</v>
      </c>
      <c r="AH382" s="7">
        <f>Table1[[#This Row],[UnitPrice]]*(1-Table1[[#This Row],[Disc Scenario]])*Table1[[#This Row],[Quantity]]</f>
        <v>5323.9903199999999</v>
      </c>
      <c r="AI382">
        <f>ROUNDDOWN((Table1[[#This Row],[Quantity]]*(1+20%)),0)</f>
        <v>9</v>
      </c>
      <c r="AJ382" s="7">
        <f>Table1[[#This Row],[Quantity increase by 20%]]*Table1[[#This Row],[UnitPrice]]</f>
        <v>7891.2899999999991</v>
      </c>
      <c r="AK382">
        <f>ROUNDDOWN(Table1[[#This Row],[Quantity]]*(1+20%),0)</f>
        <v>9</v>
      </c>
      <c r="AL382" s="7">
        <f>Table1[[#This Row],[UnitCost]]*(1+15%)</f>
        <v>536.08399999999995</v>
      </c>
      <c r="AM382" s="9">
        <f>Table1[[#This Row],[Quantity]]*Table1[[#This Row],[Cost of unit by inflation 15%]]</f>
        <v>4288.6719999999996</v>
      </c>
      <c r="AN382" s="21" cm="1">
        <f t="array" ref="AN382">_xlfn.UNIQUE(AC382)</f>
        <v>45016</v>
      </c>
    </row>
    <row r="383" spans="1:40" x14ac:dyDescent="0.35">
      <c r="A383" t="s">
        <v>568</v>
      </c>
      <c r="B383" s="21">
        <v>45535</v>
      </c>
      <c r="C383" s="10">
        <v>45561</v>
      </c>
      <c r="D383" s="3">
        <f t="shared" si="60"/>
        <v>26</v>
      </c>
      <c r="E383" s="10" t="str">
        <f t="shared" si="61"/>
        <v>Q3-2024</v>
      </c>
      <c r="F383" t="s">
        <v>646</v>
      </c>
      <c r="G383" t="s">
        <v>651</v>
      </c>
      <c r="H383" t="s">
        <v>688</v>
      </c>
      <c r="I383" t="s">
        <v>701</v>
      </c>
      <c r="J383" t="s">
        <v>707</v>
      </c>
      <c r="K383" t="s">
        <v>713</v>
      </c>
      <c r="L383" t="s">
        <v>729</v>
      </c>
      <c r="M383" t="s">
        <v>1284</v>
      </c>
      <c r="N383" s="3">
        <v>1189.03</v>
      </c>
      <c r="O383" s="3">
        <v>2949.62</v>
      </c>
      <c r="P383" s="6">
        <v>0.125</v>
      </c>
      <c r="Q383" s="6">
        <f>IF(Table1[[#This Row],[DiscountPct]]&gt;25%,25%,Table1[[#This Row],[DiscountPct]])</f>
        <v>0.125</v>
      </c>
      <c r="R383" s="5">
        <v>13</v>
      </c>
      <c r="S383" s="6">
        <f t="shared" si="62"/>
        <v>1.480694347493335</v>
      </c>
      <c r="T383" s="8">
        <f t="shared" si="63"/>
        <v>33551.927499999998</v>
      </c>
      <c r="U383" s="8">
        <f t="shared" si="64"/>
        <v>15457.39</v>
      </c>
      <c r="V383" s="9">
        <f t="shared" si="65"/>
        <v>18094.537499999999</v>
      </c>
      <c r="W383" s="6">
        <f t="shared" si="66"/>
        <v>0.53929949330034765</v>
      </c>
      <c r="X383" t="str" cm="1">
        <f t="array" ref="X383">_xlfn.IFS(S383&lt;=25%, "Low", S383&lt;=75%, "Medium", S383&gt;75%, "High")</f>
        <v>High</v>
      </c>
      <c r="Y383" s="8">
        <f>Table1[[#This Row],[Quantity]]*(Table1[[#This Row],[UnitPrice]]*(1-Table1[[#This Row],[DiscountPct]]))</f>
        <v>33551.927499999998</v>
      </c>
      <c r="Z383" s="9">
        <f t="shared" si="67"/>
        <v>18094.537499999999</v>
      </c>
      <c r="AA383">
        <f>COUNTIF($G$2:G384,G383)</f>
        <v>31</v>
      </c>
      <c r="AB383" s="21">
        <f t="shared" si="68"/>
        <v>44988</v>
      </c>
      <c r="AC383" s="21">
        <f t="shared" si="69"/>
        <v>45016</v>
      </c>
      <c r="AD383" s="5">
        <f>(Table1[[#This Row],[OrderDate]]-Table1[[#This Row],[Date of first order]])/30</f>
        <v>18.233333333333334</v>
      </c>
      <c r="AE383" t="str">
        <f t="shared" si="70"/>
        <v>Poor</v>
      </c>
      <c r="AF383">
        <f>COUNTIF(AE$2:AE384,AE383)</f>
        <v>271</v>
      </c>
      <c r="AG383" t="str">
        <f t="shared" si="71"/>
        <v>False</v>
      </c>
      <c r="AH383" s="7">
        <f>Table1[[#This Row],[UnitPrice]]*(1-Table1[[#This Row],[Disc Scenario]])*Table1[[#This Row],[Quantity]]</f>
        <v>33551.927499999998</v>
      </c>
      <c r="AI383">
        <f>ROUNDDOWN((Table1[[#This Row],[Quantity]]*(1+20%)),0)</f>
        <v>15</v>
      </c>
      <c r="AJ383" s="7">
        <f>Table1[[#This Row],[Quantity increase by 20%]]*Table1[[#This Row],[UnitPrice]]</f>
        <v>44244.299999999996</v>
      </c>
      <c r="AK383">
        <f>ROUNDDOWN(Table1[[#This Row],[Quantity]]*(1+20%),0)</f>
        <v>15</v>
      </c>
      <c r="AL383" s="7">
        <f>Table1[[#This Row],[UnitCost]]*(1+15%)</f>
        <v>1367.3844999999999</v>
      </c>
      <c r="AM383" s="9">
        <f>Table1[[#This Row],[Quantity]]*Table1[[#This Row],[Cost of unit by inflation 15%]]</f>
        <v>17775.998499999998</v>
      </c>
      <c r="AN383" s="21" cm="1">
        <f t="array" ref="AN383">_xlfn.UNIQUE(AC383)</f>
        <v>45016</v>
      </c>
    </row>
    <row r="384" spans="1:40" x14ac:dyDescent="0.35">
      <c r="A384" t="s">
        <v>263</v>
      </c>
      <c r="B384" s="21">
        <v>45537</v>
      </c>
      <c r="C384" s="10">
        <v>45543</v>
      </c>
      <c r="D384" s="3">
        <f t="shared" si="60"/>
        <v>6</v>
      </c>
      <c r="E384" s="10" t="str">
        <f t="shared" si="61"/>
        <v>Q3-2024</v>
      </c>
      <c r="F384" t="s">
        <v>647</v>
      </c>
      <c r="G384" t="s">
        <v>659</v>
      </c>
      <c r="H384" t="s">
        <v>696</v>
      </c>
      <c r="I384" t="s">
        <v>703</v>
      </c>
      <c r="J384" t="s">
        <v>710</v>
      </c>
      <c r="K384" t="s">
        <v>721</v>
      </c>
      <c r="L384" t="s">
        <v>726</v>
      </c>
      <c r="M384" t="s">
        <v>981</v>
      </c>
      <c r="N384" s="3">
        <v>462.94</v>
      </c>
      <c r="O384" s="3">
        <v>1015.7</v>
      </c>
      <c r="P384" s="6">
        <v>0.14299999999999999</v>
      </c>
      <c r="Q384" s="6">
        <f>IF(Table1[[#This Row],[DiscountPct]]&gt;25%,25%,Table1[[#This Row],[DiscountPct]])</f>
        <v>0.14299999999999999</v>
      </c>
      <c r="R384" s="5">
        <v>14</v>
      </c>
      <c r="S384" s="6">
        <f t="shared" si="62"/>
        <v>1.1940208234328422</v>
      </c>
      <c r="T384" s="8">
        <f t="shared" si="63"/>
        <v>12186.368600000002</v>
      </c>
      <c r="U384" s="8">
        <f t="shared" si="64"/>
        <v>6481.16</v>
      </c>
      <c r="V384" s="9">
        <f t="shared" si="65"/>
        <v>5705.2086000000018</v>
      </c>
      <c r="W384" s="6">
        <f t="shared" si="66"/>
        <v>0.46816314090483041</v>
      </c>
      <c r="X384" t="str" cm="1">
        <f t="array" ref="X384">_xlfn.IFS(S384&lt;=25%, "Low", S384&lt;=75%, "Medium", S384&gt;75%, "High")</f>
        <v>High</v>
      </c>
      <c r="Y384" s="8">
        <f>Table1[[#This Row],[Quantity]]*(Table1[[#This Row],[UnitPrice]]*(1-Table1[[#This Row],[DiscountPct]]))</f>
        <v>12186.368600000002</v>
      </c>
      <c r="Z384" s="9">
        <f t="shared" si="67"/>
        <v>5705.2086000000018</v>
      </c>
      <c r="AA384">
        <f>COUNTIF($G$2:G385,G384)</f>
        <v>38</v>
      </c>
      <c r="AB384" s="21">
        <f t="shared" si="68"/>
        <v>44988</v>
      </c>
      <c r="AC384" s="21">
        <f t="shared" si="69"/>
        <v>45016</v>
      </c>
      <c r="AD384" s="5">
        <f>(Table1[[#This Row],[OrderDate]]-Table1[[#This Row],[Date of first order]])/30</f>
        <v>18.3</v>
      </c>
      <c r="AE384" t="str">
        <f t="shared" si="70"/>
        <v>Good</v>
      </c>
      <c r="AF384">
        <f>COUNTIF(AE$2:AE385,AE384)</f>
        <v>113</v>
      </c>
      <c r="AG384" t="str">
        <f t="shared" si="71"/>
        <v>False</v>
      </c>
      <c r="AH384" s="7">
        <f>Table1[[#This Row],[UnitPrice]]*(1-Table1[[#This Row],[Disc Scenario]])*Table1[[#This Row],[Quantity]]</f>
        <v>12186.368600000002</v>
      </c>
      <c r="AI384">
        <f>ROUNDDOWN((Table1[[#This Row],[Quantity]]*(1+20%)),0)</f>
        <v>16</v>
      </c>
      <c r="AJ384" s="7">
        <f>Table1[[#This Row],[Quantity increase by 20%]]*Table1[[#This Row],[UnitPrice]]</f>
        <v>16251.2</v>
      </c>
      <c r="AK384">
        <f>ROUNDDOWN(Table1[[#This Row],[Quantity]]*(1+20%),0)</f>
        <v>16</v>
      </c>
      <c r="AL384" s="7">
        <f>Table1[[#This Row],[UnitCost]]*(1+15%)</f>
        <v>532.38099999999997</v>
      </c>
      <c r="AM384" s="9">
        <f>Table1[[#This Row],[Quantity]]*Table1[[#This Row],[Cost of unit by inflation 15%]]</f>
        <v>7453.3339999999998</v>
      </c>
      <c r="AN384" s="21" cm="1">
        <f t="array" ref="AN384">_xlfn.UNIQUE(AC384)</f>
        <v>45016</v>
      </c>
    </row>
    <row r="385" spans="1:40" x14ac:dyDescent="0.35">
      <c r="A385" t="s">
        <v>494</v>
      </c>
      <c r="B385" s="21">
        <v>45538</v>
      </c>
      <c r="C385" s="10">
        <v>45542</v>
      </c>
      <c r="D385" s="3">
        <f t="shared" si="60"/>
        <v>4</v>
      </c>
      <c r="E385" s="10" t="str">
        <f t="shared" si="61"/>
        <v>Q3-2024</v>
      </c>
      <c r="F385" t="s">
        <v>646</v>
      </c>
      <c r="G385" t="s">
        <v>651</v>
      </c>
      <c r="H385" t="s">
        <v>688</v>
      </c>
      <c r="I385" t="s">
        <v>704</v>
      </c>
      <c r="J385" t="s">
        <v>709</v>
      </c>
      <c r="K385" t="s">
        <v>724</v>
      </c>
      <c r="L385" t="s">
        <v>727</v>
      </c>
      <c r="M385" t="s">
        <v>1211</v>
      </c>
      <c r="N385" s="3">
        <v>43.23</v>
      </c>
      <c r="O385" s="3">
        <v>94.78</v>
      </c>
      <c r="P385" s="6">
        <v>9.0999999999999998E-2</v>
      </c>
      <c r="Q385" s="6">
        <f>IF(Table1[[#This Row],[DiscountPct]]&gt;25%,25%,Table1[[#This Row],[DiscountPct]])</f>
        <v>9.0999999999999998E-2</v>
      </c>
      <c r="R385" s="5">
        <v>55</v>
      </c>
      <c r="S385" s="6">
        <f t="shared" si="62"/>
        <v>1.1924589405505437</v>
      </c>
      <c r="T385" s="8">
        <f t="shared" si="63"/>
        <v>4738.5261</v>
      </c>
      <c r="U385" s="8">
        <f t="shared" si="64"/>
        <v>2377.6499999999996</v>
      </c>
      <c r="V385" s="9">
        <f t="shared" si="65"/>
        <v>2360.8761000000004</v>
      </c>
      <c r="W385" s="6">
        <f t="shared" si="66"/>
        <v>0.49823005090127082</v>
      </c>
      <c r="X385" t="str" cm="1">
        <f t="array" ref="X385">_xlfn.IFS(S385&lt;=25%, "Low", S385&lt;=75%, "Medium", S385&gt;75%, "High")</f>
        <v>High</v>
      </c>
      <c r="Y385" s="8">
        <f>Table1[[#This Row],[Quantity]]*(Table1[[#This Row],[UnitPrice]]*(1-Table1[[#This Row],[DiscountPct]]))</f>
        <v>4738.5261</v>
      </c>
      <c r="Z385" s="9">
        <f t="shared" si="67"/>
        <v>2360.8761000000004</v>
      </c>
      <c r="AA385">
        <f>COUNTIF($G$2:G386,G385)</f>
        <v>32</v>
      </c>
      <c r="AB385" s="21">
        <f t="shared" si="68"/>
        <v>44988</v>
      </c>
      <c r="AC385" s="21">
        <f t="shared" si="69"/>
        <v>45016</v>
      </c>
      <c r="AD385" s="5">
        <f>(Table1[[#This Row],[OrderDate]]-Table1[[#This Row],[Date of first order]])/30</f>
        <v>18.333333333333332</v>
      </c>
      <c r="AE385" t="str">
        <f t="shared" si="70"/>
        <v>Good</v>
      </c>
      <c r="AF385">
        <f>COUNTIF(AE$2:AE386,AE385)</f>
        <v>114</v>
      </c>
      <c r="AG385" t="str">
        <f t="shared" si="71"/>
        <v>False</v>
      </c>
      <c r="AH385" s="7">
        <f>Table1[[#This Row],[UnitPrice]]*(1-Table1[[#This Row],[Disc Scenario]])*Table1[[#This Row],[Quantity]]</f>
        <v>4738.5261</v>
      </c>
      <c r="AI385">
        <f>ROUNDDOWN((Table1[[#This Row],[Quantity]]*(1+20%)),0)</f>
        <v>66</v>
      </c>
      <c r="AJ385" s="7">
        <f>Table1[[#This Row],[Quantity increase by 20%]]*Table1[[#This Row],[UnitPrice]]</f>
        <v>6255.4800000000005</v>
      </c>
      <c r="AK385">
        <f>ROUNDDOWN(Table1[[#This Row],[Quantity]]*(1+20%),0)</f>
        <v>66</v>
      </c>
      <c r="AL385" s="7">
        <f>Table1[[#This Row],[UnitCost]]*(1+15%)</f>
        <v>49.714499999999994</v>
      </c>
      <c r="AM385" s="9">
        <f>Table1[[#This Row],[Quantity]]*Table1[[#This Row],[Cost of unit by inflation 15%]]</f>
        <v>2734.2974999999997</v>
      </c>
      <c r="AN385" s="21" cm="1">
        <f t="array" ref="AN385">_xlfn.UNIQUE(AC385)</f>
        <v>45016</v>
      </c>
    </row>
    <row r="386" spans="1:40" x14ac:dyDescent="0.35">
      <c r="A386" t="s">
        <v>245</v>
      </c>
      <c r="B386" s="21">
        <v>45538</v>
      </c>
      <c r="C386" s="10">
        <v>45543</v>
      </c>
      <c r="D386" s="3">
        <f t="shared" ref="D386:D449" si="72">DATEDIF(B386,C386,"d")</f>
        <v>5</v>
      </c>
      <c r="E386" s="10" t="str">
        <f t="shared" ref="E386:E449" si="73">"Q"&amp;ROUNDUP(MONTH(B386)/3,0)&amp; "-" &amp;YEAR(B386)</f>
        <v>Q3-2024</v>
      </c>
      <c r="F386" t="s">
        <v>645</v>
      </c>
      <c r="G386" t="s">
        <v>650</v>
      </c>
      <c r="H386" t="s">
        <v>664</v>
      </c>
      <c r="I386" t="s">
        <v>704</v>
      </c>
      <c r="J386" t="s">
        <v>710</v>
      </c>
      <c r="K386" t="s">
        <v>722</v>
      </c>
      <c r="L386" t="s">
        <v>727</v>
      </c>
      <c r="M386" t="s">
        <v>963</v>
      </c>
      <c r="N386" s="3">
        <v>197.63</v>
      </c>
      <c r="O386" s="3">
        <v>325.79000000000002</v>
      </c>
      <c r="P386" s="6">
        <v>0.11600000000000001</v>
      </c>
      <c r="Q386" s="6">
        <f>IF(Table1[[#This Row],[DiscountPct]]&gt;25%,25%,Table1[[#This Row],[DiscountPct]])</f>
        <v>0.11600000000000001</v>
      </c>
      <c r="R386" s="5">
        <v>10</v>
      </c>
      <c r="S386" s="6">
        <f t="shared" ref="S386:S449" si="74">(O386-N386)/N386</f>
        <v>0.64848454182057391</v>
      </c>
      <c r="T386" s="8">
        <f t="shared" ref="T386:T449" si="75">O386*R386*(1-P386)</f>
        <v>2879.9836</v>
      </c>
      <c r="U386" s="8">
        <f t="shared" ref="U386:U449" si="76">N386*R386</f>
        <v>1976.3</v>
      </c>
      <c r="V386" s="9">
        <f t="shared" ref="V386:V449" si="77">T386-U386</f>
        <v>903.68360000000007</v>
      </c>
      <c r="W386" s="6">
        <f t="shared" ref="W386:W449" si="78">V386/T386</f>
        <v>0.31378081458519419</v>
      </c>
      <c r="X386" t="str" cm="1">
        <f t="array" ref="X386">_xlfn.IFS(S386&lt;=25%, "Low", S386&lt;=75%, "Medium", S386&gt;75%, "High")</f>
        <v>Medium</v>
      </c>
      <c r="Y386" s="8">
        <f>Table1[[#This Row],[Quantity]]*(Table1[[#This Row],[UnitPrice]]*(1-Table1[[#This Row],[DiscountPct]]))</f>
        <v>2879.9836000000005</v>
      </c>
      <c r="Z386" s="9">
        <f t="shared" ref="Z386:Z449" si="79">Y386-(N386*R386)</f>
        <v>903.68360000000052</v>
      </c>
      <c r="AA386">
        <f>COUNTIF($G$2:G387,G386)</f>
        <v>26</v>
      </c>
      <c r="AB386" s="21">
        <f t="shared" ref="AB386:AB449" si="80">IF(AA386=1,B386,AB385)</f>
        <v>44988</v>
      </c>
      <c r="AC386" s="21">
        <f t="shared" ref="AC386:AC449" si="81">EOMONTH(AB386,0)</f>
        <v>45016</v>
      </c>
      <c r="AD386" s="5">
        <f>(Table1[[#This Row],[OrderDate]]-Table1[[#This Row],[Date of first order]])/30</f>
        <v>18.333333333333332</v>
      </c>
      <c r="AE386" t="str">
        <f t="shared" ref="AE386:AE449" si="82">IF(D386&lt;=7,"Good","Poor")</f>
        <v>Good</v>
      </c>
      <c r="AF386">
        <f>COUNTIF(AE$2:AE387,AE386)</f>
        <v>115</v>
      </c>
      <c r="AG386" t="str">
        <f t="shared" ref="AG386:AG449" si="83">IF(P386&gt;20%,"True","False")</f>
        <v>False</v>
      </c>
      <c r="AH386" s="7">
        <f>Table1[[#This Row],[UnitPrice]]*(1-Table1[[#This Row],[Disc Scenario]])*Table1[[#This Row],[Quantity]]</f>
        <v>2879.9836000000005</v>
      </c>
      <c r="AI386">
        <f>ROUNDDOWN((Table1[[#This Row],[Quantity]]*(1+20%)),0)</f>
        <v>12</v>
      </c>
      <c r="AJ386" s="7">
        <f>Table1[[#This Row],[Quantity increase by 20%]]*Table1[[#This Row],[UnitPrice]]</f>
        <v>3909.4800000000005</v>
      </c>
      <c r="AK386">
        <f>ROUNDDOWN(Table1[[#This Row],[Quantity]]*(1+20%),0)</f>
        <v>12</v>
      </c>
      <c r="AL386" s="7">
        <f>Table1[[#This Row],[UnitCost]]*(1+15%)</f>
        <v>227.27449999999999</v>
      </c>
      <c r="AM386" s="9">
        <f>Table1[[#This Row],[Quantity]]*Table1[[#This Row],[Cost of unit by inflation 15%]]</f>
        <v>2272.7449999999999</v>
      </c>
      <c r="AN386" s="21" cm="1">
        <f t="array" ref="AN386">_xlfn.UNIQUE(AC386)</f>
        <v>45016</v>
      </c>
    </row>
    <row r="387" spans="1:40" x14ac:dyDescent="0.35">
      <c r="A387" t="s">
        <v>596</v>
      </c>
      <c r="B387" s="21">
        <v>45539</v>
      </c>
      <c r="C387" s="10">
        <v>45541</v>
      </c>
      <c r="D387" s="3">
        <f t="shared" si="72"/>
        <v>2</v>
      </c>
      <c r="E387" s="10" t="str">
        <f t="shared" si="73"/>
        <v>Q3-2024</v>
      </c>
      <c r="F387" t="s">
        <v>646</v>
      </c>
      <c r="G387" t="s">
        <v>651</v>
      </c>
      <c r="H387" t="s">
        <v>665</v>
      </c>
      <c r="I387" t="s">
        <v>700</v>
      </c>
      <c r="J387" t="s">
        <v>710</v>
      </c>
      <c r="K387" t="s">
        <v>719</v>
      </c>
      <c r="L387" t="s">
        <v>730</v>
      </c>
      <c r="M387" t="s">
        <v>1312</v>
      </c>
      <c r="N387" s="3">
        <v>1368.17</v>
      </c>
      <c r="O387" s="3">
        <v>2307.75</v>
      </c>
      <c r="P387" s="6">
        <v>0.16300000000000001</v>
      </c>
      <c r="Q387" s="6">
        <f>IF(Table1[[#This Row],[DiscountPct]]&gt;25%,25%,Table1[[#This Row],[DiscountPct]])</f>
        <v>0.16300000000000001</v>
      </c>
      <c r="R387" s="5">
        <v>21</v>
      </c>
      <c r="S387" s="6">
        <f t="shared" si="74"/>
        <v>0.68674214461653149</v>
      </c>
      <c r="T387" s="8">
        <f t="shared" si="75"/>
        <v>40563.321749999996</v>
      </c>
      <c r="U387" s="8">
        <f t="shared" si="76"/>
        <v>28731.57</v>
      </c>
      <c r="V387" s="9">
        <f t="shared" si="77"/>
        <v>11831.751749999996</v>
      </c>
      <c r="W387" s="6">
        <f t="shared" si="78"/>
        <v>0.29168596750831921</v>
      </c>
      <c r="X387" t="str" cm="1">
        <f t="array" ref="X387">_xlfn.IFS(S387&lt;=25%, "Low", S387&lt;=75%, "Medium", S387&gt;75%, "High")</f>
        <v>Medium</v>
      </c>
      <c r="Y387" s="8">
        <f>Table1[[#This Row],[Quantity]]*(Table1[[#This Row],[UnitPrice]]*(1-Table1[[#This Row],[DiscountPct]]))</f>
        <v>40563.321749999996</v>
      </c>
      <c r="Z387" s="9">
        <f t="shared" si="79"/>
        <v>11831.751749999996</v>
      </c>
      <c r="AA387">
        <f>COUNTIF($G$2:G388,G387)</f>
        <v>34</v>
      </c>
      <c r="AB387" s="21">
        <f t="shared" si="80"/>
        <v>44988</v>
      </c>
      <c r="AC387" s="21">
        <f t="shared" si="81"/>
        <v>45016</v>
      </c>
      <c r="AD387" s="5">
        <f>(Table1[[#This Row],[OrderDate]]-Table1[[#This Row],[Date of first order]])/30</f>
        <v>18.366666666666667</v>
      </c>
      <c r="AE387" t="str">
        <f t="shared" si="82"/>
        <v>Good</v>
      </c>
      <c r="AF387">
        <f>COUNTIF(AE$2:AE388,AE387)</f>
        <v>115</v>
      </c>
      <c r="AG387" t="str">
        <f t="shared" si="83"/>
        <v>False</v>
      </c>
      <c r="AH387" s="7">
        <f>Table1[[#This Row],[UnitPrice]]*(1-Table1[[#This Row],[Disc Scenario]])*Table1[[#This Row],[Quantity]]</f>
        <v>40563.321749999996</v>
      </c>
      <c r="AI387">
        <f>ROUNDDOWN((Table1[[#This Row],[Quantity]]*(1+20%)),0)</f>
        <v>25</v>
      </c>
      <c r="AJ387" s="7">
        <f>Table1[[#This Row],[Quantity increase by 20%]]*Table1[[#This Row],[UnitPrice]]</f>
        <v>57693.75</v>
      </c>
      <c r="AK387">
        <f>ROUNDDOWN(Table1[[#This Row],[Quantity]]*(1+20%),0)</f>
        <v>25</v>
      </c>
      <c r="AL387" s="7">
        <f>Table1[[#This Row],[UnitCost]]*(1+15%)</f>
        <v>1573.3954999999999</v>
      </c>
      <c r="AM387" s="9">
        <f>Table1[[#This Row],[Quantity]]*Table1[[#This Row],[Cost of unit by inflation 15%]]</f>
        <v>33041.305499999995</v>
      </c>
      <c r="AN387" s="21" cm="1">
        <f t="array" ref="AN387">_xlfn.UNIQUE(AC387)</f>
        <v>45016</v>
      </c>
    </row>
    <row r="388" spans="1:40" x14ac:dyDescent="0.35">
      <c r="A388" t="s">
        <v>246</v>
      </c>
      <c r="B388" s="21">
        <v>45540</v>
      </c>
      <c r="C388" s="10">
        <v>45560</v>
      </c>
      <c r="D388" s="3">
        <f t="shared" si="72"/>
        <v>20</v>
      </c>
      <c r="E388" s="10" t="str">
        <f t="shared" si="73"/>
        <v>Q3-2024</v>
      </c>
      <c r="F388" t="s">
        <v>646</v>
      </c>
      <c r="G388" t="s">
        <v>651</v>
      </c>
      <c r="H388" t="s">
        <v>665</v>
      </c>
      <c r="I388" t="s">
        <v>705</v>
      </c>
      <c r="J388" t="s">
        <v>709</v>
      </c>
      <c r="K388" t="s">
        <v>725</v>
      </c>
      <c r="L388" t="s">
        <v>731</v>
      </c>
      <c r="M388" t="s">
        <v>964</v>
      </c>
      <c r="N388" s="3">
        <v>195.54</v>
      </c>
      <c r="O388" s="3">
        <v>405.97</v>
      </c>
      <c r="P388" s="6">
        <v>0.187</v>
      </c>
      <c r="Q388" s="6">
        <f>IF(Table1[[#This Row],[DiscountPct]]&gt;25%,25%,Table1[[#This Row],[DiscountPct]])</f>
        <v>0.187</v>
      </c>
      <c r="R388" s="5">
        <v>16</v>
      </c>
      <c r="S388" s="6">
        <f t="shared" si="74"/>
        <v>1.0761481026899868</v>
      </c>
      <c r="T388" s="8">
        <f t="shared" si="75"/>
        <v>5280.8577599999999</v>
      </c>
      <c r="U388" s="8">
        <f t="shared" si="76"/>
        <v>3128.64</v>
      </c>
      <c r="V388" s="9">
        <f t="shared" si="77"/>
        <v>2152.21776</v>
      </c>
      <c r="W388" s="6">
        <f t="shared" si="78"/>
        <v>0.40755079152141377</v>
      </c>
      <c r="X388" t="str" cm="1">
        <f t="array" ref="X388">_xlfn.IFS(S388&lt;=25%, "Low", S388&lt;=75%, "Medium", S388&gt;75%, "High")</f>
        <v>High</v>
      </c>
      <c r="Y388" s="8">
        <f>Table1[[#This Row],[Quantity]]*(Table1[[#This Row],[UnitPrice]]*(1-Table1[[#This Row],[DiscountPct]]))</f>
        <v>5280.8577599999999</v>
      </c>
      <c r="Z388" s="9">
        <f t="shared" si="79"/>
        <v>2152.21776</v>
      </c>
      <c r="AA388">
        <f>COUNTIF($G$2:G389,G388)</f>
        <v>34</v>
      </c>
      <c r="AB388" s="21">
        <f t="shared" si="80"/>
        <v>44988</v>
      </c>
      <c r="AC388" s="21">
        <f t="shared" si="81"/>
        <v>45016</v>
      </c>
      <c r="AD388" s="5">
        <f>(Table1[[#This Row],[OrderDate]]-Table1[[#This Row],[Date of first order]])/30</f>
        <v>18.399999999999999</v>
      </c>
      <c r="AE388" t="str">
        <f t="shared" si="82"/>
        <v>Poor</v>
      </c>
      <c r="AF388">
        <f>COUNTIF(AE$2:AE389,AE388)</f>
        <v>273</v>
      </c>
      <c r="AG388" t="str">
        <f t="shared" si="83"/>
        <v>False</v>
      </c>
      <c r="AH388" s="7">
        <f>Table1[[#This Row],[UnitPrice]]*(1-Table1[[#This Row],[Disc Scenario]])*Table1[[#This Row],[Quantity]]</f>
        <v>5280.8577599999999</v>
      </c>
      <c r="AI388">
        <f>ROUNDDOWN((Table1[[#This Row],[Quantity]]*(1+20%)),0)</f>
        <v>19</v>
      </c>
      <c r="AJ388" s="7">
        <f>Table1[[#This Row],[Quantity increase by 20%]]*Table1[[#This Row],[UnitPrice]]</f>
        <v>7713.43</v>
      </c>
      <c r="AK388">
        <f>ROUNDDOWN(Table1[[#This Row],[Quantity]]*(1+20%),0)</f>
        <v>19</v>
      </c>
      <c r="AL388" s="7">
        <f>Table1[[#This Row],[UnitCost]]*(1+15%)</f>
        <v>224.87099999999998</v>
      </c>
      <c r="AM388" s="9">
        <f>Table1[[#This Row],[Quantity]]*Table1[[#This Row],[Cost of unit by inflation 15%]]</f>
        <v>3597.9359999999997</v>
      </c>
      <c r="AN388" s="21" cm="1">
        <f t="array" ref="AN388">_xlfn.UNIQUE(AC388)</f>
        <v>45016</v>
      </c>
    </row>
    <row r="389" spans="1:40" x14ac:dyDescent="0.35">
      <c r="A389" t="s">
        <v>412</v>
      </c>
      <c r="B389" s="21">
        <v>45541</v>
      </c>
      <c r="C389" s="10">
        <v>45569</v>
      </c>
      <c r="D389" s="3">
        <f t="shared" si="72"/>
        <v>28</v>
      </c>
      <c r="E389" s="10" t="str">
        <f t="shared" si="73"/>
        <v>Q3-2024</v>
      </c>
      <c r="F389" t="s">
        <v>645</v>
      </c>
      <c r="G389" t="s">
        <v>660</v>
      </c>
      <c r="H389" t="s">
        <v>694</v>
      </c>
      <c r="I389" t="s">
        <v>700</v>
      </c>
      <c r="J389" t="s">
        <v>708</v>
      </c>
      <c r="K389" t="s">
        <v>725</v>
      </c>
      <c r="L389" t="s">
        <v>731</v>
      </c>
      <c r="M389" t="s">
        <v>1129</v>
      </c>
      <c r="N389" s="3">
        <v>1174.17</v>
      </c>
      <c r="O389" s="3">
        <v>1641.61</v>
      </c>
      <c r="P389" s="6">
        <v>0.122</v>
      </c>
      <c r="Q389" s="6">
        <f>IF(Table1[[#This Row],[DiscountPct]]&gt;25%,25%,Table1[[#This Row],[DiscountPct]])</f>
        <v>0.122</v>
      </c>
      <c r="R389" s="5">
        <v>9</v>
      </c>
      <c r="S389" s="6">
        <f t="shared" si="74"/>
        <v>0.39810248941805682</v>
      </c>
      <c r="T389" s="8">
        <f t="shared" si="75"/>
        <v>12972.00222</v>
      </c>
      <c r="U389" s="8">
        <f t="shared" si="76"/>
        <v>10567.53</v>
      </c>
      <c r="V389" s="9">
        <f t="shared" si="77"/>
        <v>2404.4722199999997</v>
      </c>
      <c r="W389" s="6">
        <f t="shared" si="78"/>
        <v>0.18535860380079394</v>
      </c>
      <c r="X389" t="str" cm="1">
        <f t="array" ref="X389">_xlfn.IFS(S389&lt;=25%, "Low", S389&lt;=75%, "Medium", S389&gt;75%, "High")</f>
        <v>Medium</v>
      </c>
      <c r="Y389" s="8">
        <f>Table1[[#This Row],[Quantity]]*(Table1[[#This Row],[UnitPrice]]*(1-Table1[[#This Row],[DiscountPct]]))</f>
        <v>12972.00222</v>
      </c>
      <c r="Z389" s="9">
        <f t="shared" si="79"/>
        <v>2404.4722199999997</v>
      </c>
      <c r="AA389">
        <f>COUNTIF($G$2:G390,G389)</f>
        <v>33</v>
      </c>
      <c r="AB389" s="21">
        <f t="shared" si="80"/>
        <v>44988</v>
      </c>
      <c r="AC389" s="21">
        <f t="shared" si="81"/>
        <v>45016</v>
      </c>
      <c r="AD389" s="5">
        <f>(Table1[[#This Row],[OrderDate]]-Table1[[#This Row],[Date of first order]])/30</f>
        <v>18.433333333333334</v>
      </c>
      <c r="AE389" t="str">
        <f t="shared" si="82"/>
        <v>Poor</v>
      </c>
      <c r="AF389">
        <f>COUNTIF(AE$2:AE390,AE389)</f>
        <v>273</v>
      </c>
      <c r="AG389" t="str">
        <f t="shared" si="83"/>
        <v>False</v>
      </c>
      <c r="AH389" s="7">
        <f>Table1[[#This Row],[UnitPrice]]*(1-Table1[[#This Row],[Disc Scenario]])*Table1[[#This Row],[Quantity]]</f>
        <v>12972.00222</v>
      </c>
      <c r="AI389">
        <f>ROUNDDOWN((Table1[[#This Row],[Quantity]]*(1+20%)),0)</f>
        <v>10</v>
      </c>
      <c r="AJ389" s="7">
        <f>Table1[[#This Row],[Quantity increase by 20%]]*Table1[[#This Row],[UnitPrice]]</f>
        <v>16416.099999999999</v>
      </c>
      <c r="AK389">
        <f>ROUNDDOWN(Table1[[#This Row],[Quantity]]*(1+20%),0)</f>
        <v>10</v>
      </c>
      <c r="AL389" s="7">
        <f>Table1[[#This Row],[UnitCost]]*(1+15%)</f>
        <v>1350.2954999999999</v>
      </c>
      <c r="AM389" s="9">
        <f>Table1[[#This Row],[Quantity]]*Table1[[#This Row],[Cost of unit by inflation 15%]]</f>
        <v>12152.6595</v>
      </c>
      <c r="AN389" s="21" cm="1">
        <f t="array" ref="AN389">_xlfn.UNIQUE(AC389)</f>
        <v>45016</v>
      </c>
    </row>
    <row r="390" spans="1:40" x14ac:dyDescent="0.35">
      <c r="A390" t="s">
        <v>300</v>
      </c>
      <c r="B390" s="21">
        <v>45542</v>
      </c>
      <c r="C390" s="10">
        <v>45542</v>
      </c>
      <c r="D390" s="3">
        <f t="shared" si="72"/>
        <v>0</v>
      </c>
      <c r="E390" s="10" t="str">
        <f t="shared" si="73"/>
        <v>Q3-2024</v>
      </c>
      <c r="F390" t="s">
        <v>646</v>
      </c>
      <c r="G390" t="s">
        <v>653</v>
      </c>
      <c r="H390" t="s">
        <v>690</v>
      </c>
      <c r="I390" t="s">
        <v>701</v>
      </c>
      <c r="J390" t="s">
        <v>709</v>
      </c>
      <c r="K390" t="s">
        <v>716</v>
      </c>
      <c r="L390" t="s">
        <v>728</v>
      </c>
      <c r="M390" t="s">
        <v>1018</v>
      </c>
      <c r="N390" s="3">
        <v>1066.6500000000001</v>
      </c>
      <c r="O390" s="3">
        <v>2569.77</v>
      </c>
      <c r="P390" s="6">
        <v>0.13400000000000001</v>
      </c>
      <c r="Q390" s="6">
        <f>IF(Table1[[#This Row],[DiscountPct]]&gt;25%,25%,Table1[[#This Row],[DiscountPct]])</f>
        <v>0.13400000000000001</v>
      </c>
      <c r="R390" s="5">
        <v>9</v>
      </c>
      <c r="S390" s="6">
        <f t="shared" si="74"/>
        <v>1.4091970187034171</v>
      </c>
      <c r="T390" s="8">
        <f t="shared" si="75"/>
        <v>20028.787380000002</v>
      </c>
      <c r="U390" s="8">
        <f t="shared" si="76"/>
        <v>9599.85</v>
      </c>
      <c r="V390" s="9">
        <f t="shared" si="77"/>
        <v>10428.937380000001</v>
      </c>
      <c r="W390" s="6">
        <f t="shared" si="78"/>
        <v>0.52069739331368348</v>
      </c>
      <c r="X390" t="str" cm="1">
        <f t="array" ref="X390">_xlfn.IFS(S390&lt;=25%, "Low", S390&lt;=75%, "Medium", S390&gt;75%, "High")</f>
        <v>High</v>
      </c>
      <c r="Y390" s="8">
        <f>Table1[[#This Row],[Quantity]]*(Table1[[#This Row],[UnitPrice]]*(1-Table1[[#This Row],[DiscountPct]]))</f>
        <v>20028.787379999998</v>
      </c>
      <c r="Z390" s="9">
        <f t="shared" si="79"/>
        <v>10428.937379999998</v>
      </c>
      <c r="AA390">
        <f>COUNTIF($G$2:G391,G390)</f>
        <v>37</v>
      </c>
      <c r="AB390" s="21">
        <f t="shared" si="80"/>
        <v>44988</v>
      </c>
      <c r="AC390" s="21">
        <f t="shared" si="81"/>
        <v>45016</v>
      </c>
      <c r="AD390" s="5">
        <f>(Table1[[#This Row],[OrderDate]]-Table1[[#This Row],[Date of first order]])/30</f>
        <v>18.466666666666665</v>
      </c>
      <c r="AE390" t="str">
        <f t="shared" si="82"/>
        <v>Good</v>
      </c>
      <c r="AF390">
        <f>COUNTIF(AE$2:AE391,AE390)</f>
        <v>116</v>
      </c>
      <c r="AG390" t="str">
        <f t="shared" si="83"/>
        <v>False</v>
      </c>
      <c r="AH390" s="7">
        <f>Table1[[#This Row],[UnitPrice]]*(1-Table1[[#This Row],[Disc Scenario]])*Table1[[#This Row],[Quantity]]</f>
        <v>20028.787379999998</v>
      </c>
      <c r="AI390">
        <f>ROUNDDOWN((Table1[[#This Row],[Quantity]]*(1+20%)),0)</f>
        <v>10</v>
      </c>
      <c r="AJ390" s="7">
        <f>Table1[[#This Row],[Quantity increase by 20%]]*Table1[[#This Row],[UnitPrice]]</f>
        <v>25697.7</v>
      </c>
      <c r="AK390">
        <f>ROUNDDOWN(Table1[[#This Row],[Quantity]]*(1+20%),0)</f>
        <v>10</v>
      </c>
      <c r="AL390" s="7">
        <f>Table1[[#This Row],[UnitCost]]*(1+15%)</f>
        <v>1226.6475</v>
      </c>
      <c r="AM390" s="9">
        <f>Table1[[#This Row],[Quantity]]*Table1[[#This Row],[Cost of unit by inflation 15%]]</f>
        <v>11039.827499999999</v>
      </c>
      <c r="AN390" s="21" cm="1">
        <f t="array" ref="AN390">_xlfn.UNIQUE(AC390)</f>
        <v>45016</v>
      </c>
    </row>
    <row r="391" spans="1:40" x14ac:dyDescent="0.35">
      <c r="A391" t="s">
        <v>447</v>
      </c>
      <c r="B391" s="21">
        <v>45542</v>
      </c>
      <c r="C391" s="10">
        <v>45553</v>
      </c>
      <c r="D391" s="3">
        <f t="shared" si="72"/>
        <v>11</v>
      </c>
      <c r="E391" s="10" t="str">
        <f t="shared" si="73"/>
        <v>Q3-2024</v>
      </c>
      <c r="F391" t="s">
        <v>646</v>
      </c>
      <c r="G391" t="s">
        <v>658</v>
      </c>
      <c r="H391" t="s">
        <v>698</v>
      </c>
      <c r="I391" t="s">
        <v>703</v>
      </c>
      <c r="J391" t="s">
        <v>709</v>
      </c>
      <c r="K391" t="s">
        <v>718</v>
      </c>
      <c r="L391" t="s">
        <v>728</v>
      </c>
      <c r="M391" t="s">
        <v>1164</v>
      </c>
      <c r="N391" s="3">
        <v>181.74</v>
      </c>
      <c r="O391" s="3">
        <v>190.84</v>
      </c>
      <c r="P391" s="6">
        <v>0.214</v>
      </c>
      <c r="Q391" s="6">
        <f>IF(Table1[[#This Row],[DiscountPct]]&gt;25%,25%,Table1[[#This Row],[DiscountPct]])</f>
        <v>0.214</v>
      </c>
      <c r="R391" s="5">
        <v>13</v>
      </c>
      <c r="S391" s="6">
        <f t="shared" si="74"/>
        <v>5.0071530758226006E-2</v>
      </c>
      <c r="T391" s="8">
        <f t="shared" si="75"/>
        <v>1950.0031200000001</v>
      </c>
      <c r="U391" s="8">
        <f t="shared" si="76"/>
        <v>2362.62</v>
      </c>
      <c r="V391" s="9">
        <f t="shared" si="77"/>
        <v>-412.61687999999981</v>
      </c>
      <c r="W391" s="6">
        <f t="shared" si="78"/>
        <v>-0.21159806144310159</v>
      </c>
      <c r="X391" t="str" cm="1">
        <f t="array" ref="X391">_xlfn.IFS(S391&lt;=25%, "Low", S391&lt;=75%, "Medium", S391&gt;75%, "High")</f>
        <v>Low</v>
      </c>
      <c r="Y391" s="8">
        <f>Table1[[#This Row],[Quantity]]*(Table1[[#This Row],[UnitPrice]]*(1-Table1[[#This Row],[DiscountPct]]))</f>
        <v>1950.0031200000003</v>
      </c>
      <c r="Z391" s="9">
        <f t="shared" si="79"/>
        <v>-412.61687999999958</v>
      </c>
      <c r="AA391">
        <f>COUNTIF($G$2:G392,G391)</f>
        <v>30</v>
      </c>
      <c r="AB391" s="21">
        <f t="shared" si="80"/>
        <v>44988</v>
      </c>
      <c r="AC391" s="21">
        <f t="shared" si="81"/>
        <v>45016</v>
      </c>
      <c r="AD391" s="5">
        <f>(Table1[[#This Row],[OrderDate]]-Table1[[#This Row],[Date of first order]])/30</f>
        <v>18.466666666666665</v>
      </c>
      <c r="AE391" t="str">
        <f t="shared" si="82"/>
        <v>Poor</v>
      </c>
      <c r="AF391">
        <f>COUNTIF(AE$2:AE392,AE391)</f>
        <v>274</v>
      </c>
      <c r="AG391" t="str">
        <f t="shared" si="83"/>
        <v>True</v>
      </c>
      <c r="AH391" s="7">
        <f>Table1[[#This Row],[UnitPrice]]*(1-Table1[[#This Row],[Disc Scenario]])*Table1[[#This Row],[Quantity]]</f>
        <v>1950.0031200000003</v>
      </c>
      <c r="AI391">
        <f>ROUNDDOWN((Table1[[#This Row],[Quantity]]*(1+20%)),0)</f>
        <v>15</v>
      </c>
      <c r="AJ391" s="7">
        <f>Table1[[#This Row],[Quantity increase by 20%]]*Table1[[#This Row],[UnitPrice]]</f>
        <v>2862.6</v>
      </c>
      <c r="AK391">
        <f>ROUNDDOWN(Table1[[#This Row],[Quantity]]*(1+20%),0)</f>
        <v>15</v>
      </c>
      <c r="AL391" s="7">
        <f>Table1[[#This Row],[UnitCost]]*(1+15%)</f>
        <v>209.001</v>
      </c>
      <c r="AM391" s="9">
        <f>Table1[[#This Row],[Quantity]]*Table1[[#This Row],[Cost of unit by inflation 15%]]</f>
        <v>2717.0129999999999</v>
      </c>
      <c r="AN391" s="21" cm="1">
        <f t="array" ref="AN391">_xlfn.UNIQUE(AC391)</f>
        <v>45016</v>
      </c>
    </row>
    <row r="392" spans="1:40" x14ac:dyDescent="0.35">
      <c r="A392" t="s">
        <v>510</v>
      </c>
      <c r="B392" s="21">
        <v>45544</v>
      </c>
      <c r="C392" s="10">
        <v>45548</v>
      </c>
      <c r="D392" s="3">
        <f t="shared" si="72"/>
        <v>4</v>
      </c>
      <c r="E392" s="10" t="str">
        <f t="shared" si="73"/>
        <v>Q3-2024</v>
      </c>
      <c r="F392" t="s">
        <v>648</v>
      </c>
      <c r="G392" t="s">
        <v>657</v>
      </c>
      <c r="H392" t="s">
        <v>682</v>
      </c>
      <c r="I392" t="s">
        <v>703</v>
      </c>
      <c r="J392" t="s">
        <v>708</v>
      </c>
      <c r="K392" t="s">
        <v>720</v>
      </c>
      <c r="L392" t="s">
        <v>728</v>
      </c>
      <c r="M392" t="s">
        <v>1227</v>
      </c>
      <c r="N392" s="3">
        <v>1133.08</v>
      </c>
      <c r="O392" s="3">
        <v>2164.1828</v>
      </c>
      <c r="P392" s="6">
        <v>4.2000000000000003E-2</v>
      </c>
      <c r="Q392" s="6">
        <f>IF(Table1[[#This Row],[DiscountPct]]&gt;25%,25%,Table1[[#This Row],[DiscountPct]])</f>
        <v>4.2000000000000003E-2</v>
      </c>
      <c r="R392" s="5">
        <v>27</v>
      </c>
      <c r="S392" s="6">
        <f t="shared" si="74"/>
        <v>0.91000000000000014</v>
      </c>
      <c r="T392" s="8">
        <f t="shared" si="75"/>
        <v>55978.7523048</v>
      </c>
      <c r="U392" s="8">
        <f t="shared" si="76"/>
        <v>30593.159999999996</v>
      </c>
      <c r="V392" s="9">
        <f t="shared" si="77"/>
        <v>25385.592304800004</v>
      </c>
      <c r="W392" s="6">
        <f t="shared" si="78"/>
        <v>0.45348621145711515</v>
      </c>
      <c r="X392" t="str" cm="1">
        <f t="array" ref="X392">_xlfn.IFS(S392&lt;=25%, "Low", S392&lt;=75%, "Medium", S392&gt;75%, "High")</f>
        <v>High</v>
      </c>
      <c r="Y392" s="8">
        <f>Table1[[#This Row],[Quantity]]*(Table1[[#This Row],[UnitPrice]]*(1-Table1[[#This Row],[DiscountPct]]))</f>
        <v>55978.7523048</v>
      </c>
      <c r="Z392" s="9">
        <f t="shared" si="79"/>
        <v>25385.592304800004</v>
      </c>
      <c r="AA392">
        <f>COUNTIF($G$2:G393,G392)</f>
        <v>32</v>
      </c>
      <c r="AB392" s="21">
        <f t="shared" si="80"/>
        <v>44988</v>
      </c>
      <c r="AC392" s="21">
        <f t="shared" si="81"/>
        <v>45016</v>
      </c>
      <c r="AD392" s="5">
        <f>(Table1[[#This Row],[OrderDate]]-Table1[[#This Row],[Date of first order]])/30</f>
        <v>18.533333333333335</v>
      </c>
      <c r="AE392" t="str">
        <f t="shared" si="82"/>
        <v>Good</v>
      </c>
      <c r="AF392">
        <f>COUNTIF(AE$2:AE393,AE392)</f>
        <v>117</v>
      </c>
      <c r="AG392" t="str">
        <f t="shared" si="83"/>
        <v>False</v>
      </c>
      <c r="AH392" s="7">
        <f>Table1[[#This Row],[UnitPrice]]*(1-Table1[[#This Row],[Disc Scenario]])*Table1[[#This Row],[Quantity]]</f>
        <v>55978.7523048</v>
      </c>
      <c r="AI392">
        <f>ROUNDDOWN((Table1[[#This Row],[Quantity]]*(1+20%)),0)</f>
        <v>32</v>
      </c>
      <c r="AJ392" s="7">
        <f>Table1[[#This Row],[Quantity increase by 20%]]*Table1[[#This Row],[UnitPrice]]</f>
        <v>69253.849600000001</v>
      </c>
      <c r="AK392">
        <f>ROUNDDOWN(Table1[[#This Row],[Quantity]]*(1+20%),0)</f>
        <v>32</v>
      </c>
      <c r="AL392" s="7">
        <f>Table1[[#This Row],[UnitCost]]*(1+15%)</f>
        <v>1303.0419999999999</v>
      </c>
      <c r="AM392" s="9">
        <f>Table1[[#This Row],[Quantity]]*Table1[[#This Row],[Cost of unit by inflation 15%]]</f>
        <v>35182.133999999998</v>
      </c>
      <c r="AN392" s="21" cm="1">
        <f t="array" ref="AN392">_xlfn.UNIQUE(AC392)</f>
        <v>45016</v>
      </c>
    </row>
    <row r="393" spans="1:40" x14ac:dyDescent="0.35">
      <c r="A393" t="s">
        <v>337</v>
      </c>
      <c r="B393" s="21">
        <v>45544</v>
      </c>
      <c r="C393" s="10">
        <v>45573</v>
      </c>
      <c r="D393" s="3">
        <f t="shared" si="72"/>
        <v>29</v>
      </c>
      <c r="E393" s="10" t="str">
        <f t="shared" si="73"/>
        <v>Q3-2024</v>
      </c>
      <c r="F393" t="s">
        <v>647</v>
      </c>
      <c r="G393" t="s">
        <v>654</v>
      </c>
      <c r="H393" t="s">
        <v>669</v>
      </c>
      <c r="I393" t="s">
        <v>701</v>
      </c>
      <c r="J393" t="s">
        <v>710</v>
      </c>
      <c r="K393" t="s">
        <v>712</v>
      </c>
      <c r="L393" t="s">
        <v>726</v>
      </c>
      <c r="M393" t="s">
        <v>1055</v>
      </c>
      <c r="N393" s="3">
        <v>1010.33</v>
      </c>
      <c r="O393" s="3">
        <v>2492.14</v>
      </c>
      <c r="P393" s="6">
        <v>5.0999999999999997E-2</v>
      </c>
      <c r="Q393" s="6">
        <f>IF(Table1[[#This Row],[DiscountPct]]&gt;25%,25%,Table1[[#This Row],[DiscountPct]])</f>
        <v>5.0999999999999997E-2</v>
      </c>
      <c r="R393" s="5">
        <v>11</v>
      </c>
      <c r="S393" s="6">
        <f t="shared" si="74"/>
        <v>1.4666594083121356</v>
      </c>
      <c r="T393" s="8">
        <f t="shared" si="75"/>
        <v>26015.449459999996</v>
      </c>
      <c r="U393" s="8">
        <f t="shared" si="76"/>
        <v>11113.630000000001</v>
      </c>
      <c r="V393" s="9">
        <f t="shared" si="77"/>
        <v>14901.819459999995</v>
      </c>
      <c r="W393" s="6">
        <f t="shared" si="78"/>
        <v>0.57280653493656752</v>
      </c>
      <c r="X393" t="str" cm="1">
        <f t="array" ref="X393">_xlfn.IFS(S393&lt;=25%, "Low", S393&lt;=75%, "Medium", S393&gt;75%, "High")</f>
        <v>High</v>
      </c>
      <c r="Y393" s="8">
        <f>Table1[[#This Row],[Quantity]]*(Table1[[#This Row],[UnitPrice]]*(1-Table1[[#This Row],[DiscountPct]]))</f>
        <v>26015.449459999996</v>
      </c>
      <c r="Z393" s="9">
        <f t="shared" si="79"/>
        <v>14901.819459999995</v>
      </c>
      <c r="AA393">
        <f>COUNTIF($G$2:G394,G393)</f>
        <v>37</v>
      </c>
      <c r="AB393" s="21">
        <f t="shared" si="80"/>
        <v>44988</v>
      </c>
      <c r="AC393" s="21">
        <f t="shared" si="81"/>
        <v>45016</v>
      </c>
      <c r="AD393" s="5">
        <f>(Table1[[#This Row],[OrderDate]]-Table1[[#This Row],[Date of first order]])/30</f>
        <v>18.533333333333335</v>
      </c>
      <c r="AE393" t="str">
        <f t="shared" si="82"/>
        <v>Poor</v>
      </c>
      <c r="AF393">
        <f>COUNTIF(AE$2:AE394,AE393)</f>
        <v>276</v>
      </c>
      <c r="AG393" t="str">
        <f t="shared" si="83"/>
        <v>False</v>
      </c>
      <c r="AH393" s="7">
        <f>Table1[[#This Row],[UnitPrice]]*(1-Table1[[#This Row],[Disc Scenario]])*Table1[[#This Row],[Quantity]]</f>
        <v>26015.449459999996</v>
      </c>
      <c r="AI393">
        <f>ROUNDDOWN((Table1[[#This Row],[Quantity]]*(1+20%)),0)</f>
        <v>13</v>
      </c>
      <c r="AJ393" s="7">
        <f>Table1[[#This Row],[Quantity increase by 20%]]*Table1[[#This Row],[UnitPrice]]</f>
        <v>32397.82</v>
      </c>
      <c r="AK393">
        <f>ROUNDDOWN(Table1[[#This Row],[Quantity]]*(1+20%),0)</f>
        <v>13</v>
      </c>
      <c r="AL393" s="7">
        <f>Table1[[#This Row],[UnitCost]]*(1+15%)</f>
        <v>1161.8795</v>
      </c>
      <c r="AM393" s="9">
        <f>Table1[[#This Row],[Quantity]]*Table1[[#This Row],[Cost of unit by inflation 15%]]</f>
        <v>12780.674500000001</v>
      </c>
      <c r="AN393" s="21" cm="1">
        <f t="array" ref="AN393">_xlfn.UNIQUE(AC393)</f>
        <v>45016</v>
      </c>
    </row>
    <row r="394" spans="1:40" x14ac:dyDescent="0.35">
      <c r="A394" t="s">
        <v>225</v>
      </c>
      <c r="B394" s="21">
        <v>45544</v>
      </c>
      <c r="C394" s="10">
        <v>45566</v>
      </c>
      <c r="D394" s="3">
        <f t="shared" si="72"/>
        <v>22</v>
      </c>
      <c r="E394" s="10" t="str">
        <f t="shared" si="73"/>
        <v>Q3-2024</v>
      </c>
      <c r="F394" t="s">
        <v>646</v>
      </c>
      <c r="G394" t="s">
        <v>658</v>
      </c>
      <c r="H394" t="s">
        <v>675</v>
      </c>
      <c r="I394" t="s">
        <v>703</v>
      </c>
      <c r="J394" t="s">
        <v>710</v>
      </c>
      <c r="K394" t="s">
        <v>715</v>
      </c>
      <c r="L394" t="s">
        <v>727</v>
      </c>
      <c r="M394" t="s">
        <v>943</v>
      </c>
      <c r="N394" s="3">
        <v>1166.18</v>
      </c>
      <c r="O394" s="3">
        <v>1335.02</v>
      </c>
      <c r="P394" s="6">
        <v>0.128</v>
      </c>
      <c r="Q394" s="6">
        <f>IF(Table1[[#This Row],[DiscountPct]]&gt;25%,25%,Table1[[#This Row],[DiscountPct]])</f>
        <v>0.128</v>
      </c>
      <c r="R394" s="5">
        <v>6</v>
      </c>
      <c r="S394" s="6">
        <f t="shared" si="74"/>
        <v>0.1447803941072561</v>
      </c>
      <c r="T394" s="8">
        <f t="shared" si="75"/>
        <v>6984.8246399999998</v>
      </c>
      <c r="U394" s="8">
        <f t="shared" si="76"/>
        <v>6997.08</v>
      </c>
      <c r="V394" s="9">
        <f t="shared" si="77"/>
        <v>-12.25536000000011</v>
      </c>
      <c r="W394" s="6">
        <f t="shared" si="78"/>
        <v>-1.7545694604582242E-3</v>
      </c>
      <c r="X394" t="str" cm="1">
        <f t="array" ref="X394">_xlfn.IFS(S394&lt;=25%, "Low", S394&lt;=75%, "Medium", S394&gt;75%, "High")</f>
        <v>Low</v>
      </c>
      <c r="Y394" s="8">
        <f>Table1[[#This Row],[Quantity]]*(Table1[[#This Row],[UnitPrice]]*(1-Table1[[#This Row],[DiscountPct]]))</f>
        <v>6984.8246399999998</v>
      </c>
      <c r="Z394" s="9">
        <f t="shared" si="79"/>
        <v>-12.25536000000011</v>
      </c>
      <c r="AA394">
        <f>COUNTIF($G$2:G395,G394)</f>
        <v>31</v>
      </c>
      <c r="AB394" s="21">
        <f t="shared" si="80"/>
        <v>44988</v>
      </c>
      <c r="AC394" s="21">
        <f t="shared" si="81"/>
        <v>45016</v>
      </c>
      <c r="AD394" s="5">
        <f>(Table1[[#This Row],[OrderDate]]-Table1[[#This Row],[Date of first order]])/30</f>
        <v>18.533333333333335</v>
      </c>
      <c r="AE394" t="str">
        <f t="shared" si="82"/>
        <v>Poor</v>
      </c>
      <c r="AF394">
        <f>COUNTIF(AE$2:AE395,AE394)</f>
        <v>277</v>
      </c>
      <c r="AG394" t="str">
        <f t="shared" si="83"/>
        <v>False</v>
      </c>
      <c r="AH394" s="7">
        <f>Table1[[#This Row],[UnitPrice]]*(1-Table1[[#This Row],[Disc Scenario]])*Table1[[#This Row],[Quantity]]</f>
        <v>6984.8246399999998</v>
      </c>
      <c r="AI394">
        <f>ROUNDDOWN((Table1[[#This Row],[Quantity]]*(1+20%)),0)</f>
        <v>7</v>
      </c>
      <c r="AJ394" s="7">
        <f>Table1[[#This Row],[Quantity increase by 20%]]*Table1[[#This Row],[UnitPrice]]</f>
        <v>9345.14</v>
      </c>
      <c r="AK394">
        <f>ROUNDDOWN(Table1[[#This Row],[Quantity]]*(1+20%),0)</f>
        <v>7</v>
      </c>
      <c r="AL394" s="7">
        <f>Table1[[#This Row],[UnitCost]]*(1+15%)</f>
        <v>1341.107</v>
      </c>
      <c r="AM394" s="9">
        <f>Table1[[#This Row],[Quantity]]*Table1[[#This Row],[Cost of unit by inflation 15%]]</f>
        <v>8046.6419999999998</v>
      </c>
      <c r="AN394" s="21" cm="1">
        <f t="array" ref="AN394">_xlfn.UNIQUE(AC394)</f>
        <v>45016</v>
      </c>
    </row>
    <row r="395" spans="1:40" x14ac:dyDescent="0.35">
      <c r="A395" t="s">
        <v>221</v>
      </c>
      <c r="B395" s="21">
        <v>45545</v>
      </c>
      <c r="C395" s="10">
        <v>45572</v>
      </c>
      <c r="D395" s="3">
        <f t="shared" si="72"/>
        <v>27</v>
      </c>
      <c r="E395" s="10" t="str">
        <f t="shared" si="73"/>
        <v>Q3-2024</v>
      </c>
      <c r="F395" t="s">
        <v>645</v>
      </c>
      <c r="G395" t="s">
        <v>649</v>
      </c>
      <c r="H395" t="s">
        <v>661</v>
      </c>
      <c r="I395" t="s">
        <v>703</v>
      </c>
      <c r="J395" t="s">
        <v>706</v>
      </c>
      <c r="K395" t="s">
        <v>715</v>
      </c>
      <c r="L395" t="s">
        <v>727</v>
      </c>
      <c r="M395" t="s">
        <v>939</v>
      </c>
      <c r="N395" s="3">
        <v>1248.3900000000001</v>
      </c>
      <c r="O395" s="3">
        <v>1805.11</v>
      </c>
      <c r="P395" s="6">
        <v>0.20300000000000001</v>
      </c>
      <c r="Q395" s="6">
        <f>IF(Table1[[#This Row],[DiscountPct]]&gt;25%,25%,Table1[[#This Row],[DiscountPct]])</f>
        <v>0.20300000000000001</v>
      </c>
      <c r="R395" s="5">
        <v>11</v>
      </c>
      <c r="S395" s="6">
        <f t="shared" si="74"/>
        <v>0.44595038409471377</v>
      </c>
      <c r="T395" s="8">
        <f t="shared" si="75"/>
        <v>15825.399369999997</v>
      </c>
      <c r="U395" s="8">
        <f t="shared" si="76"/>
        <v>13732.29</v>
      </c>
      <c r="V395" s="9">
        <f t="shared" si="77"/>
        <v>2093.1093699999965</v>
      </c>
      <c r="W395" s="6">
        <f t="shared" si="78"/>
        <v>0.13226265707820786</v>
      </c>
      <c r="X395" t="str" cm="1">
        <f t="array" ref="X395">_xlfn.IFS(S395&lt;=25%, "Low", S395&lt;=75%, "Medium", S395&gt;75%, "High")</f>
        <v>Medium</v>
      </c>
      <c r="Y395" s="8">
        <f>Table1[[#This Row],[Quantity]]*(Table1[[#This Row],[UnitPrice]]*(1-Table1[[#This Row],[DiscountPct]]))</f>
        <v>15825.399369999997</v>
      </c>
      <c r="Z395" s="9">
        <f t="shared" si="79"/>
        <v>2093.1093699999965</v>
      </c>
      <c r="AA395">
        <f>COUNTIF($G$2:G396,G395)</f>
        <v>38</v>
      </c>
      <c r="AB395" s="21">
        <f t="shared" si="80"/>
        <v>44988</v>
      </c>
      <c r="AC395" s="21">
        <f t="shared" si="81"/>
        <v>45016</v>
      </c>
      <c r="AD395" s="5">
        <f>(Table1[[#This Row],[OrderDate]]-Table1[[#This Row],[Date of first order]])/30</f>
        <v>18.566666666666666</v>
      </c>
      <c r="AE395" t="str">
        <f t="shared" si="82"/>
        <v>Poor</v>
      </c>
      <c r="AF395">
        <f>COUNTIF(AE$2:AE396,AE395)</f>
        <v>278</v>
      </c>
      <c r="AG395" t="str">
        <f t="shared" si="83"/>
        <v>True</v>
      </c>
      <c r="AH395" s="7">
        <f>Table1[[#This Row],[UnitPrice]]*(1-Table1[[#This Row],[Disc Scenario]])*Table1[[#This Row],[Quantity]]</f>
        <v>15825.399369999997</v>
      </c>
      <c r="AI395">
        <f>ROUNDDOWN((Table1[[#This Row],[Quantity]]*(1+20%)),0)</f>
        <v>13</v>
      </c>
      <c r="AJ395" s="7">
        <f>Table1[[#This Row],[Quantity increase by 20%]]*Table1[[#This Row],[UnitPrice]]</f>
        <v>23466.43</v>
      </c>
      <c r="AK395">
        <f>ROUNDDOWN(Table1[[#This Row],[Quantity]]*(1+20%),0)</f>
        <v>13</v>
      </c>
      <c r="AL395" s="7">
        <f>Table1[[#This Row],[UnitCost]]*(1+15%)</f>
        <v>1435.6485</v>
      </c>
      <c r="AM395" s="9">
        <f>Table1[[#This Row],[Quantity]]*Table1[[#This Row],[Cost of unit by inflation 15%]]</f>
        <v>15792.1335</v>
      </c>
      <c r="AN395" s="21" cm="1">
        <f t="array" ref="AN395">_xlfn.UNIQUE(AC395)</f>
        <v>45016</v>
      </c>
    </row>
    <row r="396" spans="1:40" x14ac:dyDescent="0.35">
      <c r="A396" t="s">
        <v>249</v>
      </c>
      <c r="B396" s="21">
        <v>45548</v>
      </c>
      <c r="C396" s="10">
        <v>45567</v>
      </c>
      <c r="D396" s="3">
        <f t="shared" si="72"/>
        <v>19</v>
      </c>
      <c r="E396" s="10" t="str">
        <f t="shared" si="73"/>
        <v>Q3-2024</v>
      </c>
      <c r="F396" t="s">
        <v>645</v>
      </c>
      <c r="G396" t="s">
        <v>649</v>
      </c>
      <c r="H396" t="s">
        <v>674</v>
      </c>
      <c r="I396" t="s">
        <v>704</v>
      </c>
      <c r="J396" t="s">
        <v>706</v>
      </c>
      <c r="K396" t="s">
        <v>723</v>
      </c>
      <c r="L396" t="s">
        <v>729</v>
      </c>
      <c r="M396" t="s">
        <v>967</v>
      </c>
      <c r="N396" s="3">
        <v>1338.99</v>
      </c>
      <c r="O396" s="3">
        <v>1765.76</v>
      </c>
      <c r="P396" s="6">
        <v>0.126</v>
      </c>
      <c r="Q396" s="6">
        <f>IF(Table1[[#This Row],[DiscountPct]]&gt;25%,25%,Table1[[#This Row],[DiscountPct]])</f>
        <v>0.126</v>
      </c>
      <c r="R396" s="5">
        <v>24</v>
      </c>
      <c r="S396" s="6">
        <f t="shared" si="74"/>
        <v>0.31872530788131354</v>
      </c>
      <c r="T396" s="8">
        <f t="shared" si="75"/>
        <v>37038.581760000001</v>
      </c>
      <c r="U396" s="8">
        <f t="shared" si="76"/>
        <v>32135.760000000002</v>
      </c>
      <c r="V396" s="9">
        <f t="shared" si="77"/>
        <v>4902.8217599999989</v>
      </c>
      <c r="W396" s="6">
        <f t="shared" si="78"/>
        <v>0.1323706666677725</v>
      </c>
      <c r="X396" t="str" cm="1">
        <f t="array" ref="X396">_xlfn.IFS(S396&lt;=25%, "Low", S396&lt;=75%, "Medium", S396&gt;75%, "High")</f>
        <v>Medium</v>
      </c>
      <c r="Y396" s="8">
        <f>Table1[[#This Row],[Quantity]]*(Table1[[#This Row],[UnitPrice]]*(1-Table1[[#This Row],[DiscountPct]]))</f>
        <v>37038.581760000001</v>
      </c>
      <c r="Z396" s="9">
        <f t="shared" si="79"/>
        <v>4902.8217599999989</v>
      </c>
      <c r="AA396">
        <f>COUNTIF($G$2:G397,G396)</f>
        <v>38</v>
      </c>
      <c r="AB396" s="21">
        <f t="shared" si="80"/>
        <v>44988</v>
      </c>
      <c r="AC396" s="21">
        <f t="shared" si="81"/>
        <v>45016</v>
      </c>
      <c r="AD396" s="5">
        <f>(Table1[[#This Row],[OrderDate]]-Table1[[#This Row],[Date of first order]])/30</f>
        <v>18.666666666666668</v>
      </c>
      <c r="AE396" t="str">
        <f t="shared" si="82"/>
        <v>Poor</v>
      </c>
      <c r="AF396">
        <f>COUNTIF(AE$2:AE397,AE396)</f>
        <v>279</v>
      </c>
      <c r="AG396" t="str">
        <f t="shared" si="83"/>
        <v>False</v>
      </c>
      <c r="AH396" s="7">
        <f>Table1[[#This Row],[UnitPrice]]*(1-Table1[[#This Row],[Disc Scenario]])*Table1[[#This Row],[Quantity]]</f>
        <v>37038.581760000001</v>
      </c>
      <c r="AI396">
        <f>ROUNDDOWN((Table1[[#This Row],[Quantity]]*(1+20%)),0)</f>
        <v>28</v>
      </c>
      <c r="AJ396" s="7">
        <f>Table1[[#This Row],[Quantity increase by 20%]]*Table1[[#This Row],[UnitPrice]]</f>
        <v>49441.279999999999</v>
      </c>
      <c r="AK396">
        <f>ROUNDDOWN(Table1[[#This Row],[Quantity]]*(1+20%),0)</f>
        <v>28</v>
      </c>
      <c r="AL396" s="7">
        <f>Table1[[#This Row],[UnitCost]]*(1+15%)</f>
        <v>1539.8384999999998</v>
      </c>
      <c r="AM396" s="9">
        <f>Table1[[#This Row],[Quantity]]*Table1[[#This Row],[Cost of unit by inflation 15%]]</f>
        <v>36956.123999999996</v>
      </c>
      <c r="AN396" s="21" cm="1">
        <f t="array" ref="AN396">_xlfn.UNIQUE(AC396)</f>
        <v>45016</v>
      </c>
    </row>
    <row r="397" spans="1:40" x14ac:dyDescent="0.35">
      <c r="A397" t="s">
        <v>119</v>
      </c>
      <c r="B397" s="21">
        <v>45549</v>
      </c>
      <c r="C397" s="10">
        <v>45570</v>
      </c>
      <c r="D397" s="3">
        <f t="shared" si="72"/>
        <v>21</v>
      </c>
      <c r="E397" s="10" t="str">
        <f t="shared" si="73"/>
        <v>Q3-2024</v>
      </c>
      <c r="F397" t="s">
        <v>646</v>
      </c>
      <c r="G397" t="s">
        <v>658</v>
      </c>
      <c r="H397" t="s">
        <v>684</v>
      </c>
      <c r="I397" t="s">
        <v>704</v>
      </c>
      <c r="J397" t="s">
        <v>707</v>
      </c>
      <c r="K397" t="s">
        <v>721</v>
      </c>
      <c r="L397" t="s">
        <v>730</v>
      </c>
      <c r="M397" t="s">
        <v>837</v>
      </c>
      <c r="N397" s="3">
        <v>1405.56</v>
      </c>
      <c r="O397" s="3">
        <v>2968.87</v>
      </c>
      <c r="P397" s="6">
        <v>0.16900000000000001</v>
      </c>
      <c r="Q397" s="6">
        <f>IF(Table1[[#This Row],[DiscountPct]]&gt;25%,25%,Table1[[#This Row],[DiscountPct]])</f>
        <v>0.16900000000000001</v>
      </c>
      <c r="R397" s="5">
        <v>5</v>
      </c>
      <c r="S397" s="6">
        <f t="shared" si="74"/>
        <v>1.1122328466945559</v>
      </c>
      <c r="T397" s="8">
        <f t="shared" si="75"/>
        <v>12335.654849999999</v>
      </c>
      <c r="U397" s="8">
        <f t="shared" si="76"/>
        <v>7027.7999999999993</v>
      </c>
      <c r="V397" s="9">
        <f t="shared" si="77"/>
        <v>5307.8548499999997</v>
      </c>
      <c r="W397" s="6">
        <f t="shared" si="78"/>
        <v>0.4302856163327235</v>
      </c>
      <c r="X397" t="str" cm="1">
        <f t="array" ref="X397">_xlfn.IFS(S397&lt;=25%, "Low", S397&lt;=75%, "Medium", S397&gt;75%, "High")</f>
        <v>High</v>
      </c>
      <c r="Y397" s="8">
        <f>Table1[[#This Row],[Quantity]]*(Table1[[#This Row],[UnitPrice]]*(1-Table1[[#This Row],[DiscountPct]]))</f>
        <v>12335.654849999999</v>
      </c>
      <c r="Z397" s="9">
        <f t="shared" si="79"/>
        <v>5307.8548499999997</v>
      </c>
      <c r="AA397">
        <f>COUNTIF($G$2:G398,G397)</f>
        <v>32</v>
      </c>
      <c r="AB397" s="21">
        <f t="shared" si="80"/>
        <v>44988</v>
      </c>
      <c r="AC397" s="21">
        <f t="shared" si="81"/>
        <v>45016</v>
      </c>
      <c r="AD397" s="5">
        <f>(Table1[[#This Row],[OrderDate]]-Table1[[#This Row],[Date of first order]])/30</f>
        <v>18.7</v>
      </c>
      <c r="AE397" t="str">
        <f t="shared" si="82"/>
        <v>Poor</v>
      </c>
      <c r="AF397">
        <f>COUNTIF(AE$2:AE398,AE397)</f>
        <v>280</v>
      </c>
      <c r="AG397" t="str">
        <f t="shared" si="83"/>
        <v>False</v>
      </c>
      <c r="AH397" s="7">
        <f>Table1[[#This Row],[UnitPrice]]*(1-Table1[[#This Row],[Disc Scenario]])*Table1[[#This Row],[Quantity]]</f>
        <v>12335.654849999999</v>
      </c>
      <c r="AI397">
        <f>ROUNDDOWN((Table1[[#This Row],[Quantity]]*(1+20%)),0)</f>
        <v>6</v>
      </c>
      <c r="AJ397" s="7">
        <f>Table1[[#This Row],[Quantity increase by 20%]]*Table1[[#This Row],[UnitPrice]]</f>
        <v>17813.22</v>
      </c>
      <c r="AK397">
        <f>ROUNDDOWN(Table1[[#This Row],[Quantity]]*(1+20%),0)</f>
        <v>6</v>
      </c>
      <c r="AL397" s="7">
        <f>Table1[[#This Row],[UnitCost]]*(1+15%)</f>
        <v>1616.3939999999998</v>
      </c>
      <c r="AM397" s="9">
        <f>Table1[[#This Row],[Quantity]]*Table1[[#This Row],[Cost of unit by inflation 15%]]</f>
        <v>8081.9699999999993</v>
      </c>
      <c r="AN397" s="21" cm="1">
        <f t="array" ref="AN397">_xlfn.UNIQUE(AC397)</f>
        <v>45016</v>
      </c>
    </row>
    <row r="398" spans="1:40" x14ac:dyDescent="0.35">
      <c r="A398" t="s">
        <v>232</v>
      </c>
      <c r="B398" s="21">
        <v>45554</v>
      </c>
      <c r="C398" s="10">
        <v>45579</v>
      </c>
      <c r="D398" s="3">
        <f t="shared" si="72"/>
        <v>25</v>
      </c>
      <c r="E398" s="10" t="str">
        <f t="shared" si="73"/>
        <v>Q3-2024</v>
      </c>
      <c r="F398" t="s">
        <v>647</v>
      </c>
      <c r="G398" t="s">
        <v>654</v>
      </c>
      <c r="H398" t="s">
        <v>691</v>
      </c>
      <c r="I398" t="s">
        <v>704</v>
      </c>
      <c r="J398" t="s">
        <v>706</v>
      </c>
      <c r="K398" t="s">
        <v>722</v>
      </c>
      <c r="L398" t="s">
        <v>727</v>
      </c>
      <c r="M398" t="s">
        <v>950</v>
      </c>
      <c r="N398" s="3">
        <v>386.96</v>
      </c>
      <c r="O398" s="3">
        <v>937.46</v>
      </c>
      <c r="P398" s="6">
        <v>0.26600000000000001</v>
      </c>
      <c r="Q398" s="6">
        <f>IF(Table1[[#This Row],[DiscountPct]]&gt;25%,25%,Table1[[#This Row],[DiscountPct]])</f>
        <v>0.25</v>
      </c>
      <c r="R398" s="5">
        <v>41</v>
      </c>
      <c r="S398" s="6">
        <f t="shared" si="74"/>
        <v>1.4226276617738269</v>
      </c>
      <c r="T398" s="8">
        <f t="shared" si="75"/>
        <v>28211.92124</v>
      </c>
      <c r="U398" s="8">
        <f t="shared" si="76"/>
        <v>15865.359999999999</v>
      </c>
      <c r="V398" s="9">
        <f t="shared" si="77"/>
        <v>12346.561240000001</v>
      </c>
      <c r="W398" s="6">
        <f t="shared" si="78"/>
        <v>0.43763631462626335</v>
      </c>
      <c r="X398" t="str" cm="1">
        <f t="array" ref="X398">_xlfn.IFS(S398&lt;=25%, "Low", S398&lt;=75%, "Medium", S398&gt;75%, "High")</f>
        <v>High</v>
      </c>
      <c r="Y398" s="8">
        <f>Table1[[#This Row],[Quantity]]*(Table1[[#This Row],[UnitPrice]]*(1-Table1[[#This Row],[DiscountPct]]))</f>
        <v>28211.92124</v>
      </c>
      <c r="Z398" s="9">
        <f t="shared" si="79"/>
        <v>12346.561240000001</v>
      </c>
      <c r="AA398">
        <f>COUNTIF($G$2:G399,G398)</f>
        <v>39</v>
      </c>
      <c r="AB398" s="21">
        <f t="shared" si="80"/>
        <v>44988</v>
      </c>
      <c r="AC398" s="21">
        <f t="shared" si="81"/>
        <v>45016</v>
      </c>
      <c r="AD398" s="5">
        <f>(Table1[[#This Row],[OrderDate]]-Table1[[#This Row],[Date of first order]])/30</f>
        <v>18.866666666666667</v>
      </c>
      <c r="AE398" t="str">
        <f t="shared" si="82"/>
        <v>Poor</v>
      </c>
      <c r="AF398">
        <f>COUNTIF(AE$2:AE399,AE398)</f>
        <v>281</v>
      </c>
      <c r="AG398" t="str">
        <f t="shared" si="83"/>
        <v>True</v>
      </c>
      <c r="AH398" s="7">
        <f>Table1[[#This Row],[UnitPrice]]*(1-Table1[[#This Row],[Disc Scenario]])*Table1[[#This Row],[Quantity]]</f>
        <v>28826.895</v>
      </c>
      <c r="AI398">
        <f>ROUNDDOWN((Table1[[#This Row],[Quantity]]*(1+20%)),0)</f>
        <v>49</v>
      </c>
      <c r="AJ398" s="7">
        <f>Table1[[#This Row],[Quantity increase by 20%]]*Table1[[#This Row],[UnitPrice]]</f>
        <v>45935.54</v>
      </c>
      <c r="AK398">
        <f>ROUNDDOWN(Table1[[#This Row],[Quantity]]*(1+20%),0)</f>
        <v>49</v>
      </c>
      <c r="AL398" s="7">
        <f>Table1[[#This Row],[UnitCost]]*(1+15%)</f>
        <v>445.00399999999996</v>
      </c>
      <c r="AM398" s="9">
        <f>Table1[[#This Row],[Quantity]]*Table1[[#This Row],[Cost of unit by inflation 15%]]</f>
        <v>18245.163999999997</v>
      </c>
      <c r="AN398" s="21" cm="1">
        <f t="array" ref="AN398">_xlfn.UNIQUE(AC398)</f>
        <v>45016</v>
      </c>
    </row>
    <row r="399" spans="1:40" x14ac:dyDescent="0.35">
      <c r="A399" t="s">
        <v>208</v>
      </c>
      <c r="B399" s="21">
        <v>45557</v>
      </c>
      <c r="C399" s="10">
        <v>45566</v>
      </c>
      <c r="D399" s="3">
        <f t="shared" si="72"/>
        <v>9</v>
      </c>
      <c r="E399" s="10" t="str">
        <f t="shared" si="73"/>
        <v>Q3-2024</v>
      </c>
      <c r="F399" t="s">
        <v>647</v>
      </c>
      <c r="G399" t="s">
        <v>654</v>
      </c>
      <c r="H399" t="s">
        <v>669</v>
      </c>
      <c r="I399" t="s">
        <v>702</v>
      </c>
      <c r="J399" t="s">
        <v>707</v>
      </c>
      <c r="K399" t="s">
        <v>722</v>
      </c>
      <c r="L399" t="s">
        <v>731</v>
      </c>
      <c r="M399" t="s">
        <v>926</v>
      </c>
      <c r="N399" s="3">
        <v>1378.8</v>
      </c>
      <c r="O399" s="3">
        <v>1952.04</v>
      </c>
      <c r="P399" s="6">
        <v>0.159</v>
      </c>
      <c r="Q399" s="6">
        <f>IF(Table1[[#This Row],[DiscountPct]]&gt;25%,25%,Table1[[#This Row],[DiscountPct]])</f>
        <v>0.159</v>
      </c>
      <c r="R399" s="5">
        <v>19</v>
      </c>
      <c r="S399" s="6">
        <f t="shared" si="74"/>
        <v>0.41575282854656226</v>
      </c>
      <c r="T399" s="8">
        <f t="shared" si="75"/>
        <v>31191.64716</v>
      </c>
      <c r="U399" s="8">
        <f t="shared" si="76"/>
        <v>26197.200000000001</v>
      </c>
      <c r="V399" s="9">
        <f t="shared" si="77"/>
        <v>4994.4471599999997</v>
      </c>
      <c r="W399" s="6">
        <f t="shared" si="78"/>
        <v>0.16012130216723058</v>
      </c>
      <c r="X399" t="str" cm="1">
        <f t="array" ref="X399">_xlfn.IFS(S399&lt;=25%, "Low", S399&lt;=75%, "Medium", S399&gt;75%, "High")</f>
        <v>Medium</v>
      </c>
      <c r="Y399" s="8">
        <f>Table1[[#This Row],[Quantity]]*(Table1[[#This Row],[UnitPrice]]*(1-Table1[[#This Row],[DiscountPct]]))</f>
        <v>31191.64716</v>
      </c>
      <c r="Z399" s="9">
        <f t="shared" si="79"/>
        <v>4994.4471599999997</v>
      </c>
      <c r="AA399">
        <f>COUNTIF($G$2:G400,G399)</f>
        <v>39</v>
      </c>
      <c r="AB399" s="21">
        <f t="shared" si="80"/>
        <v>44988</v>
      </c>
      <c r="AC399" s="21">
        <f t="shared" si="81"/>
        <v>45016</v>
      </c>
      <c r="AD399" s="5">
        <f>(Table1[[#This Row],[OrderDate]]-Table1[[#This Row],[Date of first order]])/30</f>
        <v>18.966666666666665</v>
      </c>
      <c r="AE399" t="str">
        <f t="shared" si="82"/>
        <v>Poor</v>
      </c>
      <c r="AF399">
        <f>COUNTIF(AE$2:AE400,AE399)</f>
        <v>282</v>
      </c>
      <c r="AG399" t="str">
        <f t="shared" si="83"/>
        <v>False</v>
      </c>
      <c r="AH399" s="7">
        <f>Table1[[#This Row],[UnitPrice]]*(1-Table1[[#This Row],[Disc Scenario]])*Table1[[#This Row],[Quantity]]</f>
        <v>31191.64716</v>
      </c>
      <c r="AI399">
        <f>ROUNDDOWN((Table1[[#This Row],[Quantity]]*(1+20%)),0)</f>
        <v>22</v>
      </c>
      <c r="AJ399" s="7">
        <f>Table1[[#This Row],[Quantity increase by 20%]]*Table1[[#This Row],[UnitPrice]]</f>
        <v>42944.88</v>
      </c>
      <c r="AK399">
        <f>ROUNDDOWN(Table1[[#This Row],[Quantity]]*(1+20%),0)</f>
        <v>22</v>
      </c>
      <c r="AL399" s="7">
        <f>Table1[[#This Row],[UnitCost]]*(1+15%)</f>
        <v>1585.62</v>
      </c>
      <c r="AM399" s="9">
        <f>Table1[[#This Row],[Quantity]]*Table1[[#This Row],[Cost of unit by inflation 15%]]</f>
        <v>30126.78</v>
      </c>
      <c r="AN399" s="21" cm="1">
        <f t="array" ref="AN399">_xlfn.UNIQUE(AC399)</f>
        <v>45016</v>
      </c>
    </row>
    <row r="400" spans="1:40" x14ac:dyDescent="0.35">
      <c r="A400" t="s">
        <v>163</v>
      </c>
      <c r="B400" s="21">
        <v>45558</v>
      </c>
      <c r="C400" s="10">
        <v>45583</v>
      </c>
      <c r="D400" s="3">
        <f t="shared" si="72"/>
        <v>25</v>
      </c>
      <c r="E400" s="10" t="str">
        <f t="shared" si="73"/>
        <v>Q3-2024</v>
      </c>
      <c r="F400" t="s">
        <v>647</v>
      </c>
      <c r="G400" t="s">
        <v>652</v>
      </c>
      <c r="H400" t="s">
        <v>687</v>
      </c>
      <c r="I400" t="s">
        <v>704</v>
      </c>
      <c r="J400" t="s">
        <v>707</v>
      </c>
      <c r="K400" t="s">
        <v>724</v>
      </c>
      <c r="L400" t="s">
        <v>729</v>
      </c>
      <c r="M400" t="s">
        <v>881</v>
      </c>
      <c r="N400" s="3">
        <v>1297</v>
      </c>
      <c r="O400" s="3">
        <v>2411.52</v>
      </c>
      <c r="P400" s="6">
        <v>2.1000000000000001E-2</v>
      </c>
      <c r="Q400" s="6">
        <f>IF(Table1[[#This Row],[DiscountPct]]&gt;25%,25%,Table1[[#This Row],[DiscountPct]])</f>
        <v>2.1000000000000001E-2</v>
      </c>
      <c r="R400" s="5">
        <v>18</v>
      </c>
      <c r="S400" s="6">
        <f t="shared" si="74"/>
        <v>0.85930609097918276</v>
      </c>
      <c r="T400" s="8">
        <f t="shared" si="75"/>
        <v>42495.805439999996</v>
      </c>
      <c r="U400" s="8">
        <f t="shared" si="76"/>
        <v>23346</v>
      </c>
      <c r="V400" s="9">
        <f t="shared" si="77"/>
        <v>19149.805439999996</v>
      </c>
      <c r="W400" s="6">
        <f t="shared" si="78"/>
        <v>0.45062813239385913</v>
      </c>
      <c r="X400" t="str" cm="1">
        <f t="array" ref="X400">_xlfn.IFS(S400&lt;=25%, "Low", S400&lt;=75%, "Medium", S400&gt;75%, "High")</f>
        <v>High</v>
      </c>
      <c r="Y400" s="8">
        <f>Table1[[#This Row],[Quantity]]*(Table1[[#This Row],[UnitPrice]]*(1-Table1[[#This Row],[DiscountPct]]))</f>
        <v>42495.805439999996</v>
      </c>
      <c r="Z400" s="9">
        <f t="shared" si="79"/>
        <v>19149.805439999996</v>
      </c>
      <c r="AA400">
        <f>COUNTIF($G$2:G401,G400)</f>
        <v>27</v>
      </c>
      <c r="AB400" s="21">
        <f t="shared" si="80"/>
        <v>44988</v>
      </c>
      <c r="AC400" s="21">
        <f t="shared" si="81"/>
        <v>45016</v>
      </c>
      <c r="AD400" s="5">
        <f>(Table1[[#This Row],[OrderDate]]-Table1[[#This Row],[Date of first order]])/30</f>
        <v>19</v>
      </c>
      <c r="AE400" t="str">
        <f t="shared" si="82"/>
        <v>Poor</v>
      </c>
      <c r="AF400">
        <f>COUNTIF(AE$2:AE401,AE400)</f>
        <v>283</v>
      </c>
      <c r="AG400" t="str">
        <f t="shared" si="83"/>
        <v>False</v>
      </c>
      <c r="AH400" s="7">
        <f>Table1[[#This Row],[UnitPrice]]*(1-Table1[[#This Row],[Disc Scenario]])*Table1[[#This Row],[Quantity]]</f>
        <v>42495.805439999996</v>
      </c>
      <c r="AI400">
        <f>ROUNDDOWN((Table1[[#This Row],[Quantity]]*(1+20%)),0)</f>
        <v>21</v>
      </c>
      <c r="AJ400" s="7">
        <f>Table1[[#This Row],[Quantity increase by 20%]]*Table1[[#This Row],[UnitPrice]]</f>
        <v>50641.919999999998</v>
      </c>
      <c r="AK400">
        <f>ROUNDDOWN(Table1[[#This Row],[Quantity]]*(1+20%),0)</f>
        <v>21</v>
      </c>
      <c r="AL400" s="7">
        <f>Table1[[#This Row],[UnitCost]]*(1+15%)</f>
        <v>1491.55</v>
      </c>
      <c r="AM400" s="9">
        <f>Table1[[#This Row],[Quantity]]*Table1[[#This Row],[Cost of unit by inflation 15%]]</f>
        <v>26847.899999999998</v>
      </c>
      <c r="AN400" s="21" cm="1">
        <f t="array" ref="AN400">_xlfn.UNIQUE(AC400)</f>
        <v>45016</v>
      </c>
    </row>
    <row r="401" spans="1:40" x14ac:dyDescent="0.35">
      <c r="A401" t="s">
        <v>457</v>
      </c>
      <c r="B401" s="21">
        <v>45560</v>
      </c>
      <c r="C401" s="10">
        <v>45568</v>
      </c>
      <c r="D401" s="3">
        <f t="shared" si="72"/>
        <v>8</v>
      </c>
      <c r="E401" s="10" t="str">
        <f t="shared" si="73"/>
        <v>Q3-2024</v>
      </c>
      <c r="F401" t="s">
        <v>647</v>
      </c>
      <c r="G401" t="s">
        <v>652</v>
      </c>
      <c r="H401" t="s">
        <v>666</v>
      </c>
      <c r="I401" t="s">
        <v>703</v>
      </c>
      <c r="J401" t="s">
        <v>707</v>
      </c>
      <c r="K401" t="s">
        <v>717</v>
      </c>
      <c r="L401" t="s">
        <v>727</v>
      </c>
      <c r="M401" t="s">
        <v>1174</v>
      </c>
      <c r="N401" s="3">
        <v>558.19000000000005</v>
      </c>
      <c r="O401" s="3">
        <v>1031.6400000000001</v>
      </c>
      <c r="P401" s="6">
        <v>0</v>
      </c>
      <c r="Q401" s="6">
        <f>IF(Table1[[#This Row],[DiscountPct]]&gt;25%,25%,Table1[[#This Row],[DiscountPct]])</f>
        <v>0</v>
      </c>
      <c r="R401" s="5">
        <v>21</v>
      </c>
      <c r="S401" s="6">
        <f t="shared" si="74"/>
        <v>0.84818789301134023</v>
      </c>
      <c r="T401" s="8">
        <f t="shared" si="75"/>
        <v>21664.440000000002</v>
      </c>
      <c r="U401" s="8">
        <f t="shared" si="76"/>
        <v>11721.990000000002</v>
      </c>
      <c r="V401" s="9">
        <f t="shared" si="77"/>
        <v>9942.4500000000007</v>
      </c>
      <c r="W401" s="6">
        <f t="shared" si="78"/>
        <v>0.45892947152107322</v>
      </c>
      <c r="X401" t="str" cm="1">
        <f t="array" ref="X401">_xlfn.IFS(S401&lt;=25%, "Low", S401&lt;=75%, "Medium", S401&gt;75%, "High")</f>
        <v>High</v>
      </c>
      <c r="Y401" s="8">
        <f>Table1[[#This Row],[Quantity]]*(Table1[[#This Row],[UnitPrice]]*(1-Table1[[#This Row],[DiscountPct]]))</f>
        <v>21664.440000000002</v>
      </c>
      <c r="Z401" s="9">
        <f t="shared" si="79"/>
        <v>9942.4500000000007</v>
      </c>
      <c r="AA401">
        <f>COUNTIF($G$2:G402,G401)</f>
        <v>27</v>
      </c>
      <c r="AB401" s="21">
        <f t="shared" si="80"/>
        <v>44988</v>
      </c>
      <c r="AC401" s="21">
        <f t="shared" si="81"/>
        <v>45016</v>
      </c>
      <c r="AD401" s="5">
        <f>(Table1[[#This Row],[OrderDate]]-Table1[[#This Row],[Date of first order]])/30</f>
        <v>19.066666666666666</v>
      </c>
      <c r="AE401" t="str">
        <f t="shared" si="82"/>
        <v>Poor</v>
      </c>
      <c r="AF401">
        <f>COUNTIF(AE$2:AE402,AE401)</f>
        <v>284</v>
      </c>
      <c r="AG401" t="str">
        <f t="shared" si="83"/>
        <v>False</v>
      </c>
      <c r="AH401" s="7">
        <f>Table1[[#This Row],[UnitPrice]]*(1-Table1[[#This Row],[Disc Scenario]])*Table1[[#This Row],[Quantity]]</f>
        <v>21664.440000000002</v>
      </c>
      <c r="AI401">
        <f>ROUNDDOWN((Table1[[#This Row],[Quantity]]*(1+20%)),0)</f>
        <v>25</v>
      </c>
      <c r="AJ401" s="7">
        <f>Table1[[#This Row],[Quantity increase by 20%]]*Table1[[#This Row],[UnitPrice]]</f>
        <v>25791.000000000004</v>
      </c>
      <c r="AK401">
        <f>ROUNDDOWN(Table1[[#This Row],[Quantity]]*(1+20%),0)</f>
        <v>25</v>
      </c>
      <c r="AL401" s="7">
        <f>Table1[[#This Row],[UnitCost]]*(1+15%)</f>
        <v>641.91849999999999</v>
      </c>
      <c r="AM401" s="9">
        <f>Table1[[#This Row],[Quantity]]*Table1[[#This Row],[Cost of unit by inflation 15%]]</f>
        <v>13480.288500000001</v>
      </c>
      <c r="AN401" s="21" cm="1">
        <f t="array" ref="AN401">_xlfn.UNIQUE(AC401)</f>
        <v>45016</v>
      </c>
    </row>
    <row r="402" spans="1:40" x14ac:dyDescent="0.35">
      <c r="A402" t="s">
        <v>223</v>
      </c>
      <c r="B402" s="21">
        <v>45567</v>
      </c>
      <c r="C402" s="10">
        <v>45588</v>
      </c>
      <c r="D402" s="3">
        <f t="shared" si="72"/>
        <v>21</v>
      </c>
      <c r="E402" s="10" t="str">
        <f t="shared" si="73"/>
        <v>Q4-2024</v>
      </c>
      <c r="F402" t="s">
        <v>645</v>
      </c>
      <c r="G402" t="s">
        <v>660</v>
      </c>
      <c r="H402" t="s">
        <v>686</v>
      </c>
      <c r="I402" t="s">
        <v>700</v>
      </c>
      <c r="J402" t="s">
        <v>708</v>
      </c>
      <c r="K402" t="s">
        <v>719</v>
      </c>
      <c r="L402" t="s">
        <v>726</v>
      </c>
      <c r="M402" t="s">
        <v>941</v>
      </c>
      <c r="N402" s="3">
        <v>1095.6099999999999</v>
      </c>
      <c r="O402" s="3">
        <v>2366.5100000000002</v>
      </c>
      <c r="P402" s="6">
        <v>0.152</v>
      </c>
      <c r="Q402" s="6">
        <f>IF(Table1[[#This Row],[DiscountPct]]&gt;25%,25%,Table1[[#This Row],[DiscountPct]])</f>
        <v>0.152</v>
      </c>
      <c r="R402" s="5">
        <v>9</v>
      </c>
      <c r="S402" s="6">
        <f t="shared" si="74"/>
        <v>1.159993063225053</v>
      </c>
      <c r="T402" s="8">
        <f t="shared" si="75"/>
        <v>18061.204320000004</v>
      </c>
      <c r="U402" s="8">
        <f t="shared" si="76"/>
        <v>9860.49</v>
      </c>
      <c r="V402" s="9">
        <f t="shared" si="77"/>
        <v>8200.7143200000046</v>
      </c>
      <c r="W402" s="6">
        <f t="shared" si="78"/>
        <v>0.4540513564158607</v>
      </c>
      <c r="X402" t="str" cm="1">
        <f t="array" ref="X402">_xlfn.IFS(S402&lt;=25%, "Low", S402&lt;=75%, "Medium", S402&gt;75%, "High")</f>
        <v>High</v>
      </c>
      <c r="Y402" s="8">
        <f>Table1[[#This Row],[Quantity]]*(Table1[[#This Row],[UnitPrice]]*(1-Table1[[#This Row],[DiscountPct]]))</f>
        <v>18061.204320000001</v>
      </c>
      <c r="Z402" s="9">
        <f t="shared" si="79"/>
        <v>8200.714320000001</v>
      </c>
      <c r="AA402">
        <f>COUNTIF($G$2:G403,G402)</f>
        <v>34</v>
      </c>
      <c r="AB402" s="21">
        <f t="shared" si="80"/>
        <v>44988</v>
      </c>
      <c r="AC402" s="21">
        <f t="shared" si="81"/>
        <v>45016</v>
      </c>
      <c r="AD402" s="5">
        <f>(Table1[[#This Row],[OrderDate]]-Table1[[#This Row],[Date of first order]])/30</f>
        <v>19.3</v>
      </c>
      <c r="AE402" t="str">
        <f t="shared" si="82"/>
        <v>Poor</v>
      </c>
      <c r="AF402">
        <f>COUNTIF(AE$2:AE403,AE402)</f>
        <v>285</v>
      </c>
      <c r="AG402" t="str">
        <f t="shared" si="83"/>
        <v>False</v>
      </c>
      <c r="AH402" s="7">
        <f>Table1[[#This Row],[UnitPrice]]*(1-Table1[[#This Row],[Disc Scenario]])*Table1[[#This Row],[Quantity]]</f>
        <v>18061.204320000001</v>
      </c>
      <c r="AI402">
        <f>ROUNDDOWN((Table1[[#This Row],[Quantity]]*(1+20%)),0)</f>
        <v>10</v>
      </c>
      <c r="AJ402" s="7">
        <f>Table1[[#This Row],[Quantity increase by 20%]]*Table1[[#This Row],[UnitPrice]]</f>
        <v>23665.100000000002</v>
      </c>
      <c r="AK402">
        <f>ROUNDDOWN(Table1[[#This Row],[Quantity]]*(1+20%),0)</f>
        <v>10</v>
      </c>
      <c r="AL402" s="7">
        <f>Table1[[#This Row],[UnitCost]]*(1+15%)</f>
        <v>1259.9514999999999</v>
      </c>
      <c r="AM402" s="9">
        <f>Table1[[#This Row],[Quantity]]*Table1[[#This Row],[Cost of unit by inflation 15%]]</f>
        <v>11339.563499999998</v>
      </c>
      <c r="AN402" s="21" cm="1">
        <f t="array" ref="AN402">_xlfn.UNIQUE(AC402)</f>
        <v>45016</v>
      </c>
    </row>
    <row r="403" spans="1:40" x14ac:dyDescent="0.35">
      <c r="A403" t="s">
        <v>195</v>
      </c>
      <c r="B403" s="21">
        <v>45568</v>
      </c>
      <c r="C403" s="10">
        <v>45576</v>
      </c>
      <c r="D403" s="3">
        <f t="shared" si="72"/>
        <v>8</v>
      </c>
      <c r="E403" s="10" t="str">
        <f t="shared" si="73"/>
        <v>Q4-2024</v>
      </c>
      <c r="F403" t="s">
        <v>646</v>
      </c>
      <c r="G403" t="s">
        <v>658</v>
      </c>
      <c r="H403" t="s">
        <v>698</v>
      </c>
      <c r="I403" t="s">
        <v>705</v>
      </c>
      <c r="J403" t="s">
        <v>710</v>
      </c>
      <c r="K403" t="s">
        <v>716</v>
      </c>
      <c r="L403" t="s">
        <v>729</v>
      </c>
      <c r="M403" t="s">
        <v>913</v>
      </c>
      <c r="N403" s="3">
        <v>1132.6099999999999</v>
      </c>
      <c r="O403" s="3">
        <v>2206.63</v>
      </c>
      <c r="P403" s="6">
        <v>6.3E-2</v>
      </c>
      <c r="Q403" s="6">
        <f>IF(Table1[[#This Row],[DiscountPct]]&gt;25%,25%,Table1[[#This Row],[DiscountPct]])</f>
        <v>6.3E-2</v>
      </c>
      <c r="R403" s="5">
        <v>20</v>
      </c>
      <c r="S403" s="6">
        <f t="shared" si="74"/>
        <v>0.94826992521697695</v>
      </c>
      <c r="T403" s="8">
        <f t="shared" si="75"/>
        <v>41352.246200000009</v>
      </c>
      <c r="U403" s="8">
        <f t="shared" si="76"/>
        <v>22652.199999999997</v>
      </c>
      <c r="V403" s="9">
        <f t="shared" si="77"/>
        <v>18700.046200000012</v>
      </c>
      <c r="W403" s="6">
        <f t="shared" si="78"/>
        <v>0.45221355351671338</v>
      </c>
      <c r="X403" t="str" cm="1">
        <f t="array" ref="X403">_xlfn.IFS(S403&lt;=25%, "Low", S403&lt;=75%, "Medium", S403&gt;75%, "High")</f>
        <v>High</v>
      </c>
      <c r="Y403" s="8">
        <f>Table1[[#This Row],[Quantity]]*(Table1[[#This Row],[UnitPrice]]*(1-Table1[[#This Row],[DiscountPct]]))</f>
        <v>41352.246200000009</v>
      </c>
      <c r="Z403" s="9">
        <f t="shared" si="79"/>
        <v>18700.046200000012</v>
      </c>
      <c r="AA403">
        <f>COUNTIF($G$2:G404,G403)</f>
        <v>33</v>
      </c>
      <c r="AB403" s="21">
        <f t="shared" si="80"/>
        <v>44988</v>
      </c>
      <c r="AC403" s="21">
        <f t="shared" si="81"/>
        <v>45016</v>
      </c>
      <c r="AD403" s="5">
        <f>(Table1[[#This Row],[OrderDate]]-Table1[[#This Row],[Date of first order]])/30</f>
        <v>19.333333333333332</v>
      </c>
      <c r="AE403" t="str">
        <f t="shared" si="82"/>
        <v>Poor</v>
      </c>
      <c r="AF403">
        <f>COUNTIF(AE$2:AE404,AE403)</f>
        <v>286</v>
      </c>
      <c r="AG403" t="str">
        <f t="shared" si="83"/>
        <v>False</v>
      </c>
      <c r="AH403" s="7">
        <f>Table1[[#This Row],[UnitPrice]]*(1-Table1[[#This Row],[Disc Scenario]])*Table1[[#This Row],[Quantity]]</f>
        <v>41352.246200000009</v>
      </c>
      <c r="AI403">
        <f>ROUNDDOWN((Table1[[#This Row],[Quantity]]*(1+20%)),0)</f>
        <v>24</v>
      </c>
      <c r="AJ403" s="7">
        <f>Table1[[#This Row],[Quantity increase by 20%]]*Table1[[#This Row],[UnitPrice]]</f>
        <v>52959.12</v>
      </c>
      <c r="AK403">
        <f>ROUNDDOWN(Table1[[#This Row],[Quantity]]*(1+20%),0)</f>
        <v>24</v>
      </c>
      <c r="AL403" s="7">
        <f>Table1[[#This Row],[UnitCost]]*(1+15%)</f>
        <v>1302.5014999999999</v>
      </c>
      <c r="AM403" s="9">
        <f>Table1[[#This Row],[Quantity]]*Table1[[#This Row],[Cost of unit by inflation 15%]]</f>
        <v>26050.03</v>
      </c>
      <c r="AN403" s="21" cm="1">
        <f t="array" ref="AN403">_xlfn.UNIQUE(AC403)</f>
        <v>45016</v>
      </c>
    </row>
    <row r="404" spans="1:40" x14ac:dyDescent="0.35">
      <c r="A404" t="s">
        <v>108</v>
      </c>
      <c r="B404" s="21">
        <v>45569</v>
      </c>
      <c r="C404" s="10">
        <v>45598</v>
      </c>
      <c r="D404" s="3">
        <f t="shared" si="72"/>
        <v>29</v>
      </c>
      <c r="E404" s="10" t="str">
        <f t="shared" si="73"/>
        <v>Q4-2024</v>
      </c>
      <c r="F404" t="s">
        <v>645</v>
      </c>
      <c r="G404" t="s">
        <v>650</v>
      </c>
      <c r="H404" t="s">
        <v>668</v>
      </c>
      <c r="I404" t="s">
        <v>700</v>
      </c>
      <c r="J404" t="s">
        <v>709</v>
      </c>
      <c r="K404" t="s">
        <v>720</v>
      </c>
      <c r="L404" t="s">
        <v>732</v>
      </c>
      <c r="M404" t="s">
        <v>826</v>
      </c>
      <c r="N404" s="3">
        <v>412.09</v>
      </c>
      <c r="O404" s="3">
        <v>968.94</v>
      </c>
      <c r="P404" s="6">
        <v>9.9000000000000005E-2</v>
      </c>
      <c r="Q404" s="6">
        <f>IF(Table1[[#This Row],[DiscountPct]]&gt;25%,25%,Table1[[#This Row],[DiscountPct]])</f>
        <v>9.9000000000000005E-2</v>
      </c>
      <c r="R404" s="5">
        <v>23</v>
      </c>
      <c r="S404" s="6">
        <f t="shared" si="74"/>
        <v>1.3512824868354005</v>
      </c>
      <c r="T404" s="8">
        <f t="shared" si="75"/>
        <v>20079.343620000003</v>
      </c>
      <c r="U404" s="8">
        <f t="shared" si="76"/>
        <v>9478.07</v>
      </c>
      <c r="V404" s="9">
        <f t="shared" si="77"/>
        <v>10601.273620000004</v>
      </c>
      <c r="W404" s="6">
        <f t="shared" si="78"/>
        <v>0.52796913189137418</v>
      </c>
      <c r="X404" t="str" cm="1">
        <f t="array" ref="X404">_xlfn.IFS(S404&lt;=25%, "Low", S404&lt;=75%, "Medium", S404&gt;75%, "High")</f>
        <v>High</v>
      </c>
      <c r="Y404" s="8">
        <f>Table1[[#This Row],[Quantity]]*(Table1[[#This Row],[UnitPrice]]*(1-Table1[[#This Row],[DiscountPct]]))</f>
        <v>20079.34362</v>
      </c>
      <c r="Z404" s="9">
        <f t="shared" si="79"/>
        <v>10601.27362</v>
      </c>
      <c r="AA404">
        <f>COUNTIF($G$2:G405,G404)</f>
        <v>27</v>
      </c>
      <c r="AB404" s="21">
        <f t="shared" si="80"/>
        <v>44988</v>
      </c>
      <c r="AC404" s="21">
        <f t="shared" si="81"/>
        <v>45016</v>
      </c>
      <c r="AD404" s="5">
        <f>(Table1[[#This Row],[OrderDate]]-Table1[[#This Row],[Date of first order]])/30</f>
        <v>19.366666666666667</v>
      </c>
      <c r="AE404" t="str">
        <f t="shared" si="82"/>
        <v>Poor</v>
      </c>
      <c r="AF404">
        <f>COUNTIF(AE$2:AE405,AE404)</f>
        <v>286</v>
      </c>
      <c r="AG404" t="str">
        <f t="shared" si="83"/>
        <v>False</v>
      </c>
      <c r="AH404" s="7">
        <f>Table1[[#This Row],[UnitPrice]]*(1-Table1[[#This Row],[Disc Scenario]])*Table1[[#This Row],[Quantity]]</f>
        <v>20079.34362</v>
      </c>
      <c r="AI404">
        <f>ROUNDDOWN((Table1[[#This Row],[Quantity]]*(1+20%)),0)</f>
        <v>27</v>
      </c>
      <c r="AJ404" s="7">
        <f>Table1[[#This Row],[Quantity increase by 20%]]*Table1[[#This Row],[UnitPrice]]</f>
        <v>26161.38</v>
      </c>
      <c r="AK404">
        <f>ROUNDDOWN(Table1[[#This Row],[Quantity]]*(1+20%),0)</f>
        <v>27</v>
      </c>
      <c r="AL404" s="7">
        <f>Table1[[#This Row],[UnitCost]]*(1+15%)</f>
        <v>473.90349999999995</v>
      </c>
      <c r="AM404" s="9">
        <f>Table1[[#This Row],[Quantity]]*Table1[[#This Row],[Cost of unit by inflation 15%]]</f>
        <v>10899.780499999999</v>
      </c>
      <c r="AN404" s="21" cm="1">
        <f t="array" ref="AN404">_xlfn.UNIQUE(AC404)</f>
        <v>45016</v>
      </c>
    </row>
    <row r="405" spans="1:40" x14ac:dyDescent="0.35">
      <c r="A405" t="s">
        <v>279</v>
      </c>
      <c r="B405" s="21">
        <v>45573</v>
      </c>
      <c r="C405" s="10">
        <v>45573</v>
      </c>
      <c r="D405" s="3">
        <f t="shared" si="72"/>
        <v>0</v>
      </c>
      <c r="E405" s="10" t="str">
        <f t="shared" si="73"/>
        <v>Q4-2024</v>
      </c>
      <c r="F405" t="s">
        <v>648</v>
      </c>
      <c r="G405" t="s">
        <v>657</v>
      </c>
      <c r="H405" t="s">
        <v>682</v>
      </c>
      <c r="I405" t="s">
        <v>700</v>
      </c>
      <c r="J405" t="s">
        <v>707</v>
      </c>
      <c r="K405" t="s">
        <v>717</v>
      </c>
      <c r="L405" t="s">
        <v>731</v>
      </c>
      <c r="M405" t="s">
        <v>997</v>
      </c>
      <c r="N405" s="3">
        <v>1108.1099999999999</v>
      </c>
      <c r="O405" s="3">
        <v>2503.79</v>
      </c>
      <c r="P405" s="6">
        <v>0.184</v>
      </c>
      <c r="Q405" s="6">
        <f>IF(Table1[[#This Row],[DiscountPct]]&gt;25%,25%,Table1[[#This Row],[DiscountPct]])</f>
        <v>0.184</v>
      </c>
      <c r="R405" s="5">
        <v>19</v>
      </c>
      <c r="S405" s="6">
        <f t="shared" si="74"/>
        <v>1.2595139471713099</v>
      </c>
      <c r="T405" s="8">
        <f t="shared" si="75"/>
        <v>38818.760160000005</v>
      </c>
      <c r="U405" s="8">
        <f t="shared" si="76"/>
        <v>21054.089999999997</v>
      </c>
      <c r="V405" s="9">
        <f t="shared" si="77"/>
        <v>17764.670160000009</v>
      </c>
      <c r="W405" s="6">
        <f t="shared" si="78"/>
        <v>0.45763105485025896</v>
      </c>
      <c r="X405" t="str" cm="1">
        <f t="array" ref="X405">_xlfn.IFS(S405&lt;=25%, "Low", S405&lt;=75%, "Medium", S405&gt;75%, "High")</f>
        <v>High</v>
      </c>
      <c r="Y405" s="8">
        <f>Table1[[#This Row],[Quantity]]*(Table1[[#This Row],[UnitPrice]]*(1-Table1[[#This Row],[DiscountPct]]))</f>
        <v>38818.760159999998</v>
      </c>
      <c r="Z405" s="9">
        <f t="shared" si="79"/>
        <v>17764.670160000001</v>
      </c>
      <c r="AA405">
        <f>COUNTIF($G$2:G406,G405)</f>
        <v>34</v>
      </c>
      <c r="AB405" s="21">
        <f t="shared" si="80"/>
        <v>44988</v>
      </c>
      <c r="AC405" s="21">
        <f t="shared" si="81"/>
        <v>45016</v>
      </c>
      <c r="AD405" s="5">
        <f>(Table1[[#This Row],[OrderDate]]-Table1[[#This Row],[Date of first order]])/30</f>
        <v>19.5</v>
      </c>
      <c r="AE405" t="str">
        <f t="shared" si="82"/>
        <v>Good</v>
      </c>
      <c r="AF405">
        <f>COUNTIF(AE$2:AE406,AE405)</f>
        <v>118</v>
      </c>
      <c r="AG405" t="str">
        <f t="shared" si="83"/>
        <v>False</v>
      </c>
      <c r="AH405" s="7">
        <f>Table1[[#This Row],[UnitPrice]]*(1-Table1[[#This Row],[Disc Scenario]])*Table1[[#This Row],[Quantity]]</f>
        <v>38818.760159999998</v>
      </c>
      <c r="AI405">
        <f>ROUNDDOWN((Table1[[#This Row],[Quantity]]*(1+20%)),0)</f>
        <v>22</v>
      </c>
      <c r="AJ405" s="7">
        <f>Table1[[#This Row],[Quantity increase by 20%]]*Table1[[#This Row],[UnitPrice]]</f>
        <v>55083.38</v>
      </c>
      <c r="AK405">
        <f>ROUNDDOWN(Table1[[#This Row],[Quantity]]*(1+20%),0)</f>
        <v>22</v>
      </c>
      <c r="AL405" s="7">
        <f>Table1[[#This Row],[UnitCost]]*(1+15%)</f>
        <v>1274.3264999999999</v>
      </c>
      <c r="AM405" s="9">
        <f>Table1[[#This Row],[Quantity]]*Table1[[#This Row],[Cost of unit by inflation 15%]]</f>
        <v>24212.2035</v>
      </c>
      <c r="AN405" s="21" cm="1">
        <f t="array" ref="AN405">_xlfn.UNIQUE(AC405)</f>
        <v>45016</v>
      </c>
    </row>
    <row r="406" spans="1:40" x14ac:dyDescent="0.35">
      <c r="A406" t="s">
        <v>183</v>
      </c>
      <c r="B406" s="21">
        <v>45574</v>
      </c>
      <c r="C406" s="10">
        <v>45604</v>
      </c>
      <c r="D406" s="3">
        <f t="shared" si="72"/>
        <v>30</v>
      </c>
      <c r="E406" s="10" t="str">
        <f t="shared" si="73"/>
        <v>Q4-2024</v>
      </c>
      <c r="F406" t="s">
        <v>648</v>
      </c>
      <c r="G406" t="s">
        <v>657</v>
      </c>
      <c r="H406" t="s">
        <v>692</v>
      </c>
      <c r="I406" t="s">
        <v>704</v>
      </c>
      <c r="J406" t="s">
        <v>709</v>
      </c>
      <c r="K406" t="s">
        <v>712</v>
      </c>
      <c r="L406" t="s">
        <v>726</v>
      </c>
      <c r="M406" t="s">
        <v>901</v>
      </c>
      <c r="N406" s="3">
        <v>343.85</v>
      </c>
      <c r="O406" s="3">
        <v>538.04</v>
      </c>
      <c r="P406" s="6">
        <v>0.13900000000000001</v>
      </c>
      <c r="Q406" s="6">
        <f>IF(Table1[[#This Row],[DiscountPct]]&gt;25%,25%,Table1[[#This Row],[DiscountPct]])</f>
        <v>0.13900000000000001</v>
      </c>
      <c r="R406" s="5">
        <v>5</v>
      </c>
      <c r="S406" s="6">
        <f t="shared" si="74"/>
        <v>0.56475207212447265</v>
      </c>
      <c r="T406" s="8">
        <f t="shared" si="75"/>
        <v>2316.2621999999997</v>
      </c>
      <c r="U406" s="8">
        <f t="shared" si="76"/>
        <v>1719.25</v>
      </c>
      <c r="V406" s="9">
        <f t="shared" si="77"/>
        <v>597.01219999999967</v>
      </c>
      <c r="W406" s="6">
        <f t="shared" si="78"/>
        <v>0.25774810813732563</v>
      </c>
      <c r="X406" t="str" cm="1">
        <f t="array" ref="X406">_xlfn.IFS(S406&lt;=25%, "Low", S406&lt;=75%, "Medium", S406&gt;75%, "High")</f>
        <v>Medium</v>
      </c>
      <c r="Y406" s="8">
        <f>Table1[[#This Row],[Quantity]]*(Table1[[#This Row],[UnitPrice]]*(1-Table1[[#This Row],[DiscountPct]]))</f>
        <v>2316.2622000000001</v>
      </c>
      <c r="Z406" s="9">
        <f t="shared" si="79"/>
        <v>597.01220000000012</v>
      </c>
      <c r="AA406">
        <f>COUNTIF($G$2:G407,G406)</f>
        <v>35</v>
      </c>
      <c r="AB406" s="21">
        <f t="shared" si="80"/>
        <v>44988</v>
      </c>
      <c r="AC406" s="21">
        <f t="shared" si="81"/>
        <v>45016</v>
      </c>
      <c r="AD406" s="5">
        <f>(Table1[[#This Row],[OrderDate]]-Table1[[#This Row],[Date of first order]])/30</f>
        <v>19.533333333333335</v>
      </c>
      <c r="AE406" t="str">
        <f t="shared" si="82"/>
        <v>Poor</v>
      </c>
      <c r="AF406">
        <f>COUNTIF(AE$2:AE407,AE406)</f>
        <v>287</v>
      </c>
      <c r="AG406" t="str">
        <f t="shared" si="83"/>
        <v>False</v>
      </c>
      <c r="AH406" s="7">
        <f>Table1[[#This Row],[UnitPrice]]*(1-Table1[[#This Row],[Disc Scenario]])*Table1[[#This Row],[Quantity]]</f>
        <v>2316.2622000000001</v>
      </c>
      <c r="AI406">
        <f>ROUNDDOWN((Table1[[#This Row],[Quantity]]*(1+20%)),0)</f>
        <v>6</v>
      </c>
      <c r="AJ406" s="7">
        <f>Table1[[#This Row],[Quantity increase by 20%]]*Table1[[#This Row],[UnitPrice]]</f>
        <v>3228.24</v>
      </c>
      <c r="AK406">
        <f>ROUNDDOWN(Table1[[#This Row],[Quantity]]*(1+20%),0)</f>
        <v>6</v>
      </c>
      <c r="AL406" s="7">
        <f>Table1[[#This Row],[UnitCost]]*(1+15%)</f>
        <v>395.42750000000001</v>
      </c>
      <c r="AM406" s="9">
        <f>Table1[[#This Row],[Quantity]]*Table1[[#This Row],[Cost of unit by inflation 15%]]</f>
        <v>1977.1375</v>
      </c>
      <c r="AN406" s="21" cm="1">
        <f t="array" ref="AN406">_xlfn.UNIQUE(AC406)</f>
        <v>45016</v>
      </c>
    </row>
    <row r="407" spans="1:40" x14ac:dyDescent="0.35">
      <c r="A407" t="s">
        <v>525</v>
      </c>
      <c r="B407" s="21">
        <v>45575</v>
      </c>
      <c r="C407" s="10">
        <v>45576</v>
      </c>
      <c r="D407" s="3">
        <f t="shared" si="72"/>
        <v>1</v>
      </c>
      <c r="E407" s="10" t="str">
        <f t="shared" si="73"/>
        <v>Q4-2024</v>
      </c>
      <c r="F407" t="s">
        <v>648</v>
      </c>
      <c r="G407" t="s">
        <v>657</v>
      </c>
      <c r="H407" t="s">
        <v>692</v>
      </c>
      <c r="I407" t="s">
        <v>702</v>
      </c>
      <c r="J407" t="s">
        <v>709</v>
      </c>
      <c r="K407" t="s">
        <v>715</v>
      </c>
      <c r="L407" t="s">
        <v>726</v>
      </c>
      <c r="M407" t="s">
        <v>1242</v>
      </c>
      <c r="N407" s="3">
        <v>1389.46</v>
      </c>
      <c r="O407" s="3">
        <v>1784.7</v>
      </c>
      <c r="P407" s="6">
        <v>0.14599999999999999</v>
      </c>
      <c r="Q407" s="6">
        <f>IF(Table1[[#This Row],[DiscountPct]]&gt;25%,25%,Table1[[#This Row],[DiscountPct]])</f>
        <v>0.14599999999999999</v>
      </c>
      <c r="R407" s="5">
        <v>33</v>
      </c>
      <c r="S407" s="6">
        <f t="shared" si="74"/>
        <v>0.28445583176197947</v>
      </c>
      <c r="T407" s="8">
        <f t="shared" si="75"/>
        <v>50296.415399999998</v>
      </c>
      <c r="U407" s="8">
        <f t="shared" si="76"/>
        <v>45852.18</v>
      </c>
      <c r="V407" s="9">
        <f t="shared" si="77"/>
        <v>4444.2353999999978</v>
      </c>
      <c r="W407" s="6">
        <f t="shared" si="78"/>
        <v>8.8360877503011831E-2</v>
      </c>
      <c r="X407" t="str" cm="1">
        <f t="array" ref="X407">_xlfn.IFS(S407&lt;=25%, "Low", S407&lt;=75%, "Medium", S407&gt;75%, "High")</f>
        <v>Medium</v>
      </c>
      <c r="Y407" s="8">
        <f>Table1[[#This Row],[Quantity]]*(Table1[[#This Row],[UnitPrice]]*(1-Table1[[#This Row],[DiscountPct]]))</f>
        <v>50296.415400000005</v>
      </c>
      <c r="Z407" s="9">
        <f t="shared" si="79"/>
        <v>4444.235400000005</v>
      </c>
      <c r="AA407">
        <f>COUNTIF($G$2:G408,G407)</f>
        <v>35</v>
      </c>
      <c r="AB407" s="21">
        <f t="shared" si="80"/>
        <v>44988</v>
      </c>
      <c r="AC407" s="21">
        <f t="shared" si="81"/>
        <v>45016</v>
      </c>
      <c r="AD407" s="5">
        <f>(Table1[[#This Row],[OrderDate]]-Table1[[#This Row],[Date of first order]])/30</f>
        <v>19.566666666666666</v>
      </c>
      <c r="AE407" t="str">
        <f t="shared" si="82"/>
        <v>Good</v>
      </c>
      <c r="AF407">
        <f>COUNTIF(AE$2:AE408,AE407)</f>
        <v>119</v>
      </c>
      <c r="AG407" t="str">
        <f t="shared" si="83"/>
        <v>False</v>
      </c>
      <c r="AH407" s="7">
        <f>Table1[[#This Row],[UnitPrice]]*(1-Table1[[#This Row],[Disc Scenario]])*Table1[[#This Row],[Quantity]]</f>
        <v>50296.415400000005</v>
      </c>
      <c r="AI407">
        <f>ROUNDDOWN((Table1[[#This Row],[Quantity]]*(1+20%)),0)</f>
        <v>39</v>
      </c>
      <c r="AJ407" s="7">
        <f>Table1[[#This Row],[Quantity increase by 20%]]*Table1[[#This Row],[UnitPrice]]</f>
        <v>69603.3</v>
      </c>
      <c r="AK407">
        <f>ROUNDDOWN(Table1[[#This Row],[Quantity]]*(1+20%),0)</f>
        <v>39</v>
      </c>
      <c r="AL407" s="7">
        <f>Table1[[#This Row],[UnitCost]]*(1+15%)</f>
        <v>1597.8789999999999</v>
      </c>
      <c r="AM407" s="9">
        <f>Table1[[#This Row],[Quantity]]*Table1[[#This Row],[Cost of unit by inflation 15%]]</f>
        <v>52730.006999999998</v>
      </c>
      <c r="AN407" s="21" cm="1">
        <f t="array" ref="AN407">_xlfn.UNIQUE(AC407)</f>
        <v>45016</v>
      </c>
    </row>
    <row r="408" spans="1:40" x14ac:dyDescent="0.35">
      <c r="A408" t="s">
        <v>231</v>
      </c>
      <c r="B408" s="21">
        <v>45576</v>
      </c>
      <c r="C408" s="10">
        <v>45605</v>
      </c>
      <c r="D408" s="3">
        <f t="shared" si="72"/>
        <v>29</v>
      </c>
      <c r="E408" s="10" t="str">
        <f t="shared" si="73"/>
        <v>Q4-2024</v>
      </c>
      <c r="F408" t="s">
        <v>646</v>
      </c>
      <c r="G408" t="s">
        <v>658</v>
      </c>
      <c r="H408" t="s">
        <v>684</v>
      </c>
      <c r="I408" t="s">
        <v>702</v>
      </c>
      <c r="J408" t="s">
        <v>707</v>
      </c>
      <c r="K408" t="s">
        <v>720</v>
      </c>
      <c r="L408" t="s">
        <v>727</v>
      </c>
      <c r="M408" t="s">
        <v>949</v>
      </c>
      <c r="N408" s="3">
        <v>391.64</v>
      </c>
      <c r="O408" s="3">
        <v>504.76</v>
      </c>
      <c r="P408" s="6">
        <v>4.0000000000000001E-3</v>
      </c>
      <c r="Q408" s="6">
        <f>IF(Table1[[#This Row],[DiscountPct]]&gt;25%,25%,Table1[[#This Row],[DiscountPct]])</f>
        <v>4.0000000000000001E-3</v>
      </c>
      <c r="R408" s="5">
        <v>13</v>
      </c>
      <c r="S408" s="6">
        <f t="shared" si="74"/>
        <v>0.28883668675314067</v>
      </c>
      <c r="T408" s="8">
        <f t="shared" si="75"/>
        <v>6535.6324800000002</v>
      </c>
      <c r="U408" s="8">
        <f t="shared" si="76"/>
        <v>5091.32</v>
      </c>
      <c r="V408" s="9">
        <f t="shared" si="77"/>
        <v>1444.3124800000005</v>
      </c>
      <c r="W408" s="6">
        <f t="shared" si="78"/>
        <v>0.22099046793402319</v>
      </c>
      <c r="X408" t="str" cm="1">
        <f t="array" ref="X408">_xlfn.IFS(S408&lt;=25%, "Low", S408&lt;=75%, "Medium", S408&gt;75%, "High")</f>
        <v>Medium</v>
      </c>
      <c r="Y408" s="8">
        <f>Table1[[#This Row],[Quantity]]*(Table1[[#This Row],[UnitPrice]]*(1-Table1[[#This Row],[DiscountPct]]))</f>
        <v>6535.6324799999993</v>
      </c>
      <c r="Z408" s="9">
        <f t="shared" si="79"/>
        <v>1444.3124799999996</v>
      </c>
      <c r="AA408">
        <f>COUNTIF($G$2:G409,G408)</f>
        <v>34</v>
      </c>
      <c r="AB408" s="21">
        <f t="shared" si="80"/>
        <v>44988</v>
      </c>
      <c r="AC408" s="21">
        <f t="shared" si="81"/>
        <v>45016</v>
      </c>
      <c r="AD408" s="5">
        <f>(Table1[[#This Row],[OrderDate]]-Table1[[#This Row],[Date of first order]])/30</f>
        <v>19.600000000000001</v>
      </c>
      <c r="AE408" t="str">
        <f t="shared" si="82"/>
        <v>Poor</v>
      </c>
      <c r="AF408">
        <f>COUNTIF(AE$2:AE409,AE408)</f>
        <v>289</v>
      </c>
      <c r="AG408" t="str">
        <f t="shared" si="83"/>
        <v>False</v>
      </c>
      <c r="AH408" s="7">
        <f>Table1[[#This Row],[UnitPrice]]*(1-Table1[[#This Row],[Disc Scenario]])*Table1[[#This Row],[Quantity]]</f>
        <v>6535.6324799999993</v>
      </c>
      <c r="AI408">
        <f>ROUNDDOWN((Table1[[#This Row],[Quantity]]*(1+20%)),0)</f>
        <v>15</v>
      </c>
      <c r="AJ408" s="7">
        <f>Table1[[#This Row],[Quantity increase by 20%]]*Table1[[#This Row],[UnitPrice]]</f>
        <v>7571.4</v>
      </c>
      <c r="AK408">
        <f>ROUNDDOWN(Table1[[#This Row],[Quantity]]*(1+20%),0)</f>
        <v>15</v>
      </c>
      <c r="AL408" s="7">
        <f>Table1[[#This Row],[UnitCost]]*(1+15%)</f>
        <v>450.38599999999997</v>
      </c>
      <c r="AM408" s="9">
        <f>Table1[[#This Row],[Quantity]]*Table1[[#This Row],[Cost of unit by inflation 15%]]</f>
        <v>5855.018</v>
      </c>
      <c r="AN408" s="21" cm="1">
        <f t="array" ref="AN408">_xlfn.UNIQUE(AC408)</f>
        <v>45016</v>
      </c>
    </row>
    <row r="409" spans="1:40" x14ac:dyDescent="0.35">
      <c r="A409" t="s">
        <v>632</v>
      </c>
      <c r="B409" s="21">
        <v>45578</v>
      </c>
      <c r="C409" s="10">
        <v>45589</v>
      </c>
      <c r="D409" s="3">
        <f t="shared" si="72"/>
        <v>11</v>
      </c>
      <c r="E409" s="10" t="str">
        <f t="shared" si="73"/>
        <v>Q4-2024</v>
      </c>
      <c r="F409" t="s">
        <v>648</v>
      </c>
      <c r="G409" t="s">
        <v>656</v>
      </c>
      <c r="H409" t="s">
        <v>689</v>
      </c>
      <c r="I409" t="s">
        <v>701</v>
      </c>
      <c r="J409" t="s">
        <v>709</v>
      </c>
      <c r="K409" t="s">
        <v>720</v>
      </c>
      <c r="L409" t="s">
        <v>726</v>
      </c>
      <c r="M409" t="s">
        <v>1348</v>
      </c>
      <c r="N409" s="3">
        <v>816.7</v>
      </c>
      <c r="O409" s="3">
        <v>1010.75</v>
      </c>
      <c r="P409" s="6">
        <v>4.7E-2</v>
      </c>
      <c r="Q409" s="6">
        <f>IF(Table1[[#This Row],[DiscountPct]]&gt;25%,25%,Table1[[#This Row],[DiscountPct]])</f>
        <v>4.7E-2</v>
      </c>
      <c r="R409" s="5">
        <v>43</v>
      </c>
      <c r="S409" s="6">
        <f t="shared" si="74"/>
        <v>0.23760254683482299</v>
      </c>
      <c r="T409" s="8">
        <f t="shared" si="75"/>
        <v>41419.524249999995</v>
      </c>
      <c r="U409" s="8">
        <f t="shared" si="76"/>
        <v>35118.1</v>
      </c>
      <c r="V409" s="9">
        <f t="shared" si="77"/>
        <v>6301.4242499999964</v>
      </c>
      <c r="W409" s="6">
        <f t="shared" si="78"/>
        <v>0.15213656757537472</v>
      </c>
      <c r="X409" t="str" cm="1">
        <f t="array" ref="X409">_xlfn.IFS(S409&lt;=25%, "Low", S409&lt;=75%, "Medium", S409&gt;75%, "High")</f>
        <v>Low</v>
      </c>
      <c r="Y409" s="8">
        <f>Table1[[#This Row],[Quantity]]*(Table1[[#This Row],[UnitPrice]]*(1-Table1[[#This Row],[DiscountPct]]))</f>
        <v>41419.524249999995</v>
      </c>
      <c r="Z409" s="9">
        <f t="shared" si="79"/>
        <v>6301.4242499999964</v>
      </c>
      <c r="AA409">
        <f>COUNTIF($G$2:G410,G409)</f>
        <v>32</v>
      </c>
      <c r="AB409" s="21">
        <f t="shared" si="80"/>
        <v>44988</v>
      </c>
      <c r="AC409" s="21">
        <f t="shared" si="81"/>
        <v>45016</v>
      </c>
      <c r="AD409" s="5">
        <f>(Table1[[#This Row],[OrderDate]]-Table1[[#This Row],[Date of first order]])/30</f>
        <v>19.666666666666668</v>
      </c>
      <c r="AE409" t="str">
        <f t="shared" si="82"/>
        <v>Poor</v>
      </c>
      <c r="AF409">
        <f>COUNTIF(AE$2:AE410,AE409)</f>
        <v>290</v>
      </c>
      <c r="AG409" t="str">
        <f t="shared" si="83"/>
        <v>False</v>
      </c>
      <c r="AH409" s="7">
        <f>Table1[[#This Row],[UnitPrice]]*(1-Table1[[#This Row],[Disc Scenario]])*Table1[[#This Row],[Quantity]]</f>
        <v>41419.524249999995</v>
      </c>
      <c r="AI409">
        <f>ROUNDDOWN((Table1[[#This Row],[Quantity]]*(1+20%)),0)</f>
        <v>51</v>
      </c>
      <c r="AJ409" s="7">
        <f>Table1[[#This Row],[Quantity increase by 20%]]*Table1[[#This Row],[UnitPrice]]</f>
        <v>51548.25</v>
      </c>
      <c r="AK409">
        <f>ROUNDDOWN(Table1[[#This Row],[Quantity]]*(1+20%),0)</f>
        <v>51</v>
      </c>
      <c r="AL409" s="7">
        <f>Table1[[#This Row],[UnitCost]]*(1+15%)</f>
        <v>939.20499999999993</v>
      </c>
      <c r="AM409" s="9">
        <f>Table1[[#This Row],[Quantity]]*Table1[[#This Row],[Cost of unit by inflation 15%]]</f>
        <v>40385.814999999995</v>
      </c>
      <c r="AN409" s="21" cm="1">
        <f t="array" ref="AN409">_xlfn.UNIQUE(AC409)</f>
        <v>45016</v>
      </c>
    </row>
    <row r="410" spans="1:40" x14ac:dyDescent="0.35">
      <c r="A410" t="s">
        <v>63</v>
      </c>
      <c r="B410" s="21">
        <v>45579</v>
      </c>
      <c r="C410" s="10">
        <v>45604</v>
      </c>
      <c r="D410" s="3">
        <f t="shared" si="72"/>
        <v>25</v>
      </c>
      <c r="E410" s="10" t="str">
        <f t="shared" si="73"/>
        <v>Q4-2024</v>
      </c>
      <c r="F410" t="s">
        <v>645</v>
      </c>
      <c r="G410" t="s">
        <v>650</v>
      </c>
      <c r="H410" t="s">
        <v>664</v>
      </c>
      <c r="I410" t="s">
        <v>705</v>
      </c>
      <c r="J410" t="s">
        <v>707</v>
      </c>
      <c r="K410" t="s">
        <v>718</v>
      </c>
      <c r="L410" t="s">
        <v>728</v>
      </c>
      <c r="M410" t="s">
        <v>781</v>
      </c>
      <c r="N410" s="3">
        <v>859.35</v>
      </c>
      <c r="O410" s="3">
        <v>1825.61</v>
      </c>
      <c r="P410" s="6">
        <v>0.187</v>
      </c>
      <c r="Q410" s="6">
        <f>IF(Table1[[#This Row],[DiscountPct]]&gt;25%,25%,Table1[[#This Row],[DiscountPct]])</f>
        <v>0.187</v>
      </c>
      <c r="R410" s="5">
        <v>24</v>
      </c>
      <c r="S410" s="6">
        <f t="shared" si="74"/>
        <v>1.1244079827776807</v>
      </c>
      <c r="T410" s="8">
        <f t="shared" si="75"/>
        <v>35621.302319999995</v>
      </c>
      <c r="U410" s="8">
        <f t="shared" si="76"/>
        <v>20624.400000000001</v>
      </c>
      <c r="V410" s="9">
        <f t="shared" si="77"/>
        <v>14996.902319999994</v>
      </c>
      <c r="W410" s="6">
        <f t="shared" si="78"/>
        <v>0.42100937762681989</v>
      </c>
      <c r="X410" t="str" cm="1">
        <f t="array" ref="X410">_xlfn.IFS(S410&lt;=25%, "Low", S410&lt;=75%, "Medium", S410&gt;75%, "High")</f>
        <v>High</v>
      </c>
      <c r="Y410" s="8">
        <f>Table1[[#This Row],[Quantity]]*(Table1[[#This Row],[UnitPrice]]*(1-Table1[[#This Row],[DiscountPct]]))</f>
        <v>35621.302319999995</v>
      </c>
      <c r="Z410" s="9">
        <f t="shared" si="79"/>
        <v>14996.902319999994</v>
      </c>
      <c r="AA410">
        <f>COUNTIF($G$2:G411,G410)</f>
        <v>28</v>
      </c>
      <c r="AB410" s="21">
        <f t="shared" si="80"/>
        <v>44988</v>
      </c>
      <c r="AC410" s="21">
        <f t="shared" si="81"/>
        <v>45016</v>
      </c>
      <c r="AD410" s="5">
        <f>(Table1[[#This Row],[OrderDate]]-Table1[[#This Row],[Date of first order]])/30</f>
        <v>19.7</v>
      </c>
      <c r="AE410" t="str">
        <f t="shared" si="82"/>
        <v>Poor</v>
      </c>
      <c r="AF410">
        <f>COUNTIF(AE$2:AE411,AE410)</f>
        <v>291</v>
      </c>
      <c r="AG410" t="str">
        <f t="shared" si="83"/>
        <v>False</v>
      </c>
      <c r="AH410" s="7">
        <f>Table1[[#This Row],[UnitPrice]]*(1-Table1[[#This Row],[Disc Scenario]])*Table1[[#This Row],[Quantity]]</f>
        <v>35621.302319999995</v>
      </c>
      <c r="AI410">
        <f>ROUNDDOWN((Table1[[#This Row],[Quantity]]*(1+20%)),0)</f>
        <v>28</v>
      </c>
      <c r="AJ410" s="7">
        <f>Table1[[#This Row],[Quantity increase by 20%]]*Table1[[#This Row],[UnitPrice]]</f>
        <v>51117.079999999994</v>
      </c>
      <c r="AK410">
        <f>ROUNDDOWN(Table1[[#This Row],[Quantity]]*(1+20%),0)</f>
        <v>28</v>
      </c>
      <c r="AL410" s="7">
        <f>Table1[[#This Row],[UnitCost]]*(1+15%)</f>
        <v>988.25249999999994</v>
      </c>
      <c r="AM410" s="9">
        <f>Table1[[#This Row],[Quantity]]*Table1[[#This Row],[Cost of unit by inflation 15%]]</f>
        <v>23718.059999999998</v>
      </c>
      <c r="AN410" s="21" cm="1">
        <f t="array" ref="AN410">_xlfn.UNIQUE(AC410)</f>
        <v>45016</v>
      </c>
    </row>
    <row r="411" spans="1:40" x14ac:dyDescent="0.35">
      <c r="A411" t="s">
        <v>123</v>
      </c>
      <c r="B411" s="21">
        <v>45581</v>
      </c>
      <c r="C411" s="10">
        <v>45604</v>
      </c>
      <c r="D411" s="3">
        <f t="shared" si="72"/>
        <v>23</v>
      </c>
      <c r="E411" s="10" t="str">
        <f t="shared" si="73"/>
        <v>Q4-2024</v>
      </c>
      <c r="F411" t="s">
        <v>646</v>
      </c>
      <c r="G411" t="s">
        <v>651</v>
      </c>
      <c r="H411" t="s">
        <v>665</v>
      </c>
      <c r="I411" t="s">
        <v>704</v>
      </c>
      <c r="J411" t="s">
        <v>706</v>
      </c>
      <c r="K411" t="s">
        <v>712</v>
      </c>
      <c r="L411" t="s">
        <v>728</v>
      </c>
      <c r="M411" t="s">
        <v>841</v>
      </c>
      <c r="N411" s="3">
        <v>82.14</v>
      </c>
      <c r="O411" s="3">
        <v>166.04</v>
      </c>
      <c r="P411" s="6">
        <v>0</v>
      </c>
      <c r="Q411" s="6">
        <f>IF(Table1[[#This Row],[DiscountPct]]&gt;25%,25%,Table1[[#This Row],[DiscountPct]])</f>
        <v>0</v>
      </c>
      <c r="R411" s="5">
        <v>10</v>
      </c>
      <c r="S411" s="6">
        <f t="shared" si="74"/>
        <v>1.021426832237643</v>
      </c>
      <c r="T411" s="8">
        <f t="shared" si="75"/>
        <v>1660.3999999999999</v>
      </c>
      <c r="U411" s="8">
        <f t="shared" si="76"/>
        <v>821.4</v>
      </c>
      <c r="V411" s="9">
        <f t="shared" si="77"/>
        <v>838.99999999999989</v>
      </c>
      <c r="W411" s="6">
        <f t="shared" si="78"/>
        <v>0.50529992772825827</v>
      </c>
      <c r="X411" t="str" cm="1">
        <f t="array" ref="X411">_xlfn.IFS(S411&lt;=25%, "Low", S411&lt;=75%, "Medium", S411&gt;75%, "High")</f>
        <v>High</v>
      </c>
      <c r="Y411" s="8">
        <f>Table1[[#This Row],[Quantity]]*(Table1[[#This Row],[UnitPrice]]*(1-Table1[[#This Row],[DiscountPct]]))</f>
        <v>1660.3999999999999</v>
      </c>
      <c r="Z411" s="9">
        <f t="shared" si="79"/>
        <v>838.99999999999989</v>
      </c>
      <c r="AA411">
        <f>COUNTIF($G$2:G412,G411)</f>
        <v>35</v>
      </c>
      <c r="AB411" s="21">
        <f t="shared" si="80"/>
        <v>44988</v>
      </c>
      <c r="AC411" s="21">
        <f t="shared" si="81"/>
        <v>45016</v>
      </c>
      <c r="AD411" s="5">
        <f>(Table1[[#This Row],[OrderDate]]-Table1[[#This Row],[Date of first order]])/30</f>
        <v>19.766666666666666</v>
      </c>
      <c r="AE411" t="str">
        <f t="shared" si="82"/>
        <v>Poor</v>
      </c>
      <c r="AF411">
        <f>COUNTIF(AE$2:AE412,AE411)</f>
        <v>292</v>
      </c>
      <c r="AG411" t="str">
        <f t="shared" si="83"/>
        <v>False</v>
      </c>
      <c r="AH411" s="7">
        <f>Table1[[#This Row],[UnitPrice]]*(1-Table1[[#This Row],[Disc Scenario]])*Table1[[#This Row],[Quantity]]</f>
        <v>1660.3999999999999</v>
      </c>
      <c r="AI411">
        <f>ROUNDDOWN((Table1[[#This Row],[Quantity]]*(1+20%)),0)</f>
        <v>12</v>
      </c>
      <c r="AJ411" s="7">
        <f>Table1[[#This Row],[Quantity increase by 20%]]*Table1[[#This Row],[UnitPrice]]</f>
        <v>1992.48</v>
      </c>
      <c r="AK411">
        <f>ROUNDDOWN(Table1[[#This Row],[Quantity]]*(1+20%),0)</f>
        <v>12</v>
      </c>
      <c r="AL411" s="7">
        <f>Table1[[#This Row],[UnitCost]]*(1+15%)</f>
        <v>94.460999999999999</v>
      </c>
      <c r="AM411" s="9">
        <f>Table1[[#This Row],[Quantity]]*Table1[[#This Row],[Cost of unit by inflation 15%]]</f>
        <v>944.61</v>
      </c>
      <c r="AN411" s="21" cm="1">
        <f t="array" ref="AN411">_xlfn.UNIQUE(AC411)</f>
        <v>45016</v>
      </c>
    </row>
    <row r="412" spans="1:40" x14ac:dyDescent="0.35">
      <c r="A412" t="s">
        <v>66</v>
      </c>
      <c r="B412" s="21">
        <v>45582</v>
      </c>
      <c r="C412" s="10">
        <v>45602</v>
      </c>
      <c r="D412" s="3">
        <f t="shared" si="72"/>
        <v>20</v>
      </c>
      <c r="E412" s="10" t="str">
        <f t="shared" si="73"/>
        <v>Q4-2024</v>
      </c>
      <c r="F412" t="s">
        <v>646</v>
      </c>
      <c r="G412" t="s">
        <v>653</v>
      </c>
      <c r="H412" t="s">
        <v>667</v>
      </c>
      <c r="I412" t="s">
        <v>705</v>
      </c>
      <c r="J412" t="s">
        <v>709</v>
      </c>
      <c r="K412" t="s">
        <v>718</v>
      </c>
      <c r="L412" t="s">
        <v>731</v>
      </c>
      <c r="M412" t="s">
        <v>784</v>
      </c>
      <c r="N412" s="3">
        <v>72.94</v>
      </c>
      <c r="O412" s="3">
        <v>106.3</v>
      </c>
      <c r="P412" s="6">
        <v>0.29499999999999998</v>
      </c>
      <c r="Q412" s="6">
        <f>IF(Table1[[#This Row],[DiscountPct]]&gt;25%,25%,Table1[[#This Row],[DiscountPct]])</f>
        <v>0.25</v>
      </c>
      <c r="R412" s="5">
        <v>8</v>
      </c>
      <c r="S412" s="6">
        <f t="shared" si="74"/>
        <v>0.45736221551960515</v>
      </c>
      <c r="T412" s="8">
        <f t="shared" si="75"/>
        <v>599.53200000000004</v>
      </c>
      <c r="U412" s="8">
        <f t="shared" si="76"/>
        <v>583.52</v>
      </c>
      <c r="V412" s="9">
        <f t="shared" si="77"/>
        <v>16.012000000000057</v>
      </c>
      <c r="W412" s="6">
        <f t="shared" si="78"/>
        <v>2.6707498515508857E-2</v>
      </c>
      <c r="X412" t="str" cm="1">
        <f t="array" ref="X412">_xlfn.IFS(S412&lt;=25%, "Low", S412&lt;=75%, "Medium", S412&gt;75%, "High")</f>
        <v>Medium</v>
      </c>
      <c r="Y412" s="8">
        <f>Table1[[#This Row],[Quantity]]*(Table1[[#This Row],[UnitPrice]]*(1-Table1[[#This Row],[DiscountPct]]))</f>
        <v>599.53200000000004</v>
      </c>
      <c r="Z412" s="9">
        <f t="shared" si="79"/>
        <v>16.012000000000057</v>
      </c>
      <c r="AA412">
        <f>COUNTIF($G$2:G413,G412)</f>
        <v>38</v>
      </c>
      <c r="AB412" s="21">
        <f t="shared" si="80"/>
        <v>44988</v>
      </c>
      <c r="AC412" s="21">
        <f t="shared" si="81"/>
        <v>45016</v>
      </c>
      <c r="AD412" s="5">
        <f>(Table1[[#This Row],[OrderDate]]-Table1[[#This Row],[Date of first order]])/30</f>
        <v>19.8</v>
      </c>
      <c r="AE412" t="str">
        <f t="shared" si="82"/>
        <v>Poor</v>
      </c>
      <c r="AF412">
        <f>COUNTIF(AE$2:AE413,AE412)</f>
        <v>293</v>
      </c>
      <c r="AG412" t="str">
        <f t="shared" si="83"/>
        <v>True</v>
      </c>
      <c r="AH412" s="7">
        <f>Table1[[#This Row],[UnitPrice]]*(1-Table1[[#This Row],[Disc Scenario]])*Table1[[#This Row],[Quantity]]</f>
        <v>637.79999999999995</v>
      </c>
      <c r="AI412">
        <f>ROUNDDOWN((Table1[[#This Row],[Quantity]]*(1+20%)),0)</f>
        <v>9</v>
      </c>
      <c r="AJ412" s="7">
        <f>Table1[[#This Row],[Quantity increase by 20%]]*Table1[[#This Row],[UnitPrice]]</f>
        <v>956.69999999999993</v>
      </c>
      <c r="AK412">
        <f>ROUNDDOWN(Table1[[#This Row],[Quantity]]*(1+20%),0)</f>
        <v>9</v>
      </c>
      <c r="AL412" s="7">
        <f>Table1[[#This Row],[UnitCost]]*(1+15%)</f>
        <v>83.880999999999986</v>
      </c>
      <c r="AM412" s="9">
        <f>Table1[[#This Row],[Quantity]]*Table1[[#This Row],[Cost of unit by inflation 15%]]</f>
        <v>671.04799999999989</v>
      </c>
      <c r="AN412" s="21" cm="1">
        <f t="array" ref="AN412">_xlfn.UNIQUE(AC412)</f>
        <v>45016</v>
      </c>
    </row>
    <row r="413" spans="1:40" x14ac:dyDescent="0.35">
      <c r="A413" t="s">
        <v>625</v>
      </c>
      <c r="B413" s="21">
        <v>45584</v>
      </c>
      <c r="C413" s="10">
        <v>45602</v>
      </c>
      <c r="D413" s="3">
        <f t="shared" si="72"/>
        <v>18</v>
      </c>
      <c r="E413" s="10" t="str">
        <f t="shared" si="73"/>
        <v>Q4-2024</v>
      </c>
      <c r="F413" t="s">
        <v>647</v>
      </c>
      <c r="G413" t="s">
        <v>659</v>
      </c>
      <c r="H413" t="s">
        <v>676</v>
      </c>
      <c r="I413" t="s">
        <v>701</v>
      </c>
      <c r="J413" t="s">
        <v>708</v>
      </c>
      <c r="K413" t="s">
        <v>711</v>
      </c>
      <c r="L413" t="s">
        <v>731</v>
      </c>
      <c r="M413" t="s">
        <v>1341</v>
      </c>
      <c r="N413" s="3">
        <v>942.02</v>
      </c>
      <c r="O413" s="3">
        <v>1028.46</v>
      </c>
      <c r="P413" s="6">
        <v>0</v>
      </c>
      <c r="Q413" s="6">
        <f>IF(Table1[[#This Row],[DiscountPct]]&gt;25%,25%,Table1[[#This Row],[DiscountPct]])</f>
        <v>0</v>
      </c>
      <c r="R413" s="5">
        <v>9</v>
      </c>
      <c r="S413" s="6">
        <f t="shared" si="74"/>
        <v>9.1760259867094171E-2</v>
      </c>
      <c r="T413" s="8">
        <f t="shared" si="75"/>
        <v>9256.14</v>
      </c>
      <c r="U413" s="8">
        <f t="shared" si="76"/>
        <v>8478.18</v>
      </c>
      <c r="V413" s="9">
        <f t="shared" si="77"/>
        <v>777.95999999999913</v>
      </c>
      <c r="W413" s="6">
        <f t="shared" si="78"/>
        <v>8.4047994088248354E-2</v>
      </c>
      <c r="X413" t="str" cm="1">
        <f t="array" ref="X413">_xlfn.IFS(S413&lt;=25%, "Low", S413&lt;=75%, "Medium", S413&gt;75%, "High")</f>
        <v>Low</v>
      </c>
      <c r="Y413" s="8">
        <f>Table1[[#This Row],[Quantity]]*(Table1[[#This Row],[UnitPrice]]*(1-Table1[[#This Row],[DiscountPct]]))</f>
        <v>9256.14</v>
      </c>
      <c r="Z413" s="9">
        <f t="shared" si="79"/>
        <v>777.95999999999913</v>
      </c>
      <c r="AA413">
        <f>COUNTIF($G$2:G414,G413)</f>
        <v>39</v>
      </c>
      <c r="AB413" s="21">
        <f t="shared" si="80"/>
        <v>44988</v>
      </c>
      <c r="AC413" s="21">
        <f t="shared" si="81"/>
        <v>45016</v>
      </c>
      <c r="AD413" s="5">
        <f>(Table1[[#This Row],[OrderDate]]-Table1[[#This Row],[Date of first order]])/30</f>
        <v>19.866666666666667</v>
      </c>
      <c r="AE413" t="str">
        <f t="shared" si="82"/>
        <v>Poor</v>
      </c>
      <c r="AF413">
        <f>COUNTIF(AE$2:AE414,AE413)</f>
        <v>293</v>
      </c>
      <c r="AG413" t="str">
        <f t="shared" si="83"/>
        <v>False</v>
      </c>
      <c r="AH413" s="7">
        <f>Table1[[#This Row],[UnitPrice]]*(1-Table1[[#This Row],[Disc Scenario]])*Table1[[#This Row],[Quantity]]</f>
        <v>9256.14</v>
      </c>
      <c r="AI413">
        <f>ROUNDDOWN((Table1[[#This Row],[Quantity]]*(1+20%)),0)</f>
        <v>10</v>
      </c>
      <c r="AJ413" s="7">
        <f>Table1[[#This Row],[Quantity increase by 20%]]*Table1[[#This Row],[UnitPrice]]</f>
        <v>10284.6</v>
      </c>
      <c r="AK413">
        <f>ROUNDDOWN(Table1[[#This Row],[Quantity]]*(1+20%),0)</f>
        <v>10</v>
      </c>
      <c r="AL413" s="7">
        <f>Table1[[#This Row],[UnitCost]]*(1+15%)</f>
        <v>1083.3229999999999</v>
      </c>
      <c r="AM413" s="9">
        <f>Table1[[#This Row],[Quantity]]*Table1[[#This Row],[Cost of unit by inflation 15%]]</f>
        <v>9749.9069999999992</v>
      </c>
      <c r="AN413" s="21" cm="1">
        <f t="array" ref="AN413">_xlfn.UNIQUE(AC413)</f>
        <v>45016</v>
      </c>
    </row>
    <row r="414" spans="1:40" x14ac:dyDescent="0.35">
      <c r="A414" t="s">
        <v>16</v>
      </c>
      <c r="B414" s="21">
        <v>45587</v>
      </c>
      <c r="C414" s="10">
        <v>45588</v>
      </c>
      <c r="D414" s="3">
        <f t="shared" si="72"/>
        <v>1</v>
      </c>
      <c r="E414" s="10" t="str">
        <f t="shared" si="73"/>
        <v>Q4-2024</v>
      </c>
      <c r="F414" t="s">
        <v>645</v>
      </c>
      <c r="G414" t="s">
        <v>650</v>
      </c>
      <c r="H414" t="s">
        <v>662</v>
      </c>
      <c r="I414" t="s">
        <v>701</v>
      </c>
      <c r="J414" t="s">
        <v>707</v>
      </c>
      <c r="K414" t="s">
        <v>712</v>
      </c>
      <c r="L414" t="s">
        <v>727</v>
      </c>
      <c r="M414" t="s">
        <v>734</v>
      </c>
      <c r="N414" s="3">
        <v>1084.3900000000001</v>
      </c>
      <c r="O414" s="3">
        <v>1702.4922999999999</v>
      </c>
      <c r="P414" s="6">
        <v>0.23699999999999999</v>
      </c>
      <c r="Q414" s="6">
        <f>IF(Table1[[#This Row],[DiscountPct]]&gt;25%,25%,Table1[[#This Row],[DiscountPct]])</f>
        <v>0.23699999999999999</v>
      </c>
      <c r="R414" s="5">
        <v>31</v>
      </c>
      <c r="S414" s="6">
        <f t="shared" si="74"/>
        <v>0.56999999999999973</v>
      </c>
      <c r="T414" s="8">
        <f t="shared" si="75"/>
        <v>40269.050371899997</v>
      </c>
      <c r="U414" s="8">
        <f t="shared" si="76"/>
        <v>33616.090000000004</v>
      </c>
      <c r="V414" s="9">
        <f t="shared" si="77"/>
        <v>6652.9603718999933</v>
      </c>
      <c r="W414" s="6">
        <f t="shared" si="78"/>
        <v>0.16521274553180107</v>
      </c>
      <c r="X414" t="str" cm="1">
        <f t="array" ref="X414">_xlfn.IFS(S414&lt;=25%, "Low", S414&lt;=75%, "Medium", S414&gt;75%, "High")</f>
        <v>Medium</v>
      </c>
      <c r="Y414" s="8">
        <f>Table1[[#This Row],[Quantity]]*(Table1[[#This Row],[UnitPrice]]*(1-Table1[[#This Row],[DiscountPct]]))</f>
        <v>40269.050371899997</v>
      </c>
      <c r="Z414" s="9">
        <f t="shared" si="79"/>
        <v>6652.9603718999933</v>
      </c>
      <c r="AA414">
        <f>COUNTIF($G$2:G415,G414)</f>
        <v>30</v>
      </c>
      <c r="AB414" s="21">
        <f t="shared" si="80"/>
        <v>44988</v>
      </c>
      <c r="AC414" s="21">
        <f t="shared" si="81"/>
        <v>45016</v>
      </c>
      <c r="AD414" s="5">
        <f>(Table1[[#This Row],[OrderDate]]-Table1[[#This Row],[Date of first order]])/30</f>
        <v>19.966666666666665</v>
      </c>
      <c r="AE414" t="str">
        <f t="shared" si="82"/>
        <v>Good</v>
      </c>
      <c r="AF414">
        <f>COUNTIF(AE$2:AE415,AE414)</f>
        <v>121</v>
      </c>
      <c r="AG414" t="str">
        <f t="shared" si="83"/>
        <v>True</v>
      </c>
      <c r="AH414" s="7">
        <f>Table1[[#This Row],[UnitPrice]]*(1-Table1[[#This Row],[Disc Scenario]])*Table1[[#This Row],[Quantity]]</f>
        <v>40269.050371899997</v>
      </c>
      <c r="AI414">
        <f>ROUNDDOWN((Table1[[#This Row],[Quantity]]*(1+20%)),0)</f>
        <v>37</v>
      </c>
      <c r="AJ414" s="7">
        <f>Table1[[#This Row],[Quantity increase by 20%]]*Table1[[#This Row],[UnitPrice]]</f>
        <v>62992.215099999994</v>
      </c>
      <c r="AK414">
        <f>ROUNDDOWN(Table1[[#This Row],[Quantity]]*(1+20%),0)</f>
        <v>37</v>
      </c>
      <c r="AL414" s="7">
        <f>Table1[[#This Row],[UnitCost]]*(1+15%)</f>
        <v>1247.0485000000001</v>
      </c>
      <c r="AM414" s="9">
        <f>Table1[[#This Row],[Quantity]]*Table1[[#This Row],[Cost of unit by inflation 15%]]</f>
        <v>38658.503500000006</v>
      </c>
      <c r="AN414" s="21" cm="1">
        <f t="array" ref="AN414">_xlfn.UNIQUE(AC414)</f>
        <v>45016</v>
      </c>
    </row>
    <row r="415" spans="1:40" x14ac:dyDescent="0.35">
      <c r="A415" t="s">
        <v>198</v>
      </c>
      <c r="B415" s="21">
        <v>45587</v>
      </c>
      <c r="C415" s="10">
        <v>45594</v>
      </c>
      <c r="D415" s="3">
        <f t="shared" si="72"/>
        <v>7</v>
      </c>
      <c r="E415" s="10" t="str">
        <f t="shared" si="73"/>
        <v>Q4-2024</v>
      </c>
      <c r="F415" t="s">
        <v>645</v>
      </c>
      <c r="G415" t="s">
        <v>650</v>
      </c>
      <c r="H415" t="s">
        <v>662</v>
      </c>
      <c r="I415" t="s">
        <v>705</v>
      </c>
      <c r="J415" t="s">
        <v>709</v>
      </c>
      <c r="K415" t="s">
        <v>723</v>
      </c>
      <c r="L415" t="s">
        <v>731</v>
      </c>
      <c r="M415" t="s">
        <v>916</v>
      </c>
      <c r="N415" s="3">
        <v>1023.06</v>
      </c>
      <c r="O415" s="3">
        <v>1355.61</v>
      </c>
      <c r="P415" s="6">
        <v>0.153</v>
      </c>
      <c r="Q415" s="6">
        <f>IF(Table1[[#This Row],[DiscountPct]]&gt;25%,25%,Table1[[#This Row],[DiscountPct]])</f>
        <v>0.153</v>
      </c>
      <c r="R415" s="5">
        <v>23</v>
      </c>
      <c r="S415" s="6">
        <f t="shared" si="74"/>
        <v>0.3250542490176529</v>
      </c>
      <c r="T415" s="8">
        <f t="shared" si="75"/>
        <v>26408.63841</v>
      </c>
      <c r="U415" s="8">
        <f t="shared" si="76"/>
        <v>23530.379999999997</v>
      </c>
      <c r="V415" s="9">
        <f t="shared" si="77"/>
        <v>2878.2584100000022</v>
      </c>
      <c r="W415" s="6">
        <f t="shared" si="78"/>
        <v>0.10898927711888809</v>
      </c>
      <c r="X415" t="str" cm="1">
        <f t="array" ref="X415">_xlfn.IFS(S415&lt;=25%, "Low", S415&lt;=75%, "Medium", S415&gt;75%, "High")</f>
        <v>Medium</v>
      </c>
      <c r="Y415" s="8">
        <f>Table1[[#This Row],[Quantity]]*(Table1[[#This Row],[UnitPrice]]*(1-Table1[[#This Row],[DiscountPct]]))</f>
        <v>26408.63841</v>
      </c>
      <c r="Z415" s="9">
        <f t="shared" si="79"/>
        <v>2878.2584100000022</v>
      </c>
      <c r="AA415">
        <f>COUNTIF($G$2:G416,G415)</f>
        <v>30</v>
      </c>
      <c r="AB415" s="21">
        <f t="shared" si="80"/>
        <v>44988</v>
      </c>
      <c r="AC415" s="21">
        <f t="shared" si="81"/>
        <v>45016</v>
      </c>
      <c r="AD415" s="5">
        <f>(Table1[[#This Row],[OrderDate]]-Table1[[#This Row],[Date of first order]])/30</f>
        <v>19.966666666666665</v>
      </c>
      <c r="AE415" t="str">
        <f t="shared" si="82"/>
        <v>Good</v>
      </c>
      <c r="AF415">
        <f>COUNTIF(AE$2:AE416,AE415)</f>
        <v>121</v>
      </c>
      <c r="AG415" t="str">
        <f t="shared" si="83"/>
        <v>False</v>
      </c>
      <c r="AH415" s="7">
        <f>Table1[[#This Row],[UnitPrice]]*(1-Table1[[#This Row],[Disc Scenario]])*Table1[[#This Row],[Quantity]]</f>
        <v>26408.63841</v>
      </c>
      <c r="AI415">
        <f>ROUNDDOWN((Table1[[#This Row],[Quantity]]*(1+20%)),0)</f>
        <v>27</v>
      </c>
      <c r="AJ415" s="7">
        <f>Table1[[#This Row],[Quantity increase by 20%]]*Table1[[#This Row],[UnitPrice]]</f>
        <v>36601.469999999994</v>
      </c>
      <c r="AK415">
        <f>ROUNDDOWN(Table1[[#This Row],[Quantity]]*(1+20%),0)</f>
        <v>27</v>
      </c>
      <c r="AL415" s="7">
        <f>Table1[[#This Row],[UnitCost]]*(1+15%)</f>
        <v>1176.5189999999998</v>
      </c>
      <c r="AM415" s="9">
        <f>Table1[[#This Row],[Quantity]]*Table1[[#This Row],[Cost of unit by inflation 15%]]</f>
        <v>27059.936999999994</v>
      </c>
      <c r="AN415" s="21" cm="1">
        <f t="array" ref="AN415">_xlfn.UNIQUE(AC415)</f>
        <v>45016</v>
      </c>
    </row>
    <row r="416" spans="1:40" x14ac:dyDescent="0.35">
      <c r="A416" t="s">
        <v>209</v>
      </c>
      <c r="B416" s="21">
        <v>45588</v>
      </c>
      <c r="C416" s="10">
        <v>45610</v>
      </c>
      <c r="D416" s="3">
        <f t="shared" si="72"/>
        <v>22</v>
      </c>
      <c r="E416" s="10" t="str">
        <f t="shared" si="73"/>
        <v>Q4-2024</v>
      </c>
      <c r="F416" t="s">
        <v>646</v>
      </c>
      <c r="G416" t="s">
        <v>651</v>
      </c>
      <c r="H416" t="s">
        <v>665</v>
      </c>
      <c r="I416" t="s">
        <v>702</v>
      </c>
      <c r="J416" t="s">
        <v>710</v>
      </c>
      <c r="K416" t="s">
        <v>716</v>
      </c>
      <c r="L416" t="s">
        <v>729</v>
      </c>
      <c r="M416" t="s">
        <v>927</v>
      </c>
      <c r="N416" s="3">
        <v>1406.4</v>
      </c>
      <c r="O416" s="3">
        <v>1564.76</v>
      </c>
      <c r="P416" s="6">
        <v>0.185</v>
      </c>
      <c r="Q416" s="6">
        <f>IF(Table1[[#This Row],[DiscountPct]]&gt;25%,25%,Table1[[#This Row],[DiscountPct]])</f>
        <v>0.185</v>
      </c>
      <c r="R416" s="5">
        <v>17</v>
      </c>
      <c r="S416" s="6">
        <f t="shared" si="74"/>
        <v>0.11259954493742882</v>
      </c>
      <c r="T416" s="8">
        <f t="shared" si="75"/>
        <v>21679.749799999998</v>
      </c>
      <c r="U416" s="8">
        <f t="shared" si="76"/>
        <v>23908.800000000003</v>
      </c>
      <c r="V416" s="9">
        <f t="shared" si="77"/>
        <v>-2229.0502000000051</v>
      </c>
      <c r="W416" s="6">
        <f t="shared" si="78"/>
        <v>-0.10281715520536151</v>
      </c>
      <c r="X416" t="str" cm="1">
        <f t="array" ref="X416">_xlfn.IFS(S416&lt;=25%, "Low", S416&lt;=75%, "Medium", S416&gt;75%, "High")</f>
        <v>Low</v>
      </c>
      <c r="Y416" s="8">
        <f>Table1[[#This Row],[Quantity]]*(Table1[[#This Row],[UnitPrice]]*(1-Table1[[#This Row],[DiscountPct]]))</f>
        <v>21679.749799999998</v>
      </c>
      <c r="Z416" s="9">
        <f t="shared" si="79"/>
        <v>-2229.0502000000051</v>
      </c>
      <c r="AA416">
        <f>COUNTIF($G$2:G417,G416)</f>
        <v>36</v>
      </c>
      <c r="AB416" s="21">
        <f t="shared" si="80"/>
        <v>44988</v>
      </c>
      <c r="AC416" s="21">
        <f t="shared" si="81"/>
        <v>45016</v>
      </c>
      <c r="AD416" s="5">
        <f>(Table1[[#This Row],[OrderDate]]-Table1[[#This Row],[Date of first order]])/30</f>
        <v>20</v>
      </c>
      <c r="AE416" t="str">
        <f t="shared" si="82"/>
        <v>Poor</v>
      </c>
      <c r="AF416">
        <f>COUNTIF(AE$2:AE417,AE416)</f>
        <v>294</v>
      </c>
      <c r="AG416" t="str">
        <f t="shared" si="83"/>
        <v>False</v>
      </c>
      <c r="AH416" s="7">
        <f>Table1[[#This Row],[UnitPrice]]*(1-Table1[[#This Row],[Disc Scenario]])*Table1[[#This Row],[Quantity]]</f>
        <v>21679.749799999998</v>
      </c>
      <c r="AI416">
        <f>ROUNDDOWN((Table1[[#This Row],[Quantity]]*(1+20%)),0)</f>
        <v>20</v>
      </c>
      <c r="AJ416" s="7">
        <f>Table1[[#This Row],[Quantity increase by 20%]]*Table1[[#This Row],[UnitPrice]]</f>
        <v>31295.200000000001</v>
      </c>
      <c r="AK416">
        <f>ROUNDDOWN(Table1[[#This Row],[Quantity]]*(1+20%),0)</f>
        <v>20</v>
      </c>
      <c r="AL416" s="7">
        <f>Table1[[#This Row],[UnitCost]]*(1+15%)</f>
        <v>1617.36</v>
      </c>
      <c r="AM416" s="9">
        <f>Table1[[#This Row],[Quantity]]*Table1[[#This Row],[Cost of unit by inflation 15%]]</f>
        <v>27495.119999999999</v>
      </c>
      <c r="AN416" s="21" cm="1">
        <f t="array" ref="AN416">_xlfn.UNIQUE(AC416)</f>
        <v>45016</v>
      </c>
    </row>
    <row r="417" spans="1:40" x14ac:dyDescent="0.35">
      <c r="A417" t="s">
        <v>520</v>
      </c>
      <c r="B417" s="21">
        <v>45589</v>
      </c>
      <c r="C417" s="10">
        <v>45593</v>
      </c>
      <c r="D417" s="3">
        <f t="shared" si="72"/>
        <v>4</v>
      </c>
      <c r="E417" s="10" t="str">
        <f t="shared" si="73"/>
        <v>Q4-2024</v>
      </c>
      <c r="F417" t="s">
        <v>646</v>
      </c>
      <c r="G417" t="s">
        <v>658</v>
      </c>
      <c r="H417" t="s">
        <v>684</v>
      </c>
      <c r="I417" t="s">
        <v>704</v>
      </c>
      <c r="J417" t="s">
        <v>709</v>
      </c>
      <c r="K417" t="s">
        <v>713</v>
      </c>
      <c r="L417" t="s">
        <v>728</v>
      </c>
      <c r="M417" t="s">
        <v>1237</v>
      </c>
      <c r="N417" s="3">
        <v>1331.77</v>
      </c>
      <c r="O417" s="3">
        <v>2606.11</v>
      </c>
      <c r="P417" s="6">
        <v>0.02</v>
      </c>
      <c r="Q417" s="6">
        <f>IF(Table1[[#This Row],[DiscountPct]]&gt;25%,25%,Table1[[#This Row],[DiscountPct]])</f>
        <v>0.02</v>
      </c>
      <c r="R417" s="5">
        <v>6</v>
      </c>
      <c r="S417" s="6">
        <f t="shared" si="74"/>
        <v>0.95687693821005138</v>
      </c>
      <c r="T417" s="8">
        <f t="shared" si="75"/>
        <v>15323.926799999999</v>
      </c>
      <c r="U417" s="8">
        <f t="shared" si="76"/>
        <v>7990.62</v>
      </c>
      <c r="V417" s="9">
        <f t="shared" si="77"/>
        <v>7333.3067999999994</v>
      </c>
      <c r="W417" s="6">
        <f t="shared" si="78"/>
        <v>0.47855271665745619</v>
      </c>
      <c r="X417" t="str" cm="1">
        <f t="array" ref="X417">_xlfn.IFS(S417&lt;=25%, "Low", S417&lt;=75%, "Medium", S417&gt;75%, "High")</f>
        <v>High</v>
      </c>
      <c r="Y417" s="8">
        <f>Table1[[#This Row],[Quantity]]*(Table1[[#This Row],[UnitPrice]]*(1-Table1[[#This Row],[DiscountPct]]))</f>
        <v>15323.926799999999</v>
      </c>
      <c r="Z417" s="9">
        <f t="shared" si="79"/>
        <v>7333.3067999999994</v>
      </c>
      <c r="AA417">
        <f>COUNTIF($G$2:G418,G417)</f>
        <v>35</v>
      </c>
      <c r="AB417" s="21">
        <f t="shared" si="80"/>
        <v>44988</v>
      </c>
      <c r="AC417" s="21">
        <f t="shared" si="81"/>
        <v>45016</v>
      </c>
      <c r="AD417" s="5">
        <f>(Table1[[#This Row],[OrderDate]]-Table1[[#This Row],[Date of first order]])/30</f>
        <v>20.033333333333335</v>
      </c>
      <c r="AE417" t="str">
        <f t="shared" si="82"/>
        <v>Good</v>
      </c>
      <c r="AF417">
        <f>COUNTIF(AE$2:AE418,AE417)</f>
        <v>122</v>
      </c>
      <c r="AG417" t="str">
        <f t="shared" si="83"/>
        <v>False</v>
      </c>
      <c r="AH417" s="7">
        <f>Table1[[#This Row],[UnitPrice]]*(1-Table1[[#This Row],[Disc Scenario]])*Table1[[#This Row],[Quantity]]</f>
        <v>15323.926799999999</v>
      </c>
      <c r="AI417">
        <f>ROUNDDOWN((Table1[[#This Row],[Quantity]]*(1+20%)),0)</f>
        <v>7</v>
      </c>
      <c r="AJ417" s="7">
        <f>Table1[[#This Row],[Quantity increase by 20%]]*Table1[[#This Row],[UnitPrice]]</f>
        <v>18242.77</v>
      </c>
      <c r="AK417">
        <f>ROUNDDOWN(Table1[[#This Row],[Quantity]]*(1+20%),0)</f>
        <v>7</v>
      </c>
      <c r="AL417" s="7">
        <f>Table1[[#This Row],[UnitCost]]*(1+15%)</f>
        <v>1531.5355</v>
      </c>
      <c r="AM417" s="9">
        <f>Table1[[#This Row],[Quantity]]*Table1[[#This Row],[Cost of unit by inflation 15%]]</f>
        <v>9189.2129999999997</v>
      </c>
      <c r="AN417" s="21" cm="1">
        <f t="array" ref="AN417">_xlfn.UNIQUE(AC417)</f>
        <v>45016</v>
      </c>
    </row>
    <row r="418" spans="1:40" x14ac:dyDescent="0.35">
      <c r="A418" t="s">
        <v>57</v>
      </c>
      <c r="B418" s="21">
        <v>45590</v>
      </c>
      <c r="C418" s="10">
        <v>45610</v>
      </c>
      <c r="D418" s="3">
        <f t="shared" si="72"/>
        <v>20</v>
      </c>
      <c r="E418" s="10" t="str">
        <f t="shared" si="73"/>
        <v>Q4-2024</v>
      </c>
      <c r="F418" t="s">
        <v>645</v>
      </c>
      <c r="G418" t="s">
        <v>649</v>
      </c>
      <c r="H418" t="s">
        <v>674</v>
      </c>
      <c r="I418" t="s">
        <v>700</v>
      </c>
      <c r="J418" t="s">
        <v>710</v>
      </c>
      <c r="K418" t="s">
        <v>721</v>
      </c>
      <c r="L418" t="s">
        <v>727</v>
      </c>
      <c r="M418" t="s">
        <v>775</v>
      </c>
      <c r="N418" s="3">
        <v>1396.48</v>
      </c>
      <c r="O418" s="3">
        <v>3204.5</v>
      </c>
      <c r="P418" s="6">
        <v>0.14000000000000001</v>
      </c>
      <c r="Q418" s="6">
        <f>IF(Table1[[#This Row],[DiscountPct]]&gt;25%,25%,Table1[[#This Row],[DiscountPct]])</f>
        <v>0.14000000000000001</v>
      </c>
      <c r="R418" s="5">
        <v>14</v>
      </c>
      <c r="S418" s="6">
        <f t="shared" si="74"/>
        <v>1.2946980980751603</v>
      </c>
      <c r="T418" s="8">
        <f t="shared" si="75"/>
        <v>38582.18</v>
      </c>
      <c r="U418" s="8">
        <f t="shared" si="76"/>
        <v>19550.72</v>
      </c>
      <c r="V418" s="9">
        <f t="shared" si="77"/>
        <v>19031.46</v>
      </c>
      <c r="W418" s="6">
        <f t="shared" si="78"/>
        <v>0.4932707275742324</v>
      </c>
      <c r="X418" t="str" cm="1">
        <f t="array" ref="X418">_xlfn.IFS(S418&lt;=25%, "Low", S418&lt;=75%, "Medium", S418&gt;75%, "High")</f>
        <v>High</v>
      </c>
      <c r="Y418" s="8">
        <f>Table1[[#This Row],[Quantity]]*(Table1[[#This Row],[UnitPrice]]*(1-Table1[[#This Row],[DiscountPct]]))</f>
        <v>38582.18</v>
      </c>
      <c r="Z418" s="9">
        <f t="shared" si="79"/>
        <v>19031.46</v>
      </c>
      <c r="AA418">
        <f>COUNTIF($G$2:G419,G418)</f>
        <v>39</v>
      </c>
      <c r="AB418" s="21">
        <f t="shared" si="80"/>
        <v>44988</v>
      </c>
      <c r="AC418" s="21">
        <f t="shared" si="81"/>
        <v>45016</v>
      </c>
      <c r="AD418" s="5">
        <f>(Table1[[#This Row],[OrderDate]]-Table1[[#This Row],[Date of first order]])/30</f>
        <v>20.066666666666666</v>
      </c>
      <c r="AE418" t="str">
        <f t="shared" si="82"/>
        <v>Poor</v>
      </c>
      <c r="AF418">
        <f>COUNTIF(AE$2:AE419,AE418)</f>
        <v>296</v>
      </c>
      <c r="AG418" t="str">
        <f t="shared" si="83"/>
        <v>False</v>
      </c>
      <c r="AH418" s="7">
        <f>Table1[[#This Row],[UnitPrice]]*(1-Table1[[#This Row],[Disc Scenario]])*Table1[[#This Row],[Quantity]]</f>
        <v>38582.18</v>
      </c>
      <c r="AI418">
        <f>ROUNDDOWN((Table1[[#This Row],[Quantity]]*(1+20%)),0)</f>
        <v>16</v>
      </c>
      <c r="AJ418" s="7">
        <f>Table1[[#This Row],[Quantity increase by 20%]]*Table1[[#This Row],[UnitPrice]]</f>
        <v>51272</v>
      </c>
      <c r="AK418">
        <f>ROUNDDOWN(Table1[[#This Row],[Quantity]]*(1+20%),0)</f>
        <v>16</v>
      </c>
      <c r="AL418" s="7">
        <f>Table1[[#This Row],[UnitCost]]*(1+15%)</f>
        <v>1605.952</v>
      </c>
      <c r="AM418" s="9">
        <f>Table1[[#This Row],[Quantity]]*Table1[[#This Row],[Cost of unit by inflation 15%]]</f>
        <v>22483.328000000001</v>
      </c>
      <c r="AN418" s="21" cm="1">
        <f t="array" ref="AN418">_xlfn.UNIQUE(AC418)</f>
        <v>45016</v>
      </c>
    </row>
    <row r="419" spans="1:40" x14ac:dyDescent="0.35">
      <c r="A419" t="s">
        <v>574</v>
      </c>
      <c r="B419" s="21">
        <v>45590</v>
      </c>
      <c r="C419" s="10">
        <v>45601</v>
      </c>
      <c r="D419" s="3">
        <f t="shared" si="72"/>
        <v>11</v>
      </c>
      <c r="E419" s="10" t="str">
        <f t="shared" si="73"/>
        <v>Q4-2024</v>
      </c>
      <c r="F419" t="s">
        <v>647</v>
      </c>
      <c r="G419" t="s">
        <v>659</v>
      </c>
      <c r="H419" t="s">
        <v>699</v>
      </c>
      <c r="I419" t="s">
        <v>700</v>
      </c>
      <c r="J419" t="s">
        <v>709</v>
      </c>
      <c r="K419" t="s">
        <v>724</v>
      </c>
      <c r="L419" t="s">
        <v>726</v>
      </c>
      <c r="M419" t="s">
        <v>1290</v>
      </c>
      <c r="N419" s="3">
        <v>446.66</v>
      </c>
      <c r="O419" s="3">
        <v>527.64</v>
      </c>
      <c r="P419" s="6">
        <v>0.14499999999999999</v>
      </c>
      <c r="Q419" s="6">
        <f>IF(Table1[[#This Row],[DiscountPct]]&gt;25%,25%,Table1[[#This Row],[DiscountPct]])</f>
        <v>0.14499999999999999</v>
      </c>
      <c r="R419" s="5">
        <v>15</v>
      </c>
      <c r="S419" s="6">
        <f t="shared" si="74"/>
        <v>0.18130121345094694</v>
      </c>
      <c r="T419" s="8">
        <f t="shared" si="75"/>
        <v>6766.9829999999993</v>
      </c>
      <c r="U419" s="8">
        <f t="shared" si="76"/>
        <v>6699.9000000000005</v>
      </c>
      <c r="V419" s="9">
        <f t="shared" si="77"/>
        <v>67.082999999998719</v>
      </c>
      <c r="W419" s="6">
        <f t="shared" si="78"/>
        <v>9.9132804087137105E-3</v>
      </c>
      <c r="X419" t="str" cm="1">
        <f t="array" ref="X419">_xlfn.IFS(S419&lt;=25%, "Low", S419&lt;=75%, "Medium", S419&gt;75%, "High")</f>
        <v>Low</v>
      </c>
      <c r="Y419" s="8">
        <f>Table1[[#This Row],[Quantity]]*(Table1[[#This Row],[UnitPrice]]*(1-Table1[[#This Row],[DiscountPct]]))</f>
        <v>6766.9829999999993</v>
      </c>
      <c r="Z419" s="9">
        <f t="shared" si="79"/>
        <v>67.082999999998719</v>
      </c>
      <c r="AA419">
        <f>COUNTIF($G$2:G420,G419)</f>
        <v>40</v>
      </c>
      <c r="AB419" s="21">
        <f t="shared" si="80"/>
        <v>44988</v>
      </c>
      <c r="AC419" s="21">
        <f t="shared" si="81"/>
        <v>45016</v>
      </c>
      <c r="AD419" s="5">
        <f>(Table1[[#This Row],[OrderDate]]-Table1[[#This Row],[Date of first order]])/30</f>
        <v>20.066666666666666</v>
      </c>
      <c r="AE419" t="str">
        <f t="shared" si="82"/>
        <v>Poor</v>
      </c>
      <c r="AF419">
        <f>COUNTIF(AE$2:AE420,AE419)</f>
        <v>297</v>
      </c>
      <c r="AG419" t="str">
        <f t="shared" si="83"/>
        <v>False</v>
      </c>
      <c r="AH419" s="7">
        <f>Table1[[#This Row],[UnitPrice]]*(1-Table1[[#This Row],[Disc Scenario]])*Table1[[#This Row],[Quantity]]</f>
        <v>6766.9829999999993</v>
      </c>
      <c r="AI419">
        <f>ROUNDDOWN((Table1[[#This Row],[Quantity]]*(1+20%)),0)</f>
        <v>18</v>
      </c>
      <c r="AJ419" s="7">
        <f>Table1[[#This Row],[Quantity increase by 20%]]*Table1[[#This Row],[UnitPrice]]</f>
        <v>9497.52</v>
      </c>
      <c r="AK419">
        <f>ROUNDDOWN(Table1[[#This Row],[Quantity]]*(1+20%),0)</f>
        <v>18</v>
      </c>
      <c r="AL419" s="7">
        <f>Table1[[#This Row],[UnitCost]]*(1+15%)</f>
        <v>513.65899999999999</v>
      </c>
      <c r="AM419" s="9">
        <f>Table1[[#This Row],[Quantity]]*Table1[[#This Row],[Cost of unit by inflation 15%]]</f>
        <v>7704.8850000000002</v>
      </c>
      <c r="AN419" s="21" cm="1">
        <f t="array" ref="AN419">_xlfn.UNIQUE(AC419)</f>
        <v>45016</v>
      </c>
    </row>
    <row r="420" spans="1:40" x14ac:dyDescent="0.35">
      <c r="A420" t="s">
        <v>267</v>
      </c>
      <c r="B420" s="21">
        <v>45592</v>
      </c>
      <c r="C420" s="10">
        <v>45616</v>
      </c>
      <c r="D420" s="3">
        <f t="shared" si="72"/>
        <v>24</v>
      </c>
      <c r="E420" s="10" t="str">
        <f t="shared" si="73"/>
        <v>Q4-2024</v>
      </c>
      <c r="F420" t="s">
        <v>646</v>
      </c>
      <c r="G420" t="s">
        <v>651</v>
      </c>
      <c r="H420" t="s">
        <v>693</v>
      </c>
      <c r="I420" t="s">
        <v>702</v>
      </c>
      <c r="J420" t="s">
        <v>707</v>
      </c>
      <c r="K420" t="s">
        <v>721</v>
      </c>
      <c r="L420" t="s">
        <v>731</v>
      </c>
      <c r="M420" t="s">
        <v>985</v>
      </c>
      <c r="N420" s="3">
        <v>317.25</v>
      </c>
      <c r="O420" s="3">
        <v>758.92</v>
      </c>
      <c r="P420" s="6">
        <v>5.2999999999999999E-2</v>
      </c>
      <c r="Q420" s="6">
        <f>IF(Table1[[#This Row],[DiscountPct]]&gt;25%,25%,Table1[[#This Row],[DiscountPct]])</f>
        <v>5.2999999999999999E-2</v>
      </c>
      <c r="R420" s="5">
        <v>9</v>
      </c>
      <c r="S420" s="6">
        <f t="shared" si="74"/>
        <v>1.3921828211189913</v>
      </c>
      <c r="T420" s="8">
        <f t="shared" si="75"/>
        <v>6468.2751599999992</v>
      </c>
      <c r="U420" s="8">
        <f t="shared" si="76"/>
        <v>2855.25</v>
      </c>
      <c r="V420" s="9">
        <f t="shared" si="77"/>
        <v>3613.0251599999992</v>
      </c>
      <c r="W420" s="6">
        <f t="shared" si="78"/>
        <v>0.5585762928489888</v>
      </c>
      <c r="X420" t="str" cm="1">
        <f t="array" ref="X420">_xlfn.IFS(S420&lt;=25%, "Low", S420&lt;=75%, "Medium", S420&gt;75%, "High")</f>
        <v>High</v>
      </c>
      <c r="Y420" s="8">
        <f>Table1[[#This Row],[Quantity]]*(Table1[[#This Row],[UnitPrice]]*(1-Table1[[#This Row],[DiscountPct]]))</f>
        <v>6468.2751599999992</v>
      </c>
      <c r="Z420" s="9">
        <f t="shared" si="79"/>
        <v>3613.0251599999992</v>
      </c>
      <c r="AA420">
        <f>COUNTIF($G$2:G421,G420)</f>
        <v>37</v>
      </c>
      <c r="AB420" s="21">
        <f t="shared" si="80"/>
        <v>44988</v>
      </c>
      <c r="AC420" s="21">
        <f t="shared" si="81"/>
        <v>45016</v>
      </c>
      <c r="AD420" s="5">
        <f>(Table1[[#This Row],[OrderDate]]-Table1[[#This Row],[Date of first order]])/30</f>
        <v>20.133333333333333</v>
      </c>
      <c r="AE420" t="str">
        <f t="shared" si="82"/>
        <v>Poor</v>
      </c>
      <c r="AF420">
        <f>COUNTIF(AE$2:AE421,AE420)</f>
        <v>297</v>
      </c>
      <c r="AG420" t="str">
        <f t="shared" si="83"/>
        <v>False</v>
      </c>
      <c r="AH420" s="7">
        <f>Table1[[#This Row],[UnitPrice]]*(1-Table1[[#This Row],[Disc Scenario]])*Table1[[#This Row],[Quantity]]</f>
        <v>6468.2751599999992</v>
      </c>
      <c r="AI420">
        <f>ROUNDDOWN((Table1[[#This Row],[Quantity]]*(1+20%)),0)</f>
        <v>10</v>
      </c>
      <c r="AJ420" s="7">
        <f>Table1[[#This Row],[Quantity increase by 20%]]*Table1[[#This Row],[UnitPrice]]</f>
        <v>7589.2</v>
      </c>
      <c r="AK420">
        <f>ROUNDDOWN(Table1[[#This Row],[Quantity]]*(1+20%),0)</f>
        <v>10</v>
      </c>
      <c r="AL420" s="7">
        <f>Table1[[#This Row],[UnitCost]]*(1+15%)</f>
        <v>364.83749999999998</v>
      </c>
      <c r="AM420" s="9">
        <f>Table1[[#This Row],[Quantity]]*Table1[[#This Row],[Cost of unit by inflation 15%]]</f>
        <v>3283.5374999999999</v>
      </c>
      <c r="AN420" s="21" cm="1">
        <f t="array" ref="AN420">_xlfn.UNIQUE(AC420)</f>
        <v>45016</v>
      </c>
    </row>
    <row r="421" spans="1:40" x14ac:dyDescent="0.35">
      <c r="A421" t="s">
        <v>355</v>
      </c>
      <c r="B421" s="21">
        <v>45594</v>
      </c>
      <c r="C421" s="10">
        <v>45600</v>
      </c>
      <c r="D421" s="3">
        <f t="shared" si="72"/>
        <v>6</v>
      </c>
      <c r="E421" s="10" t="str">
        <f t="shared" si="73"/>
        <v>Q4-2024</v>
      </c>
      <c r="F421" t="s">
        <v>645</v>
      </c>
      <c r="G421" t="s">
        <v>649</v>
      </c>
      <c r="H421" t="s">
        <v>663</v>
      </c>
      <c r="I421" t="s">
        <v>700</v>
      </c>
      <c r="J421" t="s">
        <v>709</v>
      </c>
      <c r="K421" t="s">
        <v>723</v>
      </c>
      <c r="L421" t="s">
        <v>727</v>
      </c>
      <c r="M421" t="s">
        <v>1073</v>
      </c>
      <c r="N421" s="3">
        <v>805.81</v>
      </c>
      <c r="O421" s="3">
        <v>1823.04</v>
      </c>
      <c r="P421" s="6">
        <v>0</v>
      </c>
      <c r="Q421" s="6">
        <f>IF(Table1[[#This Row],[DiscountPct]]&gt;25%,25%,Table1[[#This Row],[DiscountPct]])</f>
        <v>0</v>
      </c>
      <c r="R421" s="5">
        <v>11</v>
      </c>
      <c r="S421" s="6">
        <f t="shared" si="74"/>
        <v>1.2623695412069844</v>
      </c>
      <c r="T421" s="8">
        <f t="shared" si="75"/>
        <v>20053.439999999999</v>
      </c>
      <c r="U421" s="8">
        <f t="shared" si="76"/>
        <v>8863.91</v>
      </c>
      <c r="V421" s="9">
        <f t="shared" si="77"/>
        <v>11189.529999999999</v>
      </c>
      <c r="W421" s="6">
        <f t="shared" si="78"/>
        <v>0.55798556257679477</v>
      </c>
      <c r="X421" t="str" cm="1">
        <f t="array" ref="X421">_xlfn.IFS(S421&lt;=25%, "Low", S421&lt;=75%, "Medium", S421&gt;75%, "High")</f>
        <v>High</v>
      </c>
      <c r="Y421" s="8">
        <f>Table1[[#This Row],[Quantity]]*(Table1[[#This Row],[UnitPrice]]*(1-Table1[[#This Row],[DiscountPct]]))</f>
        <v>20053.439999999999</v>
      </c>
      <c r="Z421" s="9">
        <f t="shared" si="79"/>
        <v>11189.529999999999</v>
      </c>
      <c r="AA421">
        <f>COUNTIF($G$2:G422,G421)</f>
        <v>40</v>
      </c>
      <c r="AB421" s="21">
        <f t="shared" si="80"/>
        <v>44988</v>
      </c>
      <c r="AC421" s="21">
        <f t="shared" si="81"/>
        <v>45016</v>
      </c>
      <c r="AD421" s="5">
        <f>(Table1[[#This Row],[OrderDate]]-Table1[[#This Row],[Date of first order]])/30</f>
        <v>20.2</v>
      </c>
      <c r="AE421" t="str">
        <f t="shared" si="82"/>
        <v>Good</v>
      </c>
      <c r="AF421">
        <f>COUNTIF(AE$2:AE422,AE421)</f>
        <v>123</v>
      </c>
      <c r="AG421" t="str">
        <f t="shared" si="83"/>
        <v>False</v>
      </c>
      <c r="AH421" s="7">
        <f>Table1[[#This Row],[UnitPrice]]*(1-Table1[[#This Row],[Disc Scenario]])*Table1[[#This Row],[Quantity]]</f>
        <v>20053.439999999999</v>
      </c>
      <c r="AI421">
        <f>ROUNDDOWN((Table1[[#This Row],[Quantity]]*(1+20%)),0)</f>
        <v>13</v>
      </c>
      <c r="AJ421" s="7">
        <f>Table1[[#This Row],[Quantity increase by 20%]]*Table1[[#This Row],[UnitPrice]]</f>
        <v>23699.52</v>
      </c>
      <c r="AK421">
        <f>ROUNDDOWN(Table1[[#This Row],[Quantity]]*(1+20%),0)</f>
        <v>13</v>
      </c>
      <c r="AL421" s="7">
        <f>Table1[[#This Row],[UnitCost]]*(1+15%)</f>
        <v>926.68149999999991</v>
      </c>
      <c r="AM421" s="9">
        <f>Table1[[#This Row],[Quantity]]*Table1[[#This Row],[Cost of unit by inflation 15%]]</f>
        <v>10193.496499999999</v>
      </c>
      <c r="AN421" s="21" cm="1">
        <f t="array" ref="AN421">_xlfn.UNIQUE(AC421)</f>
        <v>45016</v>
      </c>
    </row>
    <row r="422" spans="1:40" x14ac:dyDescent="0.35">
      <c r="A422" t="s">
        <v>175</v>
      </c>
      <c r="B422" s="21">
        <v>45595</v>
      </c>
      <c r="C422" s="10">
        <v>45620</v>
      </c>
      <c r="D422" s="3">
        <f t="shared" si="72"/>
        <v>25</v>
      </c>
      <c r="E422" s="10" t="str">
        <f t="shared" si="73"/>
        <v>Q4-2024</v>
      </c>
      <c r="F422" t="s">
        <v>646</v>
      </c>
      <c r="G422" t="s">
        <v>658</v>
      </c>
      <c r="H422" t="s">
        <v>675</v>
      </c>
      <c r="I422" t="s">
        <v>704</v>
      </c>
      <c r="J422" t="s">
        <v>707</v>
      </c>
      <c r="K422" t="s">
        <v>717</v>
      </c>
      <c r="L422" t="s">
        <v>726</v>
      </c>
      <c r="M422" t="s">
        <v>893</v>
      </c>
      <c r="N422" s="3">
        <v>811.05</v>
      </c>
      <c r="O422" s="3">
        <v>1217.71</v>
      </c>
      <c r="P422" s="6">
        <v>7.1999999999999995E-2</v>
      </c>
      <c r="Q422" s="6">
        <f>IF(Table1[[#This Row],[DiscountPct]]&gt;25%,25%,Table1[[#This Row],[DiscountPct]])</f>
        <v>7.1999999999999995E-2</v>
      </c>
      <c r="R422" s="5">
        <v>5</v>
      </c>
      <c r="S422" s="6">
        <f t="shared" si="74"/>
        <v>0.50139942050428465</v>
      </c>
      <c r="T422" s="8">
        <f t="shared" si="75"/>
        <v>5650.1744000000008</v>
      </c>
      <c r="U422" s="8">
        <f t="shared" si="76"/>
        <v>4055.25</v>
      </c>
      <c r="V422" s="9">
        <f t="shared" si="77"/>
        <v>1594.9244000000008</v>
      </c>
      <c r="W422" s="6">
        <f t="shared" si="78"/>
        <v>0.28227879125288602</v>
      </c>
      <c r="X422" t="str" cm="1">
        <f t="array" ref="X422">_xlfn.IFS(S422&lt;=25%, "Low", S422&lt;=75%, "Medium", S422&gt;75%, "High")</f>
        <v>Medium</v>
      </c>
      <c r="Y422" s="8">
        <f>Table1[[#This Row],[Quantity]]*(Table1[[#This Row],[UnitPrice]]*(1-Table1[[#This Row],[DiscountPct]]))</f>
        <v>5650.1744000000008</v>
      </c>
      <c r="Z422" s="9">
        <f t="shared" si="79"/>
        <v>1594.9244000000008</v>
      </c>
      <c r="AA422">
        <f>COUNTIF($G$2:G423,G422)</f>
        <v>36</v>
      </c>
      <c r="AB422" s="21">
        <f t="shared" si="80"/>
        <v>44988</v>
      </c>
      <c r="AC422" s="21">
        <f t="shared" si="81"/>
        <v>45016</v>
      </c>
      <c r="AD422" s="5">
        <f>(Table1[[#This Row],[OrderDate]]-Table1[[#This Row],[Date of first order]])/30</f>
        <v>20.233333333333334</v>
      </c>
      <c r="AE422" t="str">
        <f t="shared" si="82"/>
        <v>Poor</v>
      </c>
      <c r="AF422">
        <f>COUNTIF(AE$2:AE423,AE422)</f>
        <v>299</v>
      </c>
      <c r="AG422" t="str">
        <f t="shared" si="83"/>
        <v>False</v>
      </c>
      <c r="AH422" s="7">
        <f>Table1[[#This Row],[UnitPrice]]*(1-Table1[[#This Row],[Disc Scenario]])*Table1[[#This Row],[Quantity]]</f>
        <v>5650.1744000000008</v>
      </c>
      <c r="AI422">
        <f>ROUNDDOWN((Table1[[#This Row],[Quantity]]*(1+20%)),0)</f>
        <v>6</v>
      </c>
      <c r="AJ422" s="7">
        <f>Table1[[#This Row],[Quantity increase by 20%]]*Table1[[#This Row],[UnitPrice]]</f>
        <v>7306.26</v>
      </c>
      <c r="AK422">
        <f>ROUNDDOWN(Table1[[#This Row],[Quantity]]*(1+20%),0)</f>
        <v>6</v>
      </c>
      <c r="AL422" s="7">
        <f>Table1[[#This Row],[UnitCost]]*(1+15%)</f>
        <v>932.70749999999987</v>
      </c>
      <c r="AM422" s="9">
        <f>Table1[[#This Row],[Quantity]]*Table1[[#This Row],[Cost of unit by inflation 15%]]</f>
        <v>4663.5374999999995</v>
      </c>
      <c r="AN422" s="21" cm="1">
        <f t="array" ref="AN422">_xlfn.UNIQUE(AC422)</f>
        <v>45016</v>
      </c>
    </row>
    <row r="423" spans="1:40" x14ac:dyDescent="0.35">
      <c r="A423" t="s">
        <v>443</v>
      </c>
      <c r="B423" s="21">
        <v>45597</v>
      </c>
      <c r="C423" s="10">
        <v>45608</v>
      </c>
      <c r="D423" s="3">
        <f t="shared" si="72"/>
        <v>11</v>
      </c>
      <c r="E423" s="10" t="str">
        <f t="shared" si="73"/>
        <v>Q4-2024</v>
      </c>
      <c r="F423" t="s">
        <v>648</v>
      </c>
      <c r="G423" t="s">
        <v>655</v>
      </c>
      <c r="H423" t="s">
        <v>697</v>
      </c>
      <c r="I423" t="s">
        <v>703</v>
      </c>
      <c r="J423" t="s">
        <v>707</v>
      </c>
      <c r="K423" t="s">
        <v>716</v>
      </c>
      <c r="L423" t="s">
        <v>727</v>
      </c>
      <c r="M423" t="s">
        <v>1160</v>
      </c>
      <c r="N423" s="3">
        <v>599.84</v>
      </c>
      <c r="O423" s="3">
        <v>1330.85</v>
      </c>
      <c r="P423" s="6">
        <v>0.115</v>
      </c>
      <c r="Q423" s="6">
        <f>IF(Table1[[#This Row],[DiscountPct]]&gt;25%,25%,Table1[[#This Row],[DiscountPct]])</f>
        <v>0.115</v>
      </c>
      <c r="R423" s="5">
        <v>11</v>
      </c>
      <c r="S423" s="6">
        <f t="shared" si="74"/>
        <v>1.218674979994665</v>
      </c>
      <c r="T423" s="8">
        <f t="shared" si="75"/>
        <v>12955.824749999998</v>
      </c>
      <c r="U423" s="8">
        <f t="shared" si="76"/>
        <v>6598.2400000000007</v>
      </c>
      <c r="V423" s="9">
        <f t="shared" si="77"/>
        <v>6357.5847499999973</v>
      </c>
      <c r="W423" s="6">
        <f t="shared" si="78"/>
        <v>0.49071246892252063</v>
      </c>
      <c r="X423" t="str" cm="1">
        <f t="array" ref="X423">_xlfn.IFS(S423&lt;=25%, "Low", S423&lt;=75%, "Medium", S423&gt;75%, "High")</f>
        <v>High</v>
      </c>
      <c r="Y423" s="8">
        <f>Table1[[#This Row],[Quantity]]*(Table1[[#This Row],[UnitPrice]]*(1-Table1[[#This Row],[DiscountPct]]))</f>
        <v>12955.82475</v>
      </c>
      <c r="Z423" s="9">
        <f t="shared" si="79"/>
        <v>6357.5847499999991</v>
      </c>
      <c r="AA423">
        <f>COUNTIF($G$2:G424,G423)</f>
        <v>34</v>
      </c>
      <c r="AB423" s="21">
        <f t="shared" si="80"/>
        <v>44988</v>
      </c>
      <c r="AC423" s="21">
        <f t="shared" si="81"/>
        <v>45016</v>
      </c>
      <c r="AD423" s="5">
        <f>(Table1[[#This Row],[OrderDate]]-Table1[[#This Row],[Date of first order]])/30</f>
        <v>20.3</v>
      </c>
      <c r="AE423" t="str">
        <f t="shared" si="82"/>
        <v>Poor</v>
      </c>
      <c r="AF423">
        <f>COUNTIF(AE$2:AE424,AE423)</f>
        <v>300</v>
      </c>
      <c r="AG423" t="str">
        <f t="shared" si="83"/>
        <v>False</v>
      </c>
      <c r="AH423" s="7">
        <f>Table1[[#This Row],[UnitPrice]]*(1-Table1[[#This Row],[Disc Scenario]])*Table1[[#This Row],[Quantity]]</f>
        <v>12955.82475</v>
      </c>
      <c r="AI423">
        <f>ROUNDDOWN((Table1[[#This Row],[Quantity]]*(1+20%)),0)</f>
        <v>13</v>
      </c>
      <c r="AJ423" s="7">
        <f>Table1[[#This Row],[Quantity increase by 20%]]*Table1[[#This Row],[UnitPrice]]</f>
        <v>17301.05</v>
      </c>
      <c r="AK423">
        <f>ROUNDDOWN(Table1[[#This Row],[Quantity]]*(1+20%),0)</f>
        <v>13</v>
      </c>
      <c r="AL423" s="7">
        <f>Table1[[#This Row],[UnitCost]]*(1+15%)</f>
        <v>689.81600000000003</v>
      </c>
      <c r="AM423" s="9">
        <f>Table1[[#This Row],[Quantity]]*Table1[[#This Row],[Cost of unit by inflation 15%]]</f>
        <v>7587.9760000000006</v>
      </c>
      <c r="AN423" s="21" cm="1">
        <f t="array" ref="AN423">_xlfn.UNIQUE(AC423)</f>
        <v>45016</v>
      </c>
    </row>
    <row r="424" spans="1:40" x14ac:dyDescent="0.35">
      <c r="A424" t="s">
        <v>78</v>
      </c>
      <c r="B424" s="21">
        <v>45598</v>
      </c>
      <c r="C424" s="10">
        <v>45614</v>
      </c>
      <c r="D424" s="3">
        <f t="shared" si="72"/>
        <v>16</v>
      </c>
      <c r="E424" s="10" t="str">
        <f t="shared" si="73"/>
        <v>Q4-2024</v>
      </c>
      <c r="F424" t="s">
        <v>646</v>
      </c>
      <c r="G424" t="s">
        <v>653</v>
      </c>
      <c r="H424" t="s">
        <v>690</v>
      </c>
      <c r="I424" t="s">
        <v>704</v>
      </c>
      <c r="J424" t="s">
        <v>709</v>
      </c>
      <c r="K424" t="s">
        <v>718</v>
      </c>
      <c r="L424" t="s">
        <v>731</v>
      </c>
      <c r="M424" t="s">
        <v>796</v>
      </c>
      <c r="N424" s="3">
        <v>1233.58</v>
      </c>
      <c r="O424" s="3">
        <v>1912.51</v>
      </c>
      <c r="P424" s="6">
        <v>0.255</v>
      </c>
      <c r="Q424" s="6">
        <f>IF(Table1[[#This Row],[DiscountPct]]&gt;25%,25%,Table1[[#This Row],[DiscountPct]])</f>
        <v>0.25</v>
      </c>
      <c r="R424" s="5">
        <v>51</v>
      </c>
      <c r="S424" s="6">
        <f t="shared" si="74"/>
        <v>0.55037370904197547</v>
      </c>
      <c r="T424" s="8">
        <f t="shared" si="75"/>
        <v>72665.817450000002</v>
      </c>
      <c r="U424" s="8">
        <f t="shared" si="76"/>
        <v>62912.579999999994</v>
      </c>
      <c r="V424" s="9">
        <f t="shared" si="77"/>
        <v>9753.2374500000078</v>
      </c>
      <c r="W424" s="6">
        <f t="shared" si="78"/>
        <v>0.134220432553601</v>
      </c>
      <c r="X424" t="str" cm="1">
        <f t="array" ref="X424">_xlfn.IFS(S424&lt;=25%, "Low", S424&lt;=75%, "Medium", S424&gt;75%, "High")</f>
        <v>Medium</v>
      </c>
      <c r="Y424" s="8">
        <f>Table1[[#This Row],[Quantity]]*(Table1[[#This Row],[UnitPrice]]*(1-Table1[[#This Row],[DiscountPct]]))</f>
        <v>72665.817450000002</v>
      </c>
      <c r="Z424" s="9">
        <f t="shared" si="79"/>
        <v>9753.2374500000078</v>
      </c>
      <c r="AA424">
        <f>COUNTIF($G$2:G425,G424)</f>
        <v>39</v>
      </c>
      <c r="AB424" s="21">
        <f t="shared" si="80"/>
        <v>44988</v>
      </c>
      <c r="AC424" s="21">
        <f t="shared" si="81"/>
        <v>45016</v>
      </c>
      <c r="AD424" s="5">
        <f>(Table1[[#This Row],[OrderDate]]-Table1[[#This Row],[Date of first order]])/30</f>
        <v>20.333333333333332</v>
      </c>
      <c r="AE424" t="str">
        <f t="shared" si="82"/>
        <v>Poor</v>
      </c>
      <c r="AF424">
        <f>COUNTIF(AE$2:AE425,AE424)</f>
        <v>301</v>
      </c>
      <c r="AG424" t="str">
        <f t="shared" si="83"/>
        <v>True</v>
      </c>
      <c r="AH424" s="7">
        <f>Table1[[#This Row],[UnitPrice]]*(1-Table1[[#This Row],[Disc Scenario]])*Table1[[#This Row],[Quantity]]</f>
        <v>73153.507499999992</v>
      </c>
      <c r="AI424">
        <f>ROUNDDOWN((Table1[[#This Row],[Quantity]]*(1+20%)),0)</f>
        <v>61</v>
      </c>
      <c r="AJ424" s="7">
        <f>Table1[[#This Row],[Quantity increase by 20%]]*Table1[[#This Row],[UnitPrice]]</f>
        <v>116663.11</v>
      </c>
      <c r="AK424">
        <f>ROUNDDOWN(Table1[[#This Row],[Quantity]]*(1+20%),0)</f>
        <v>61</v>
      </c>
      <c r="AL424" s="7">
        <f>Table1[[#This Row],[UnitCost]]*(1+15%)</f>
        <v>1418.6169999999997</v>
      </c>
      <c r="AM424" s="9">
        <f>Table1[[#This Row],[Quantity]]*Table1[[#This Row],[Cost of unit by inflation 15%]]</f>
        <v>72349.46699999999</v>
      </c>
      <c r="AN424" s="21" cm="1">
        <f t="array" ref="AN424">_xlfn.UNIQUE(AC424)</f>
        <v>45016</v>
      </c>
    </row>
    <row r="425" spans="1:40" x14ac:dyDescent="0.35">
      <c r="A425" t="s">
        <v>138</v>
      </c>
      <c r="B425" s="21">
        <v>45598</v>
      </c>
      <c r="C425" s="10">
        <v>45625</v>
      </c>
      <c r="D425" s="3">
        <f t="shared" si="72"/>
        <v>27</v>
      </c>
      <c r="E425" s="10" t="str">
        <f t="shared" si="73"/>
        <v>Q4-2024</v>
      </c>
      <c r="F425" t="s">
        <v>647</v>
      </c>
      <c r="G425" t="s">
        <v>654</v>
      </c>
      <c r="H425" t="s">
        <v>671</v>
      </c>
      <c r="I425" t="s">
        <v>704</v>
      </c>
      <c r="J425" t="s">
        <v>710</v>
      </c>
      <c r="K425" t="s">
        <v>713</v>
      </c>
      <c r="L425" t="s">
        <v>728</v>
      </c>
      <c r="M425" t="s">
        <v>856</v>
      </c>
      <c r="N425" s="3">
        <v>1363.51</v>
      </c>
      <c r="O425" s="3">
        <v>1433.9</v>
      </c>
      <c r="P425" s="6">
        <v>5.7000000000000002E-2</v>
      </c>
      <c r="Q425" s="6">
        <f>IF(Table1[[#This Row],[DiscountPct]]&gt;25%,25%,Table1[[#This Row],[DiscountPct]])</f>
        <v>5.7000000000000002E-2</v>
      </c>
      <c r="R425" s="5">
        <v>8</v>
      </c>
      <c r="S425" s="6">
        <f t="shared" si="74"/>
        <v>5.1624117168190993E-2</v>
      </c>
      <c r="T425" s="8">
        <f t="shared" si="75"/>
        <v>10817.3416</v>
      </c>
      <c r="U425" s="8">
        <f t="shared" si="76"/>
        <v>10908.08</v>
      </c>
      <c r="V425" s="9">
        <f t="shared" si="77"/>
        <v>-90.738400000000183</v>
      </c>
      <c r="W425" s="6">
        <f t="shared" si="78"/>
        <v>-8.3882346842037592E-3</v>
      </c>
      <c r="X425" t="str" cm="1">
        <f t="array" ref="X425">_xlfn.IFS(S425&lt;=25%, "Low", S425&lt;=75%, "Medium", S425&gt;75%, "High")</f>
        <v>Low</v>
      </c>
      <c r="Y425" s="8">
        <f>Table1[[#This Row],[Quantity]]*(Table1[[#This Row],[UnitPrice]]*(1-Table1[[#This Row],[DiscountPct]]))</f>
        <v>10817.3416</v>
      </c>
      <c r="Z425" s="9">
        <f t="shared" si="79"/>
        <v>-90.738400000000183</v>
      </c>
      <c r="AA425">
        <f>COUNTIF($G$2:G426,G425)</f>
        <v>40</v>
      </c>
      <c r="AB425" s="21">
        <f t="shared" si="80"/>
        <v>44988</v>
      </c>
      <c r="AC425" s="21">
        <f t="shared" si="81"/>
        <v>45016</v>
      </c>
      <c r="AD425" s="5">
        <f>(Table1[[#This Row],[OrderDate]]-Table1[[#This Row],[Date of first order]])/30</f>
        <v>20.333333333333332</v>
      </c>
      <c r="AE425" t="str">
        <f t="shared" si="82"/>
        <v>Poor</v>
      </c>
      <c r="AF425">
        <f>COUNTIF(AE$2:AE426,AE425)</f>
        <v>301</v>
      </c>
      <c r="AG425" t="str">
        <f t="shared" si="83"/>
        <v>False</v>
      </c>
      <c r="AH425" s="7">
        <f>Table1[[#This Row],[UnitPrice]]*(1-Table1[[#This Row],[Disc Scenario]])*Table1[[#This Row],[Quantity]]</f>
        <v>10817.3416</v>
      </c>
      <c r="AI425">
        <f>ROUNDDOWN((Table1[[#This Row],[Quantity]]*(1+20%)),0)</f>
        <v>9</v>
      </c>
      <c r="AJ425" s="7">
        <f>Table1[[#This Row],[Quantity increase by 20%]]*Table1[[#This Row],[UnitPrice]]</f>
        <v>12905.1</v>
      </c>
      <c r="AK425">
        <f>ROUNDDOWN(Table1[[#This Row],[Quantity]]*(1+20%),0)</f>
        <v>9</v>
      </c>
      <c r="AL425" s="7">
        <f>Table1[[#This Row],[UnitCost]]*(1+15%)</f>
        <v>1568.0364999999999</v>
      </c>
      <c r="AM425" s="9">
        <f>Table1[[#This Row],[Quantity]]*Table1[[#This Row],[Cost of unit by inflation 15%]]</f>
        <v>12544.291999999999</v>
      </c>
      <c r="AN425" s="21" cm="1">
        <f t="array" ref="AN425">_xlfn.UNIQUE(AC425)</f>
        <v>45016</v>
      </c>
    </row>
    <row r="426" spans="1:40" x14ac:dyDescent="0.35">
      <c r="A426" t="s">
        <v>326</v>
      </c>
      <c r="B426" s="21">
        <v>45600</v>
      </c>
      <c r="C426" s="10">
        <v>45601</v>
      </c>
      <c r="D426" s="3">
        <f t="shared" si="72"/>
        <v>1</v>
      </c>
      <c r="E426" s="10" t="str">
        <f t="shared" si="73"/>
        <v>Q4-2024</v>
      </c>
      <c r="F426" t="s">
        <v>648</v>
      </c>
      <c r="G426" t="s">
        <v>657</v>
      </c>
      <c r="H426" t="s">
        <v>682</v>
      </c>
      <c r="I426" t="s">
        <v>700</v>
      </c>
      <c r="J426" t="s">
        <v>706</v>
      </c>
      <c r="K426" t="s">
        <v>723</v>
      </c>
      <c r="L426" t="s">
        <v>727</v>
      </c>
      <c r="M426" t="s">
        <v>1044</v>
      </c>
      <c r="N426" s="3">
        <v>840.68</v>
      </c>
      <c r="O426" s="3">
        <v>1493.53</v>
      </c>
      <c r="P426" s="6">
        <v>0</v>
      </c>
      <c r="Q426" s="6">
        <f>IF(Table1[[#This Row],[DiscountPct]]&gt;25%,25%,Table1[[#This Row],[DiscountPct]])</f>
        <v>0</v>
      </c>
      <c r="R426" s="5">
        <v>27</v>
      </c>
      <c r="S426" s="6">
        <f t="shared" si="74"/>
        <v>0.77657372603130803</v>
      </c>
      <c r="T426" s="8">
        <f t="shared" si="75"/>
        <v>40325.31</v>
      </c>
      <c r="U426" s="8">
        <f t="shared" si="76"/>
        <v>22698.359999999997</v>
      </c>
      <c r="V426" s="9">
        <f t="shared" si="77"/>
        <v>17626.95</v>
      </c>
      <c r="W426" s="6">
        <f t="shared" si="78"/>
        <v>0.43711877230454027</v>
      </c>
      <c r="X426" t="str" cm="1">
        <f t="array" ref="X426">_xlfn.IFS(S426&lt;=25%, "Low", S426&lt;=75%, "Medium", S426&gt;75%, "High")</f>
        <v>High</v>
      </c>
      <c r="Y426" s="8">
        <f>Table1[[#This Row],[Quantity]]*(Table1[[#This Row],[UnitPrice]]*(1-Table1[[#This Row],[DiscountPct]]))</f>
        <v>40325.31</v>
      </c>
      <c r="Z426" s="9">
        <f t="shared" si="79"/>
        <v>17626.95</v>
      </c>
      <c r="AA426">
        <f>COUNTIF($G$2:G427,G426)</f>
        <v>36</v>
      </c>
      <c r="AB426" s="21">
        <f t="shared" si="80"/>
        <v>44988</v>
      </c>
      <c r="AC426" s="21">
        <f t="shared" si="81"/>
        <v>45016</v>
      </c>
      <c r="AD426" s="5">
        <f>(Table1[[#This Row],[OrderDate]]-Table1[[#This Row],[Date of first order]])/30</f>
        <v>20.399999999999999</v>
      </c>
      <c r="AE426" t="str">
        <f t="shared" si="82"/>
        <v>Good</v>
      </c>
      <c r="AF426">
        <f>COUNTIF(AE$2:AE427,AE426)</f>
        <v>125</v>
      </c>
      <c r="AG426" t="str">
        <f t="shared" si="83"/>
        <v>False</v>
      </c>
      <c r="AH426" s="7">
        <f>Table1[[#This Row],[UnitPrice]]*(1-Table1[[#This Row],[Disc Scenario]])*Table1[[#This Row],[Quantity]]</f>
        <v>40325.31</v>
      </c>
      <c r="AI426">
        <f>ROUNDDOWN((Table1[[#This Row],[Quantity]]*(1+20%)),0)</f>
        <v>32</v>
      </c>
      <c r="AJ426" s="7">
        <f>Table1[[#This Row],[Quantity increase by 20%]]*Table1[[#This Row],[UnitPrice]]</f>
        <v>47792.959999999999</v>
      </c>
      <c r="AK426">
        <f>ROUNDDOWN(Table1[[#This Row],[Quantity]]*(1+20%),0)</f>
        <v>32</v>
      </c>
      <c r="AL426" s="7">
        <f>Table1[[#This Row],[UnitCost]]*(1+15%)</f>
        <v>966.78199999999981</v>
      </c>
      <c r="AM426" s="9">
        <f>Table1[[#This Row],[Quantity]]*Table1[[#This Row],[Cost of unit by inflation 15%]]</f>
        <v>26103.113999999994</v>
      </c>
      <c r="AN426" s="21" cm="1">
        <f t="array" ref="AN426">_xlfn.UNIQUE(AC426)</f>
        <v>45016</v>
      </c>
    </row>
    <row r="427" spans="1:40" x14ac:dyDescent="0.35">
      <c r="A427" t="s">
        <v>581</v>
      </c>
      <c r="B427" s="21">
        <v>45600</v>
      </c>
      <c r="C427" s="10">
        <v>45603</v>
      </c>
      <c r="D427" s="3">
        <f t="shared" si="72"/>
        <v>3</v>
      </c>
      <c r="E427" s="10" t="str">
        <f t="shared" si="73"/>
        <v>Q4-2024</v>
      </c>
      <c r="F427" t="s">
        <v>648</v>
      </c>
      <c r="G427" t="s">
        <v>656</v>
      </c>
      <c r="H427" t="s">
        <v>678</v>
      </c>
      <c r="I427" t="s">
        <v>700</v>
      </c>
      <c r="J427" t="s">
        <v>707</v>
      </c>
      <c r="K427" t="s">
        <v>718</v>
      </c>
      <c r="L427" t="s">
        <v>731</v>
      </c>
      <c r="M427" t="s">
        <v>1297</v>
      </c>
      <c r="N427" s="3">
        <v>740.68</v>
      </c>
      <c r="O427" s="3">
        <v>1837.19</v>
      </c>
      <c r="P427" s="6">
        <v>0.19700000000000001</v>
      </c>
      <c r="Q427" s="6">
        <f>IF(Table1[[#This Row],[DiscountPct]]&gt;25%,25%,Table1[[#This Row],[DiscountPct]])</f>
        <v>0.19700000000000001</v>
      </c>
      <c r="R427" s="5">
        <v>17</v>
      </c>
      <c r="S427" s="6">
        <f t="shared" si="74"/>
        <v>1.4804098936112766</v>
      </c>
      <c r="T427" s="8">
        <f t="shared" si="75"/>
        <v>25079.480689999997</v>
      </c>
      <c r="U427" s="8">
        <f t="shared" si="76"/>
        <v>12591.56</v>
      </c>
      <c r="V427" s="9">
        <f t="shared" si="77"/>
        <v>12487.920689999997</v>
      </c>
      <c r="W427" s="6">
        <f t="shared" si="78"/>
        <v>0.4979337827748298</v>
      </c>
      <c r="X427" t="str" cm="1">
        <f t="array" ref="X427">_xlfn.IFS(S427&lt;=25%, "Low", S427&lt;=75%, "Medium", S427&gt;75%, "High")</f>
        <v>High</v>
      </c>
      <c r="Y427" s="8">
        <f>Table1[[#This Row],[Quantity]]*(Table1[[#This Row],[UnitPrice]]*(1-Table1[[#This Row],[DiscountPct]]))</f>
        <v>25079.480689999997</v>
      </c>
      <c r="Z427" s="9">
        <f t="shared" si="79"/>
        <v>12487.920689999997</v>
      </c>
      <c r="AA427">
        <f>COUNTIF($G$2:G428,G427)</f>
        <v>33</v>
      </c>
      <c r="AB427" s="21">
        <f t="shared" si="80"/>
        <v>44988</v>
      </c>
      <c r="AC427" s="21">
        <f t="shared" si="81"/>
        <v>45016</v>
      </c>
      <c r="AD427" s="5">
        <f>(Table1[[#This Row],[OrderDate]]-Table1[[#This Row],[Date of first order]])/30</f>
        <v>20.399999999999999</v>
      </c>
      <c r="AE427" t="str">
        <f t="shared" si="82"/>
        <v>Good</v>
      </c>
      <c r="AF427">
        <f>COUNTIF(AE$2:AE428,AE427)</f>
        <v>126</v>
      </c>
      <c r="AG427" t="str">
        <f t="shared" si="83"/>
        <v>False</v>
      </c>
      <c r="AH427" s="7">
        <f>Table1[[#This Row],[UnitPrice]]*(1-Table1[[#This Row],[Disc Scenario]])*Table1[[#This Row],[Quantity]]</f>
        <v>25079.480689999997</v>
      </c>
      <c r="AI427">
        <f>ROUNDDOWN((Table1[[#This Row],[Quantity]]*(1+20%)),0)</f>
        <v>20</v>
      </c>
      <c r="AJ427" s="7">
        <f>Table1[[#This Row],[Quantity increase by 20%]]*Table1[[#This Row],[UnitPrice]]</f>
        <v>36743.800000000003</v>
      </c>
      <c r="AK427">
        <f>ROUNDDOWN(Table1[[#This Row],[Quantity]]*(1+20%),0)</f>
        <v>20</v>
      </c>
      <c r="AL427" s="7">
        <f>Table1[[#This Row],[UnitCost]]*(1+15%)</f>
        <v>851.78199999999993</v>
      </c>
      <c r="AM427" s="9">
        <f>Table1[[#This Row],[Quantity]]*Table1[[#This Row],[Cost of unit by inflation 15%]]</f>
        <v>14480.293999999998</v>
      </c>
      <c r="AN427" s="21" cm="1">
        <f t="array" ref="AN427">_xlfn.UNIQUE(AC427)</f>
        <v>45016</v>
      </c>
    </row>
    <row r="428" spans="1:40" x14ac:dyDescent="0.35">
      <c r="A428" t="s">
        <v>415</v>
      </c>
      <c r="B428" s="21">
        <v>45601</v>
      </c>
      <c r="C428" s="10">
        <v>45604</v>
      </c>
      <c r="D428" s="3">
        <f t="shared" si="72"/>
        <v>3</v>
      </c>
      <c r="E428" s="10" t="str">
        <f t="shared" si="73"/>
        <v>Q4-2024</v>
      </c>
      <c r="F428" t="s">
        <v>647</v>
      </c>
      <c r="G428" t="s">
        <v>652</v>
      </c>
      <c r="H428" t="s">
        <v>666</v>
      </c>
      <c r="I428" t="s">
        <v>701</v>
      </c>
      <c r="J428" t="s">
        <v>708</v>
      </c>
      <c r="K428" t="s">
        <v>718</v>
      </c>
      <c r="L428" t="s">
        <v>726</v>
      </c>
      <c r="M428" t="s">
        <v>1132</v>
      </c>
      <c r="N428" s="3">
        <v>1020.4</v>
      </c>
      <c r="O428" s="3">
        <v>1184.71</v>
      </c>
      <c r="P428" s="6">
        <v>0.106</v>
      </c>
      <c r="Q428" s="6">
        <f>IF(Table1[[#This Row],[DiscountPct]]&gt;25%,25%,Table1[[#This Row],[DiscountPct]])</f>
        <v>0.106</v>
      </c>
      <c r="R428" s="5">
        <v>16</v>
      </c>
      <c r="S428" s="6">
        <f t="shared" si="74"/>
        <v>0.16102508820070566</v>
      </c>
      <c r="T428" s="8">
        <f t="shared" si="75"/>
        <v>16946.091840000001</v>
      </c>
      <c r="U428" s="8">
        <f t="shared" si="76"/>
        <v>16326.4</v>
      </c>
      <c r="V428" s="9">
        <f t="shared" si="77"/>
        <v>619.69184000000132</v>
      </c>
      <c r="W428" s="6">
        <f t="shared" si="78"/>
        <v>3.6568422138328345E-2</v>
      </c>
      <c r="X428" t="str" cm="1">
        <f t="array" ref="X428">_xlfn.IFS(S428&lt;=25%, "Low", S428&lt;=75%, "Medium", S428&gt;75%, "High")</f>
        <v>Low</v>
      </c>
      <c r="Y428" s="8">
        <f>Table1[[#This Row],[Quantity]]*(Table1[[#This Row],[UnitPrice]]*(1-Table1[[#This Row],[DiscountPct]]))</f>
        <v>16946.091840000001</v>
      </c>
      <c r="Z428" s="9">
        <f t="shared" si="79"/>
        <v>619.69184000000132</v>
      </c>
      <c r="AA428">
        <f>COUNTIF($G$2:G429,G428)</f>
        <v>29</v>
      </c>
      <c r="AB428" s="21">
        <f t="shared" si="80"/>
        <v>44988</v>
      </c>
      <c r="AC428" s="21">
        <f t="shared" si="81"/>
        <v>45016</v>
      </c>
      <c r="AD428" s="5">
        <f>(Table1[[#This Row],[OrderDate]]-Table1[[#This Row],[Date of first order]])/30</f>
        <v>20.433333333333334</v>
      </c>
      <c r="AE428" t="str">
        <f t="shared" si="82"/>
        <v>Good</v>
      </c>
      <c r="AF428">
        <f>COUNTIF(AE$2:AE429,AE428)</f>
        <v>126</v>
      </c>
      <c r="AG428" t="str">
        <f t="shared" si="83"/>
        <v>False</v>
      </c>
      <c r="AH428" s="7">
        <f>Table1[[#This Row],[UnitPrice]]*(1-Table1[[#This Row],[Disc Scenario]])*Table1[[#This Row],[Quantity]]</f>
        <v>16946.091840000001</v>
      </c>
      <c r="AI428">
        <f>ROUNDDOWN((Table1[[#This Row],[Quantity]]*(1+20%)),0)</f>
        <v>19</v>
      </c>
      <c r="AJ428" s="7">
        <f>Table1[[#This Row],[Quantity increase by 20%]]*Table1[[#This Row],[UnitPrice]]</f>
        <v>22509.49</v>
      </c>
      <c r="AK428">
        <f>ROUNDDOWN(Table1[[#This Row],[Quantity]]*(1+20%),0)</f>
        <v>19</v>
      </c>
      <c r="AL428" s="7">
        <f>Table1[[#This Row],[UnitCost]]*(1+15%)</f>
        <v>1173.4599999999998</v>
      </c>
      <c r="AM428" s="9">
        <f>Table1[[#This Row],[Quantity]]*Table1[[#This Row],[Cost of unit by inflation 15%]]</f>
        <v>18775.359999999997</v>
      </c>
      <c r="AN428" s="21" cm="1">
        <f t="array" ref="AN428">_xlfn.UNIQUE(AC428)</f>
        <v>45016</v>
      </c>
    </row>
    <row r="429" spans="1:40" x14ac:dyDescent="0.35">
      <c r="A429" t="s">
        <v>65</v>
      </c>
      <c r="B429" s="21">
        <v>45602</v>
      </c>
      <c r="C429" s="10">
        <v>45618</v>
      </c>
      <c r="D429" s="3">
        <f t="shared" si="72"/>
        <v>16</v>
      </c>
      <c r="E429" s="10" t="str">
        <f t="shared" si="73"/>
        <v>Q4-2024</v>
      </c>
      <c r="F429" t="s">
        <v>647</v>
      </c>
      <c r="G429" t="s">
        <v>652</v>
      </c>
      <c r="H429" t="s">
        <v>666</v>
      </c>
      <c r="I429" t="s">
        <v>702</v>
      </c>
      <c r="J429" t="s">
        <v>709</v>
      </c>
      <c r="K429" t="s">
        <v>725</v>
      </c>
      <c r="L429" t="s">
        <v>732</v>
      </c>
      <c r="M429" t="s">
        <v>783</v>
      </c>
      <c r="N429" s="3">
        <v>1454.11</v>
      </c>
      <c r="O429" s="3">
        <v>2629.75</v>
      </c>
      <c r="P429" s="6">
        <v>0.29199999999999998</v>
      </c>
      <c r="Q429" s="6">
        <f>IF(Table1[[#This Row],[DiscountPct]]&gt;25%,25%,Table1[[#This Row],[DiscountPct]])</f>
        <v>0.25</v>
      </c>
      <c r="R429" s="5">
        <v>8</v>
      </c>
      <c r="S429" s="6">
        <f t="shared" si="74"/>
        <v>0.80849454305382684</v>
      </c>
      <c r="T429" s="8">
        <f t="shared" si="75"/>
        <v>14894.903999999999</v>
      </c>
      <c r="U429" s="8">
        <f t="shared" si="76"/>
        <v>11632.88</v>
      </c>
      <c r="V429" s="9">
        <f t="shared" si="77"/>
        <v>3262.0239999999994</v>
      </c>
      <c r="W429" s="6">
        <f t="shared" si="78"/>
        <v>0.21900268709351867</v>
      </c>
      <c r="X429" t="str" cm="1">
        <f t="array" ref="X429">_xlfn.IFS(S429&lt;=25%, "Low", S429&lt;=75%, "Medium", S429&gt;75%, "High")</f>
        <v>High</v>
      </c>
      <c r="Y429" s="8">
        <f>Table1[[#This Row],[Quantity]]*(Table1[[#This Row],[UnitPrice]]*(1-Table1[[#This Row],[DiscountPct]]))</f>
        <v>14894.903999999999</v>
      </c>
      <c r="Z429" s="9">
        <f t="shared" si="79"/>
        <v>3262.0239999999994</v>
      </c>
      <c r="AA429">
        <f>COUNTIF($G$2:G430,G429)</f>
        <v>29</v>
      </c>
      <c r="AB429" s="21">
        <f t="shared" si="80"/>
        <v>44988</v>
      </c>
      <c r="AC429" s="21">
        <f t="shared" si="81"/>
        <v>45016</v>
      </c>
      <c r="AD429" s="5">
        <f>(Table1[[#This Row],[OrderDate]]-Table1[[#This Row],[Date of first order]])/30</f>
        <v>20.466666666666665</v>
      </c>
      <c r="AE429" t="str">
        <f t="shared" si="82"/>
        <v>Poor</v>
      </c>
      <c r="AF429">
        <f>COUNTIF(AE$2:AE430,AE429)</f>
        <v>303</v>
      </c>
      <c r="AG429" t="str">
        <f t="shared" si="83"/>
        <v>True</v>
      </c>
      <c r="AH429" s="7">
        <f>Table1[[#This Row],[UnitPrice]]*(1-Table1[[#This Row],[Disc Scenario]])*Table1[[#This Row],[Quantity]]</f>
        <v>15778.5</v>
      </c>
      <c r="AI429">
        <f>ROUNDDOWN((Table1[[#This Row],[Quantity]]*(1+20%)),0)</f>
        <v>9</v>
      </c>
      <c r="AJ429" s="7">
        <f>Table1[[#This Row],[Quantity increase by 20%]]*Table1[[#This Row],[UnitPrice]]</f>
        <v>23667.75</v>
      </c>
      <c r="AK429">
        <f>ROUNDDOWN(Table1[[#This Row],[Quantity]]*(1+20%),0)</f>
        <v>9</v>
      </c>
      <c r="AL429" s="7">
        <f>Table1[[#This Row],[UnitCost]]*(1+15%)</f>
        <v>1672.2264999999998</v>
      </c>
      <c r="AM429" s="9">
        <f>Table1[[#This Row],[Quantity]]*Table1[[#This Row],[Cost of unit by inflation 15%]]</f>
        <v>13377.811999999998</v>
      </c>
      <c r="AN429" s="21" cm="1">
        <f t="array" ref="AN429">_xlfn.UNIQUE(AC429)</f>
        <v>45016</v>
      </c>
    </row>
    <row r="430" spans="1:40" x14ac:dyDescent="0.35">
      <c r="A430" t="s">
        <v>367</v>
      </c>
      <c r="B430" s="21">
        <v>45603</v>
      </c>
      <c r="C430" s="10">
        <v>45622</v>
      </c>
      <c r="D430" s="3">
        <f t="shared" si="72"/>
        <v>19</v>
      </c>
      <c r="E430" s="10" t="str">
        <f t="shared" si="73"/>
        <v>Q4-2024</v>
      </c>
      <c r="F430" t="s">
        <v>647</v>
      </c>
      <c r="G430" t="s">
        <v>654</v>
      </c>
      <c r="H430" t="s">
        <v>691</v>
      </c>
      <c r="I430" t="s">
        <v>702</v>
      </c>
      <c r="J430" t="s">
        <v>709</v>
      </c>
      <c r="K430" t="s">
        <v>712</v>
      </c>
      <c r="L430" t="s">
        <v>727</v>
      </c>
      <c r="M430" t="s">
        <v>1085</v>
      </c>
      <c r="N430" s="3">
        <v>55.35</v>
      </c>
      <c r="O430" s="3">
        <v>128.68</v>
      </c>
      <c r="P430" s="6">
        <v>0.128</v>
      </c>
      <c r="Q430" s="6">
        <f>IF(Table1[[#This Row],[DiscountPct]]&gt;25%,25%,Table1[[#This Row],[DiscountPct]])</f>
        <v>0.128</v>
      </c>
      <c r="R430" s="5">
        <v>10</v>
      </c>
      <c r="S430" s="6">
        <f t="shared" si="74"/>
        <v>1.3248419150858177</v>
      </c>
      <c r="T430" s="8">
        <f t="shared" si="75"/>
        <v>1122.0896000000002</v>
      </c>
      <c r="U430" s="8">
        <f t="shared" si="76"/>
        <v>553.5</v>
      </c>
      <c r="V430" s="9">
        <f t="shared" si="77"/>
        <v>568.58960000000025</v>
      </c>
      <c r="W430" s="6">
        <f t="shared" si="78"/>
        <v>0.50672388372550647</v>
      </c>
      <c r="X430" t="str" cm="1">
        <f t="array" ref="X430">_xlfn.IFS(S430&lt;=25%, "Low", S430&lt;=75%, "Medium", S430&gt;75%, "High")</f>
        <v>High</v>
      </c>
      <c r="Y430" s="8">
        <f>Table1[[#This Row],[Quantity]]*(Table1[[#This Row],[UnitPrice]]*(1-Table1[[#This Row],[DiscountPct]]))</f>
        <v>1122.0896</v>
      </c>
      <c r="Z430" s="9">
        <f t="shared" si="79"/>
        <v>568.58960000000002</v>
      </c>
      <c r="AA430">
        <f>COUNTIF($G$2:G431,G430)</f>
        <v>41</v>
      </c>
      <c r="AB430" s="21">
        <f t="shared" si="80"/>
        <v>44988</v>
      </c>
      <c r="AC430" s="21">
        <f t="shared" si="81"/>
        <v>45016</v>
      </c>
      <c r="AD430" s="5">
        <f>(Table1[[#This Row],[OrderDate]]-Table1[[#This Row],[Date of first order]])/30</f>
        <v>20.5</v>
      </c>
      <c r="AE430" t="str">
        <f t="shared" si="82"/>
        <v>Poor</v>
      </c>
      <c r="AF430">
        <f>COUNTIF(AE$2:AE431,AE430)</f>
        <v>303</v>
      </c>
      <c r="AG430" t="str">
        <f t="shared" si="83"/>
        <v>False</v>
      </c>
      <c r="AH430" s="7">
        <f>Table1[[#This Row],[UnitPrice]]*(1-Table1[[#This Row],[Disc Scenario]])*Table1[[#This Row],[Quantity]]</f>
        <v>1122.0896</v>
      </c>
      <c r="AI430">
        <f>ROUNDDOWN((Table1[[#This Row],[Quantity]]*(1+20%)),0)</f>
        <v>12</v>
      </c>
      <c r="AJ430" s="7">
        <f>Table1[[#This Row],[Quantity increase by 20%]]*Table1[[#This Row],[UnitPrice]]</f>
        <v>1544.16</v>
      </c>
      <c r="AK430">
        <f>ROUNDDOWN(Table1[[#This Row],[Quantity]]*(1+20%),0)</f>
        <v>12</v>
      </c>
      <c r="AL430" s="7">
        <f>Table1[[#This Row],[UnitCost]]*(1+15%)</f>
        <v>63.652499999999996</v>
      </c>
      <c r="AM430" s="9">
        <f>Table1[[#This Row],[Quantity]]*Table1[[#This Row],[Cost of unit by inflation 15%]]</f>
        <v>636.52499999999998</v>
      </c>
      <c r="AN430" s="21" cm="1">
        <f t="array" ref="AN430">_xlfn.UNIQUE(AC430)</f>
        <v>45016</v>
      </c>
    </row>
    <row r="431" spans="1:40" x14ac:dyDescent="0.35">
      <c r="A431" t="s">
        <v>261</v>
      </c>
      <c r="B431" s="21">
        <v>45604</v>
      </c>
      <c r="C431" s="10">
        <v>45604</v>
      </c>
      <c r="D431" s="3">
        <f t="shared" si="72"/>
        <v>0</v>
      </c>
      <c r="E431" s="10" t="str">
        <f t="shared" si="73"/>
        <v>Q4-2024</v>
      </c>
      <c r="F431" t="s">
        <v>645</v>
      </c>
      <c r="G431" t="s">
        <v>649</v>
      </c>
      <c r="H431" t="s">
        <v>677</v>
      </c>
      <c r="I431" t="s">
        <v>705</v>
      </c>
      <c r="J431" t="s">
        <v>708</v>
      </c>
      <c r="K431" t="s">
        <v>723</v>
      </c>
      <c r="L431" t="s">
        <v>728</v>
      </c>
      <c r="M431" t="s">
        <v>979</v>
      </c>
      <c r="N431" s="3">
        <v>803.28</v>
      </c>
      <c r="O431" s="3">
        <v>1009</v>
      </c>
      <c r="P431" s="6">
        <v>0.11</v>
      </c>
      <c r="Q431" s="6">
        <f>IF(Table1[[#This Row],[DiscountPct]]&gt;25%,25%,Table1[[#This Row],[DiscountPct]])</f>
        <v>0.11</v>
      </c>
      <c r="R431" s="5">
        <v>4</v>
      </c>
      <c r="S431" s="6">
        <f t="shared" si="74"/>
        <v>0.25609999004083261</v>
      </c>
      <c r="T431" s="8">
        <f t="shared" si="75"/>
        <v>3592.04</v>
      </c>
      <c r="U431" s="8">
        <f t="shared" si="76"/>
        <v>3213.12</v>
      </c>
      <c r="V431" s="9">
        <f t="shared" si="77"/>
        <v>378.92000000000007</v>
      </c>
      <c r="W431" s="6">
        <f t="shared" si="78"/>
        <v>0.10548880302001093</v>
      </c>
      <c r="X431" t="str" cm="1">
        <f t="array" ref="X431">_xlfn.IFS(S431&lt;=25%, "Low", S431&lt;=75%, "Medium", S431&gt;75%, "High")</f>
        <v>Medium</v>
      </c>
      <c r="Y431" s="8">
        <f>Table1[[#This Row],[Quantity]]*(Table1[[#This Row],[UnitPrice]]*(1-Table1[[#This Row],[DiscountPct]]))</f>
        <v>3592.04</v>
      </c>
      <c r="Z431" s="9">
        <f t="shared" si="79"/>
        <v>378.92000000000007</v>
      </c>
      <c r="AA431">
        <f>COUNTIF($G$2:G432,G431)</f>
        <v>41</v>
      </c>
      <c r="AB431" s="21">
        <f t="shared" si="80"/>
        <v>44988</v>
      </c>
      <c r="AC431" s="21">
        <f t="shared" si="81"/>
        <v>45016</v>
      </c>
      <c r="AD431" s="5">
        <f>(Table1[[#This Row],[OrderDate]]-Table1[[#This Row],[Date of first order]])/30</f>
        <v>20.533333333333335</v>
      </c>
      <c r="AE431" t="str">
        <f t="shared" si="82"/>
        <v>Good</v>
      </c>
      <c r="AF431">
        <f>COUNTIF(AE$2:AE432,AE431)</f>
        <v>127</v>
      </c>
      <c r="AG431" t="str">
        <f t="shared" si="83"/>
        <v>False</v>
      </c>
      <c r="AH431" s="7">
        <f>Table1[[#This Row],[UnitPrice]]*(1-Table1[[#This Row],[Disc Scenario]])*Table1[[#This Row],[Quantity]]</f>
        <v>3592.04</v>
      </c>
      <c r="AI431">
        <f>ROUNDDOWN((Table1[[#This Row],[Quantity]]*(1+20%)),0)</f>
        <v>4</v>
      </c>
      <c r="AJ431" s="7">
        <f>Table1[[#This Row],[Quantity increase by 20%]]*Table1[[#This Row],[UnitPrice]]</f>
        <v>4036</v>
      </c>
      <c r="AK431">
        <f>ROUNDDOWN(Table1[[#This Row],[Quantity]]*(1+20%),0)</f>
        <v>4</v>
      </c>
      <c r="AL431" s="7">
        <f>Table1[[#This Row],[UnitCost]]*(1+15%)</f>
        <v>923.77199999999993</v>
      </c>
      <c r="AM431" s="9">
        <f>Table1[[#This Row],[Quantity]]*Table1[[#This Row],[Cost of unit by inflation 15%]]</f>
        <v>3695.0879999999997</v>
      </c>
      <c r="AN431" s="21" cm="1">
        <f t="array" ref="AN431">_xlfn.UNIQUE(AC431)</f>
        <v>45016</v>
      </c>
    </row>
    <row r="432" spans="1:40" x14ac:dyDescent="0.35">
      <c r="A432" t="s">
        <v>592</v>
      </c>
      <c r="B432" s="21">
        <v>45607</v>
      </c>
      <c r="C432" s="10">
        <v>45620</v>
      </c>
      <c r="D432" s="3">
        <f t="shared" si="72"/>
        <v>13</v>
      </c>
      <c r="E432" s="10" t="str">
        <f t="shared" si="73"/>
        <v>Q4-2024</v>
      </c>
      <c r="F432" t="s">
        <v>648</v>
      </c>
      <c r="G432" t="s">
        <v>657</v>
      </c>
      <c r="H432" t="s">
        <v>682</v>
      </c>
      <c r="I432" t="s">
        <v>700</v>
      </c>
      <c r="J432" t="s">
        <v>706</v>
      </c>
      <c r="K432" t="s">
        <v>717</v>
      </c>
      <c r="L432" t="s">
        <v>728</v>
      </c>
      <c r="M432" t="s">
        <v>1308</v>
      </c>
      <c r="N432" s="3">
        <v>164.53</v>
      </c>
      <c r="O432" s="3">
        <v>327.72</v>
      </c>
      <c r="P432" s="6">
        <v>6.7000000000000004E-2</v>
      </c>
      <c r="Q432" s="6">
        <f>IF(Table1[[#This Row],[DiscountPct]]&gt;25%,25%,Table1[[#This Row],[DiscountPct]])</f>
        <v>6.7000000000000004E-2</v>
      </c>
      <c r="R432" s="5">
        <v>14</v>
      </c>
      <c r="S432" s="6">
        <f t="shared" si="74"/>
        <v>0.99185558864644763</v>
      </c>
      <c r="T432" s="8">
        <f t="shared" si="75"/>
        <v>4280.6786400000001</v>
      </c>
      <c r="U432" s="8">
        <f t="shared" si="76"/>
        <v>2303.42</v>
      </c>
      <c r="V432" s="9">
        <f t="shared" si="77"/>
        <v>1977.25864</v>
      </c>
      <c r="W432" s="6">
        <f t="shared" si="78"/>
        <v>0.46190307805960412</v>
      </c>
      <c r="X432" t="str" cm="1">
        <f t="array" ref="X432">_xlfn.IFS(S432&lt;=25%, "Low", S432&lt;=75%, "Medium", S432&gt;75%, "High")</f>
        <v>High</v>
      </c>
      <c r="Y432" s="8">
        <f>Table1[[#This Row],[Quantity]]*(Table1[[#This Row],[UnitPrice]]*(1-Table1[[#This Row],[DiscountPct]]))</f>
        <v>4280.6786400000001</v>
      </c>
      <c r="Z432" s="9">
        <f t="shared" si="79"/>
        <v>1977.25864</v>
      </c>
      <c r="AA432">
        <f>COUNTIF($G$2:G433,G432)</f>
        <v>37</v>
      </c>
      <c r="AB432" s="21">
        <f t="shared" si="80"/>
        <v>44988</v>
      </c>
      <c r="AC432" s="21">
        <f t="shared" si="81"/>
        <v>45016</v>
      </c>
      <c r="AD432" s="5">
        <f>(Table1[[#This Row],[OrderDate]]-Table1[[#This Row],[Date of first order]])/30</f>
        <v>20.633333333333333</v>
      </c>
      <c r="AE432" t="str">
        <f t="shared" si="82"/>
        <v>Poor</v>
      </c>
      <c r="AF432">
        <f>COUNTIF(AE$2:AE433,AE432)</f>
        <v>305</v>
      </c>
      <c r="AG432" t="str">
        <f t="shared" si="83"/>
        <v>False</v>
      </c>
      <c r="AH432" s="7">
        <f>Table1[[#This Row],[UnitPrice]]*(1-Table1[[#This Row],[Disc Scenario]])*Table1[[#This Row],[Quantity]]</f>
        <v>4280.6786400000001</v>
      </c>
      <c r="AI432">
        <f>ROUNDDOWN((Table1[[#This Row],[Quantity]]*(1+20%)),0)</f>
        <v>16</v>
      </c>
      <c r="AJ432" s="7">
        <f>Table1[[#This Row],[Quantity increase by 20%]]*Table1[[#This Row],[UnitPrice]]</f>
        <v>5243.52</v>
      </c>
      <c r="AK432">
        <f>ROUNDDOWN(Table1[[#This Row],[Quantity]]*(1+20%),0)</f>
        <v>16</v>
      </c>
      <c r="AL432" s="7">
        <f>Table1[[#This Row],[UnitCost]]*(1+15%)</f>
        <v>189.20949999999999</v>
      </c>
      <c r="AM432" s="9">
        <f>Table1[[#This Row],[Quantity]]*Table1[[#This Row],[Cost of unit by inflation 15%]]</f>
        <v>2648.933</v>
      </c>
      <c r="AN432" s="21" cm="1">
        <f t="array" ref="AN432">_xlfn.UNIQUE(AC432)</f>
        <v>45016</v>
      </c>
    </row>
    <row r="433" spans="1:40" x14ac:dyDescent="0.35">
      <c r="A433" t="s">
        <v>522</v>
      </c>
      <c r="B433" s="21">
        <v>45608</v>
      </c>
      <c r="C433" s="10">
        <v>45617</v>
      </c>
      <c r="D433" s="3">
        <f t="shared" si="72"/>
        <v>9</v>
      </c>
      <c r="E433" s="10" t="str">
        <f t="shared" si="73"/>
        <v>Q4-2024</v>
      </c>
      <c r="F433" t="s">
        <v>646</v>
      </c>
      <c r="G433" t="s">
        <v>653</v>
      </c>
      <c r="H433" t="s">
        <v>690</v>
      </c>
      <c r="I433" t="s">
        <v>700</v>
      </c>
      <c r="J433" t="s">
        <v>710</v>
      </c>
      <c r="K433" t="s">
        <v>721</v>
      </c>
      <c r="L433" t="s">
        <v>730</v>
      </c>
      <c r="M433" t="s">
        <v>1239</v>
      </c>
      <c r="N433" s="3">
        <v>903.41</v>
      </c>
      <c r="O433" s="3">
        <v>1860.41</v>
      </c>
      <c r="P433" s="6">
        <v>0.108</v>
      </c>
      <c r="Q433" s="6">
        <f>IF(Table1[[#This Row],[DiscountPct]]&gt;25%,25%,Table1[[#This Row],[DiscountPct]])</f>
        <v>0.108</v>
      </c>
      <c r="R433" s="5">
        <v>5</v>
      </c>
      <c r="S433" s="6">
        <f t="shared" si="74"/>
        <v>1.0593196887349046</v>
      </c>
      <c r="T433" s="8">
        <f t="shared" si="75"/>
        <v>8297.4286000000011</v>
      </c>
      <c r="U433" s="8">
        <f t="shared" si="76"/>
        <v>4517.05</v>
      </c>
      <c r="V433" s="9">
        <f t="shared" si="77"/>
        <v>3780.3786000000009</v>
      </c>
      <c r="W433" s="6">
        <f t="shared" si="78"/>
        <v>0.455608451996803</v>
      </c>
      <c r="X433" t="str" cm="1">
        <f t="array" ref="X433">_xlfn.IFS(S433&lt;=25%, "Low", S433&lt;=75%, "Medium", S433&gt;75%, "High")</f>
        <v>High</v>
      </c>
      <c r="Y433" s="8">
        <f>Table1[[#This Row],[Quantity]]*(Table1[[#This Row],[UnitPrice]]*(1-Table1[[#This Row],[DiscountPct]]))</f>
        <v>8297.4286000000011</v>
      </c>
      <c r="Z433" s="9">
        <f t="shared" si="79"/>
        <v>3780.3786000000009</v>
      </c>
      <c r="AA433">
        <f>COUNTIF($G$2:G434,G433)</f>
        <v>40</v>
      </c>
      <c r="AB433" s="21">
        <f t="shared" si="80"/>
        <v>44988</v>
      </c>
      <c r="AC433" s="21">
        <f t="shared" si="81"/>
        <v>45016</v>
      </c>
      <c r="AD433" s="5">
        <f>(Table1[[#This Row],[OrderDate]]-Table1[[#This Row],[Date of first order]])/30</f>
        <v>20.666666666666668</v>
      </c>
      <c r="AE433" t="str">
        <f t="shared" si="82"/>
        <v>Poor</v>
      </c>
      <c r="AF433">
        <f>COUNTIF(AE$2:AE434,AE433)</f>
        <v>306</v>
      </c>
      <c r="AG433" t="str">
        <f t="shared" si="83"/>
        <v>False</v>
      </c>
      <c r="AH433" s="7">
        <f>Table1[[#This Row],[UnitPrice]]*(1-Table1[[#This Row],[Disc Scenario]])*Table1[[#This Row],[Quantity]]</f>
        <v>8297.4286000000011</v>
      </c>
      <c r="AI433">
        <f>ROUNDDOWN((Table1[[#This Row],[Quantity]]*(1+20%)),0)</f>
        <v>6</v>
      </c>
      <c r="AJ433" s="7">
        <f>Table1[[#This Row],[Quantity increase by 20%]]*Table1[[#This Row],[UnitPrice]]</f>
        <v>11162.460000000001</v>
      </c>
      <c r="AK433">
        <f>ROUNDDOWN(Table1[[#This Row],[Quantity]]*(1+20%),0)</f>
        <v>6</v>
      </c>
      <c r="AL433" s="7">
        <f>Table1[[#This Row],[UnitCost]]*(1+15%)</f>
        <v>1038.9214999999999</v>
      </c>
      <c r="AM433" s="9">
        <f>Table1[[#This Row],[Quantity]]*Table1[[#This Row],[Cost of unit by inflation 15%]]</f>
        <v>5194.6075000000001</v>
      </c>
      <c r="AN433" s="21" cm="1">
        <f t="array" ref="AN433">_xlfn.UNIQUE(AC433)</f>
        <v>45016</v>
      </c>
    </row>
    <row r="434" spans="1:40" x14ac:dyDescent="0.35">
      <c r="A434" t="s">
        <v>500</v>
      </c>
      <c r="B434" s="21">
        <v>45613</v>
      </c>
      <c r="C434" s="10">
        <v>45624</v>
      </c>
      <c r="D434" s="3">
        <f t="shared" si="72"/>
        <v>11</v>
      </c>
      <c r="E434" s="10" t="str">
        <f t="shared" si="73"/>
        <v>Q4-2024</v>
      </c>
      <c r="F434" t="s">
        <v>647</v>
      </c>
      <c r="G434" t="s">
        <v>652</v>
      </c>
      <c r="H434" t="s">
        <v>666</v>
      </c>
      <c r="I434" t="s">
        <v>703</v>
      </c>
      <c r="J434" t="s">
        <v>709</v>
      </c>
      <c r="K434" t="s">
        <v>719</v>
      </c>
      <c r="L434" t="s">
        <v>727</v>
      </c>
      <c r="M434" t="s">
        <v>1217</v>
      </c>
      <c r="N434" s="3">
        <v>1008.16</v>
      </c>
      <c r="O434" s="3">
        <v>2077.5</v>
      </c>
      <c r="P434" s="6">
        <v>7.3999999999999996E-2</v>
      </c>
      <c r="Q434" s="6">
        <f>IF(Table1[[#This Row],[DiscountPct]]&gt;25%,25%,Table1[[#This Row],[DiscountPct]])</f>
        <v>7.3999999999999996E-2</v>
      </c>
      <c r="R434" s="5">
        <v>15</v>
      </c>
      <c r="S434" s="6">
        <f t="shared" si="74"/>
        <v>1.0606848119346137</v>
      </c>
      <c r="T434" s="8">
        <f t="shared" si="75"/>
        <v>28856.475000000002</v>
      </c>
      <c r="U434" s="8">
        <f t="shared" si="76"/>
        <v>15122.4</v>
      </c>
      <c r="V434" s="9">
        <f t="shared" si="77"/>
        <v>13734.075000000003</v>
      </c>
      <c r="W434" s="6">
        <f t="shared" si="78"/>
        <v>0.47594430712691005</v>
      </c>
      <c r="X434" t="str" cm="1">
        <f t="array" ref="X434">_xlfn.IFS(S434&lt;=25%, "Low", S434&lt;=75%, "Medium", S434&gt;75%, "High")</f>
        <v>High</v>
      </c>
      <c r="Y434" s="8">
        <f>Table1[[#This Row],[Quantity]]*(Table1[[#This Row],[UnitPrice]]*(1-Table1[[#This Row],[DiscountPct]]))</f>
        <v>28856.475000000002</v>
      </c>
      <c r="Z434" s="9">
        <f t="shared" si="79"/>
        <v>13734.075000000003</v>
      </c>
      <c r="AA434">
        <f>COUNTIF($G$2:G435,G434)</f>
        <v>30</v>
      </c>
      <c r="AB434" s="21">
        <f t="shared" si="80"/>
        <v>44988</v>
      </c>
      <c r="AC434" s="21">
        <f t="shared" si="81"/>
        <v>45016</v>
      </c>
      <c r="AD434" s="5">
        <f>(Table1[[#This Row],[OrderDate]]-Table1[[#This Row],[Date of first order]])/30</f>
        <v>20.833333333333332</v>
      </c>
      <c r="AE434" t="str">
        <f t="shared" si="82"/>
        <v>Poor</v>
      </c>
      <c r="AF434">
        <f>COUNTIF(AE$2:AE435,AE434)</f>
        <v>307</v>
      </c>
      <c r="AG434" t="str">
        <f t="shared" si="83"/>
        <v>False</v>
      </c>
      <c r="AH434" s="7">
        <f>Table1[[#This Row],[UnitPrice]]*(1-Table1[[#This Row],[Disc Scenario]])*Table1[[#This Row],[Quantity]]</f>
        <v>28856.475000000002</v>
      </c>
      <c r="AI434">
        <f>ROUNDDOWN((Table1[[#This Row],[Quantity]]*(1+20%)),0)</f>
        <v>18</v>
      </c>
      <c r="AJ434" s="7">
        <f>Table1[[#This Row],[Quantity increase by 20%]]*Table1[[#This Row],[UnitPrice]]</f>
        <v>37395</v>
      </c>
      <c r="AK434">
        <f>ROUNDDOWN(Table1[[#This Row],[Quantity]]*(1+20%),0)</f>
        <v>18</v>
      </c>
      <c r="AL434" s="7">
        <f>Table1[[#This Row],[UnitCost]]*(1+15%)</f>
        <v>1159.3839999999998</v>
      </c>
      <c r="AM434" s="9">
        <f>Table1[[#This Row],[Quantity]]*Table1[[#This Row],[Cost of unit by inflation 15%]]</f>
        <v>17390.759999999998</v>
      </c>
      <c r="AN434" s="21" cm="1">
        <f t="array" ref="AN434">_xlfn.UNIQUE(AC434)</f>
        <v>45016</v>
      </c>
    </row>
    <row r="435" spans="1:40" x14ac:dyDescent="0.35">
      <c r="A435" t="s">
        <v>152</v>
      </c>
      <c r="B435" s="21">
        <v>45616</v>
      </c>
      <c r="C435" s="10">
        <v>45641</v>
      </c>
      <c r="D435" s="3">
        <f t="shared" si="72"/>
        <v>25</v>
      </c>
      <c r="E435" s="10" t="str">
        <f t="shared" si="73"/>
        <v>Q4-2024</v>
      </c>
      <c r="F435" t="s">
        <v>648</v>
      </c>
      <c r="G435" t="s">
        <v>656</v>
      </c>
      <c r="H435" t="s">
        <v>689</v>
      </c>
      <c r="I435" t="s">
        <v>700</v>
      </c>
      <c r="J435" t="s">
        <v>707</v>
      </c>
      <c r="K435" t="s">
        <v>714</v>
      </c>
      <c r="L435" t="s">
        <v>727</v>
      </c>
      <c r="M435" t="s">
        <v>870</v>
      </c>
      <c r="N435" s="3">
        <v>1203.58</v>
      </c>
      <c r="O435" s="3">
        <v>1856.16</v>
      </c>
      <c r="P435" s="6">
        <v>0.129</v>
      </c>
      <c r="Q435" s="6">
        <f>IF(Table1[[#This Row],[DiscountPct]]&gt;25%,25%,Table1[[#This Row],[DiscountPct]])</f>
        <v>0.129</v>
      </c>
      <c r="R435" s="5">
        <v>22</v>
      </c>
      <c r="S435" s="6">
        <f t="shared" si="74"/>
        <v>0.5421991060004322</v>
      </c>
      <c r="T435" s="8">
        <f t="shared" si="75"/>
        <v>35567.737920000007</v>
      </c>
      <c r="U435" s="8">
        <f t="shared" si="76"/>
        <v>26478.76</v>
      </c>
      <c r="V435" s="9">
        <f t="shared" si="77"/>
        <v>9088.9779200000085</v>
      </c>
      <c r="W435" s="6">
        <f t="shared" si="78"/>
        <v>0.25553994860295032</v>
      </c>
      <c r="X435" t="str" cm="1">
        <f t="array" ref="X435">_xlfn.IFS(S435&lt;=25%, "Low", S435&lt;=75%, "Medium", S435&gt;75%, "High")</f>
        <v>Medium</v>
      </c>
      <c r="Y435" s="8">
        <f>Table1[[#This Row],[Quantity]]*(Table1[[#This Row],[UnitPrice]]*(1-Table1[[#This Row],[DiscountPct]]))</f>
        <v>35567.73792</v>
      </c>
      <c r="Z435" s="9">
        <f t="shared" si="79"/>
        <v>9088.9779200000012</v>
      </c>
      <c r="AA435">
        <f>COUNTIF($G$2:G436,G435)</f>
        <v>35</v>
      </c>
      <c r="AB435" s="21">
        <f t="shared" si="80"/>
        <v>44988</v>
      </c>
      <c r="AC435" s="21">
        <f t="shared" si="81"/>
        <v>45016</v>
      </c>
      <c r="AD435" s="5">
        <f>(Table1[[#This Row],[OrderDate]]-Table1[[#This Row],[Date of first order]])/30</f>
        <v>20.933333333333334</v>
      </c>
      <c r="AE435" t="str">
        <f t="shared" si="82"/>
        <v>Poor</v>
      </c>
      <c r="AF435">
        <f>COUNTIF(AE$2:AE436,AE435)</f>
        <v>308</v>
      </c>
      <c r="AG435" t="str">
        <f t="shared" si="83"/>
        <v>False</v>
      </c>
      <c r="AH435" s="7">
        <f>Table1[[#This Row],[UnitPrice]]*(1-Table1[[#This Row],[Disc Scenario]])*Table1[[#This Row],[Quantity]]</f>
        <v>35567.73792</v>
      </c>
      <c r="AI435">
        <f>ROUNDDOWN((Table1[[#This Row],[Quantity]]*(1+20%)),0)</f>
        <v>26</v>
      </c>
      <c r="AJ435" s="7">
        <f>Table1[[#This Row],[Quantity increase by 20%]]*Table1[[#This Row],[UnitPrice]]</f>
        <v>48260.160000000003</v>
      </c>
      <c r="AK435">
        <f>ROUNDDOWN(Table1[[#This Row],[Quantity]]*(1+20%),0)</f>
        <v>26</v>
      </c>
      <c r="AL435" s="7">
        <f>Table1[[#This Row],[UnitCost]]*(1+15%)</f>
        <v>1384.1169999999997</v>
      </c>
      <c r="AM435" s="9">
        <f>Table1[[#This Row],[Quantity]]*Table1[[#This Row],[Cost of unit by inflation 15%]]</f>
        <v>30450.573999999993</v>
      </c>
      <c r="AN435" s="21" cm="1">
        <f t="array" ref="AN435">_xlfn.UNIQUE(AC435)</f>
        <v>45016</v>
      </c>
    </row>
    <row r="436" spans="1:40" x14ac:dyDescent="0.35">
      <c r="A436" t="s">
        <v>94</v>
      </c>
      <c r="B436" s="21">
        <v>45617</v>
      </c>
      <c r="C436" s="10">
        <v>45647</v>
      </c>
      <c r="D436" s="3">
        <f t="shared" si="72"/>
        <v>30</v>
      </c>
      <c r="E436" s="10" t="str">
        <f t="shared" si="73"/>
        <v>Q4-2024</v>
      </c>
      <c r="F436" t="s">
        <v>648</v>
      </c>
      <c r="G436" t="s">
        <v>656</v>
      </c>
      <c r="H436" t="s">
        <v>672</v>
      </c>
      <c r="I436" t="s">
        <v>704</v>
      </c>
      <c r="J436" t="s">
        <v>710</v>
      </c>
      <c r="K436" t="s">
        <v>713</v>
      </c>
      <c r="L436" t="s">
        <v>731</v>
      </c>
      <c r="M436" t="s">
        <v>812</v>
      </c>
      <c r="N436" s="3">
        <v>1122.68</v>
      </c>
      <c r="O436" s="3">
        <v>1997.19</v>
      </c>
      <c r="P436" s="6">
        <v>0.186</v>
      </c>
      <c r="Q436" s="6">
        <f>IF(Table1[[#This Row],[DiscountPct]]&gt;25%,25%,Table1[[#This Row],[DiscountPct]])</f>
        <v>0.186</v>
      </c>
      <c r="R436" s="5">
        <v>3</v>
      </c>
      <c r="S436" s="6">
        <f t="shared" si="74"/>
        <v>0.77894858730893923</v>
      </c>
      <c r="T436" s="8">
        <f t="shared" si="75"/>
        <v>4877.1379800000004</v>
      </c>
      <c r="U436" s="8">
        <f t="shared" si="76"/>
        <v>3368.04</v>
      </c>
      <c r="V436" s="9">
        <f t="shared" si="77"/>
        <v>1509.0979800000005</v>
      </c>
      <c r="W436" s="6">
        <f t="shared" si="78"/>
        <v>0.30942285951073306</v>
      </c>
      <c r="X436" t="str" cm="1">
        <f t="array" ref="X436">_xlfn.IFS(S436&lt;=25%, "Low", S436&lt;=75%, "Medium", S436&gt;75%, "High")</f>
        <v>High</v>
      </c>
      <c r="Y436" s="8">
        <f>Table1[[#This Row],[Quantity]]*(Table1[[#This Row],[UnitPrice]]*(1-Table1[[#This Row],[DiscountPct]]))</f>
        <v>4877.1379800000004</v>
      </c>
      <c r="Z436" s="9">
        <f t="shared" si="79"/>
        <v>1509.0979800000005</v>
      </c>
      <c r="AA436">
        <f>COUNTIF($G$2:G437,G436)</f>
        <v>35</v>
      </c>
      <c r="AB436" s="21">
        <f t="shared" si="80"/>
        <v>44988</v>
      </c>
      <c r="AC436" s="21">
        <f t="shared" si="81"/>
        <v>45016</v>
      </c>
      <c r="AD436" s="5">
        <f>(Table1[[#This Row],[OrderDate]]-Table1[[#This Row],[Date of first order]])/30</f>
        <v>20.966666666666665</v>
      </c>
      <c r="AE436" t="str">
        <f t="shared" si="82"/>
        <v>Poor</v>
      </c>
      <c r="AF436">
        <f>COUNTIF(AE$2:AE437,AE436)</f>
        <v>309</v>
      </c>
      <c r="AG436" t="str">
        <f t="shared" si="83"/>
        <v>False</v>
      </c>
      <c r="AH436" s="7">
        <f>Table1[[#This Row],[UnitPrice]]*(1-Table1[[#This Row],[Disc Scenario]])*Table1[[#This Row],[Quantity]]</f>
        <v>4877.1379800000004</v>
      </c>
      <c r="AI436">
        <f>ROUNDDOWN((Table1[[#This Row],[Quantity]]*(1+20%)),0)</f>
        <v>3</v>
      </c>
      <c r="AJ436" s="7">
        <f>Table1[[#This Row],[Quantity increase by 20%]]*Table1[[#This Row],[UnitPrice]]</f>
        <v>5991.57</v>
      </c>
      <c r="AK436">
        <f>ROUNDDOWN(Table1[[#This Row],[Quantity]]*(1+20%),0)</f>
        <v>3</v>
      </c>
      <c r="AL436" s="7">
        <f>Table1[[#This Row],[UnitCost]]*(1+15%)</f>
        <v>1291.0819999999999</v>
      </c>
      <c r="AM436" s="9">
        <f>Table1[[#This Row],[Quantity]]*Table1[[#This Row],[Cost of unit by inflation 15%]]</f>
        <v>3873.2459999999996</v>
      </c>
      <c r="AN436" s="21" cm="1">
        <f t="array" ref="AN436">_xlfn.UNIQUE(AC436)</f>
        <v>45016</v>
      </c>
    </row>
    <row r="437" spans="1:40" x14ac:dyDescent="0.35">
      <c r="A437" t="s">
        <v>478</v>
      </c>
      <c r="B437" s="21">
        <v>45618</v>
      </c>
      <c r="C437" s="10">
        <v>45641</v>
      </c>
      <c r="D437" s="3">
        <f t="shared" si="72"/>
        <v>23</v>
      </c>
      <c r="E437" s="10" t="str">
        <f t="shared" si="73"/>
        <v>Q4-2024</v>
      </c>
      <c r="F437" t="s">
        <v>645</v>
      </c>
      <c r="G437" t="s">
        <v>649</v>
      </c>
      <c r="H437" t="s">
        <v>674</v>
      </c>
      <c r="I437" t="s">
        <v>702</v>
      </c>
      <c r="J437" t="s">
        <v>709</v>
      </c>
      <c r="K437" t="s">
        <v>711</v>
      </c>
      <c r="L437" t="s">
        <v>726</v>
      </c>
      <c r="M437" t="s">
        <v>1195</v>
      </c>
      <c r="N437" s="3">
        <v>1335.76</v>
      </c>
      <c r="O437" s="3">
        <v>2665.91</v>
      </c>
      <c r="P437" s="6">
        <v>0.21099999999999999</v>
      </c>
      <c r="Q437" s="6">
        <f>IF(Table1[[#This Row],[DiscountPct]]&gt;25%,25%,Table1[[#This Row],[DiscountPct]])</f>
        <v>0.21099999999999999</v>
      </c>
      <c r="R437" s="5">
        <v>40</v>
      </c>
      <c r="S437" s="6">
        <f t="shared" si="74"/>
        <v>0.99580014373839598</v>
      </c>
      <c r="T437" s="8">
        <f t="shared" si="75"/>
        <v>84136.119600000005</v>
      </c>
      <c r="U437" s="8">
        <f t="shared" si="76"/>
        <v>53430.400000000001</v>
      </c>
      <c r="V437" s="9">
        <f t="shared" si="77"/>
        <v>30705.719600000004</v>
      </c>
      <c r="W437" s="6">
        <f t="shared" si="78"/>
        <v>0.36495288522909253</v>
      </c>
      <c r="X437" t="str" cm="1">
        <f t="array" ref="X437">_xlfn.IFS(S437&lt;=25%, "Low", S437&lt;=75%, "Medium", S437&gt;75%, "High")</f>
        <v>High</v>
      </c>
      <c r="Y437" s="8">
        <f>Table1[[#This Row],[Quantity]]*(Table1[[#This Row],[UnitPrice]]*(1-Table1[[#This Row],[DiscountPct]]))</f>
        <v>84136.119600000005</v>
      </c>
      <c r="Z437" s="9">
        <f t="shared" si="79"/>
        <v>30705.719600000004</v>
      </c>
      <c r="AA437">
        <f>COUNTIF($G$2:G438,G437)</f>
        <v>42</v>
      </c>
      <c r="AB437" s="21">
        <f t="shared" si="80"/>
        <v>44988</v>
      </c>
      <c r="AC437" s="21">
        <f t="shared" si="81"/>
        <v>45016</v>
      </c>
      <c r="AD437" s="5">
        <f>(Table1[[#This Row],[OrderDate]]-Table1[[#This Row],[Date of first order]])/30</f>
        <v>21</v>
      </c>
      <c r="AE437" t="str">
        <f t="shared" si="82"/>
        <v>Poor</v>
      </c>
      <c r="AF437">
        <f>COUNTIF(AE$2:AE438,AE437)</f>
        <v>310</v>
      </c>
      <c r="AG437" t="str">
        <f t="shared" si="83"/>
        <v>True</v>
      </c>
      <c r="AH437" s="7">
        <f>Table1[[#This Row],[UnitPrice]]*(1-Table1[[#This Row],[Disc Scenario]])*Table1[[#This Row],[Quantity]]</f>
        <v>84136.119600000005</v>
      </c>
      <c r="AI437">
        <f>ROUNDDOWN((Table1[[#This Row],[Quantity]]*(1+20%)),0)</f>
        <v>48</v>
      </c>
      <c r="AJ437" s="7">
        <f>Table1[[#This Row],[Quantity increase by 20%]]*Table1[[#This Row],[UnitPrice]]</f>
        <v>127963.68</v>
      </c>
      <c r="AK437">
        <f>ROUNDDOWN(Table1[[#This Row],[Quantity]]*(1+20%),0)</f>
        <v>48</v>
      </c>
      <c r="AL437" s="7">
        <f>Table1[[#This Row],[UnitCost]]*(1+15%)</f>
        <v>1536.1239999999998</v>
      </c>
      <c r="AM437" s="9">
        <f>Table1[[#This Row],[Quantity]]*Table1[[#This Row],[Cost of unit by inflation 15%]]</f>
        <v>61444.959999999992</v>
      </c>
      <c r="AN437" s="21" cm="1">
        <f t="array" ref="AN437">_xlfn.UNIQUE(AC437)</f>
        <v>45016</v>
      </c>
    </row>
    <row r="438" spans="1:40" x14ac:dyDescent="0.35">
      <c r="A438" t="s">
        <v>371</v>
      </c>
      <c r="B438" s="21">
        <v>45621</v>
      </c>
      <c r="C438" s="10">
        <v>45633</v>
      </c>
      <c r="D438" s="3">
        <f t="shared" si="72"/>
        <v>12</v>
      </c>
      <c r="E438" s="10" t="str">
        <f t="shared" si="73"/>
        <v>Q4-2024</v>
      </c>
      <c r="F438" t="s">
        <v>646</v>
      </c>
      <c r="G438" t="s">
        <v>658</v>
      </c>
      <c r="H438" t="s">
        <v>684</v>
      </c>
      <c r="I438" t="s">
        <v>700</v>
      </c>
      <c r="J438" t="s">
        <v>709</v>
      </c>
      <c r="K438" t="s">
        <v>719</v>
      </c>
      <c r="L438" t="s">
        <v>732</v>
      </c>
      <c r="M438" t="s">
        <v>1089</v>
      </c>
      <c r="N438" s="3">
        <v>769.9</v>
      </c>
      <c r="O438" s="3">
        <v>814.36</v>
      </c>
      <c r="P438" s="6">
        <v>0</v>
      </c>
      <c r="Q438" s="6">
        <f>IF(Table1[[#This Row],[DiscountPct]]&gt;25%,25%,Table1[[#This Row],[DiscountPct]])</f>
        <v>0</v>
      </c>
      <c r="R438" s="5">
        <v>5</v>
      </c>
      <c r="S438" s="6">
        <f t="shared" si="74"/>
        <v>5.7747759449279179E-2</v>
      </c>
      <c r="T438" s="8">
        <f t="shared" si="75"/>
        <v>4071.8</v>
      </c>
      <c r="U438" s="8">
        <f t="shared" si="76"/>
        <v>3849.5</v>
      </c>
      <c r="V438" s="9">
        <f t="shared" si="77"/>
        <v>222.30000000000018</v>
      </c>
      <c r="W438" s="6">
        <f t="shared" si="78"/>
        <v>5.4595019401738831E-2</v>
      </c>
      <c r="X438" t="str" cm="1">
        <f t="array" ref="X438">_xlfn.IFS(S438&lt;=25%, "Low", S438&lt;=75%, "Medium", S438&gt;75%, "High")</f>
        <v>Low</v>
      </c>
      <c r="Y438" s="8">
        <f>Table1[[#This Row],[Quantity]]*(Table1[[#This Row],[UnitPrice]]*(1-Table1[[#This Row],[DiscountPct]]))</f>
        <v>4071.8</v>
      </c>
      <c r="Z438" s="9">
        <f t="shared" si="79"/>
        <v>222.30000000000018</v>
      </c>
      <c r="AA438">
        <f>COUNTIF($G$2:G439,G438)</f>
        <v>37</v>
      </c>
      <c r="AB438" s="21">
        <f t="shared" si="80"/>
        <v>44988</v>
      </c>
      <c r="AC438" s="21">
        <f t="shared" si="81"/>
        <v>45016</v>
      </c>
      <c r="AD438" s="5">
        <f>(Table1[[#This Row],[OrderDate]]-Table1[[#This Row],[Date of first order]])/30</f>
        <v>21.1</v>
      </c>
      <c r="AE438" t="str">
        <f t="shared" si="82"/>
        <v>Poor</v>
      </c>
      <c r="AF438">
        <f>COUNTIF(AE$2:AE439,AE438)</f>
        <v>311</v>
      </c>
      <c r="AG438" t="str">
        <f t="shared" si="83"/>
        <v>False</v>
      </c>
      <c r="AH438" s="7">
        <f>Table1[[#This Row],[UnitPrice]]*(1-Table1[[#This Row],[Disc Scenario]])*Table1[[#This Row],[Quantity]]</f>
        <v>4071.8</v>
      </c>
      <c r="AI438">
        <f>ROUNDDOWN((Table1[[#This Row],[Quantity]]*(1+20%)),0)</f>
        <v>6</v>
      </c>
      <c r="AJ438" s="7">
        <f>Table1[[#This Row],[Quantity increase by 20%]]*Table1[[#This Row],[UnitPrice]]</f>
        <v>4886.16</v>
      </c>
      <c r="AK438">
        <f>ROUNDDOWN(Table1[[#This Row],[Quantity]]*(1+20%),0)</f>
        <v>6</v>
      </c>
      <c r="AL438" s="7">
        <f>Table1[[#This Row],[UnitCost]]*(1+15%)</f>
        <v>885.38499999999988</v>
      </c>
      <c r="AM438" s="9">
        <f>Table1[[#This Row],[Quantity]]*Table1[[#This Row],[Cost of unit by inflation 15%]]</f>
        <v>4426.9249999999993</v>
      </c>
      <c r="AN438" s="21" cm="1">
        <f t="array" ref="AN438">_xlfn.UNIQUE(AC438)</f>
        <v>45016</v>
      </c>
    </row>
    <row r="439" spans="1:40" x14ac:dyDescent="0.35">
      <c r="A439" t="s">
        <v>621</v>
      </c>
      <c r="B439" s="21">
        <v>45623</v>
      </c>
      <c r="C439" s="10">
        <v>45650</v>
      </c>
      <c r="D439" s="3">
        <f t="shared" si="72"/>
        <v>27</v>
      </c>
      <c r="E439" s="10" t="str">
        <f t="shared" si="73"/>
        <v>Q4-2024</v>
      </c>
      <c r="F439" t="s">
        <v>645</v>
      </c>
      <c r="G439" t="s">
        <v>649</v>
      </c>
      <c r="H439" t="s">
        <v>674</v>
      </c>
      <c r="I439" t="s">
        <v>700</v>
      </c>
      <c r="J439" t="s">
        <v>709</v>
      </c>
      <c r="K439" t="s">
        <v>716</v>
      </c>
      <c r="L439" t="s">
        <v>727</v>
      </c>
      <c r="M439" t="s">
        <v>1337</v>
      </c>
      <c r="N439" s="3">
        <v>143.33000000000001</v>
      </c>
      <c r="O439" s="3">
        <v>233.51</v>
      </c>
      <c r="P439" s="6">
        <v>0.16300000000000001</v>
      </c>
      <c r="Q439" s="6">
        <f>IF(Table1[[#This Row],[DiscountPct]]&gt;25%,25%,Table1[[#This Row],[DiscountPct]])</f>
        <v>0.16300000000000001</v>
      </c>
      <c r="R439" s="5">
        <v>14</v>
      </c>
      <c r="S439" s="6">
        <f t="shared" si="74"/>
        <v>0.62917742273076094</v>
      </c>
      <c r="T439" s="8">
        <f t="shared" si="75"/>
        <v>2736.27018</v>
      </c>
      <c r="U439" s="8">
        <f t="shared" si="76"/>
        <v>2006.6200000000001</v>
      </c>
      <c r="V439" s="9">
        <f t="shared" si="77"/>
        <v>729.65017999999986</v>
      </c>
      <c r="W439" s="6">
        <f t="shared" si="78"/>
        <v>0.26665867476580835</v>
      </c>
      <c r="X439" t="str" cm="1">
        <f t="array" ref="X439">_xlfn.IFS(S439&lt;=25%, "Low", S439&lt;=75%, "Medium", S439&gt;75%, "High")</f>
        <v>Medium</v>
      </c>
      <c r="Y439" s="8">
        <f>Table1[[#This Row],[Quantity]]*(Table1[[#This Row],[UnitPrice]]*(1-Table1[[#This Row],[DiscountPct]]))</f>
        <v>2736.27018</v>
      </c>
      <c r="Z439" s="9">
        <f t="shared" si="79"/>
        <v>729.65017999999986</v>
      </c>
      <c r="AA439">
        <f>COUNTIF($G$2:G440,G439)</f>
        <v>44</v>
      </c>
      <c r="AB439" s="21">
        <f t="shared" si="80"/>
        <v>44988</v>
      </c>
      <c r="AC439" s="21">
        <f t="shared" si="81"/>
        <v>45016</v>
      </c>
      <c r="AD439" s="5">
        <f>(Table1[[#This Row],[OrderDate]]-Table1[[#This Row],[Date of first order]])/30</f>
        <v>21.166666666666668</v>
      </c>
      <c r="AE439" t="str">
        <f t="shared" si="82"/>
        <v>Poor</v>
      </c>
      <c r="AF439">
        <f>COUNTIF(AE$2:AE440,AE439)</f>
        <v>312</v>
      </c>
      <c r="AG439" t="str">
        <f t="shared" si="83"/>
        <v>False</v>
      </c>
      <c r="AH439" s="7">
        <f>Table1[[#This Row],[UnitPrice]]*(1-Table1[[#This Row],[Disc Scenario]])*Table1[[#This Row],[Quantity]]</f>
        <v>2736.27018</v>
      </c>
      <c r="AI439">
        <f>ROUNDDOWN((Table1[[#This Row],[Quantity]]*(1+20%)),0)</f>
        <v>16</v>
      </c>
      <c r="AJ439" s="7">
        <f>Table1[[#This Row],[Quantity increase by 20%]]*Table1[[#This Row],[UnitPrice]]</f>
        <v>3736.16</v>
      </c>
      <c r="AK439">
        <f>ROUNDDOWN(Table1[[#This Row],[Quantity]]*(1+20%),0)</f>
        <v>16</v>
      </c>
      <c r="AL439" s="7">
        <f>Table1[[#This Row],[UnitCost]]*(1+15%)</f>
        <v>164.8295</v>
      </c>
      <c r="AM439" s="9">
        <f>Table1[[#This Row],[Quantity]]*Table1[[#This Row],[Cost of unit by inflation 15%]]</f>
        <v>2307.6129999999998</v>
      </c>
      <c r="AN439" s="21" cm="1">
        <f t="array" ref="AN439">_xlfn.UNIQUE(AC439)</f>
        <v>45016</v>
      </c>
    </row>
    <row r="440" spans="1:40" x14ac:dyDescent="0.35">
      <c r="A440" t="s">
        <v>575</v>
      </c>
      <c r="B440" s="21">
        <v>45626</v>
      </c>
      <c r="C440" s="10">
        <v>45645</v>
      </c>
      <c r="D440" s="3">
        <f t="shared" si="72"/>
        <v>19</v>
      </c>
      <c r="E440" s="10" t="str">
        <f t="shared" si="73"/>
        <v>Q4-2024</v>
      </c>
      <c r="F440" t="s">
        <v>645</v>
      </c>
      <c r="G440" t="s">
        <v>649</v>
      </c>
      <c r="H440" t="s">
        <v>661</v>
      </c>
      <c r="I440" t="s">
        <v>700</v>
      </c>
      <c r="J440" t="s">
        <v>707</v>
      </c>
      <c r="K440" t="s">
        <v>715</v>
      </c>
      <c r="L440" t="s">
        <v>729</v>
      </c>
      <c r="M440" t="s">
        <v>1291</v>
      </c>
      <c r="N440" s="3">
        <v>1195.98</v>
      </c>
      <c r="O440" s="3">
        <v>1841.9</v>
      </c>
      <c r="P440" s="6">
        <v>5.5E-2</v>
      </c>
      <c r="Q440" s="6">
        <f>IF(Table1[[#This Row],[DiscountPct]]&gt;25%,25%,Table1[[#This Row],[DiscountPct]])</f>
        <v>5.5E-2</v>
      </c>
      <c r="R440" s="5">
        <v>19</v>
      </c>
      <c r="S440" s="6">
        <f t="shared" si="74"/>
        <v>0.54007592100202351</v>
      </c>
      <c r="T440" s="8">
        <f t="shared" si="75"/>
        <v>33071.3145</v>
      </c>
      <c r="U440" s="8">
        <f t="shared" si="76"/>
        <v>22723.62</v>
      </c>
      <c r="V440" s="9">
        <f t="shared" si="77"/>
        <v>10347.694500000001</v>
      </c>
      <c r="W440" s="6">
        <f t="shared" si="78"/>
        <v>0.31289032977506842</v>
      </c>
      <c r="X440" t="str" cm="1">
        <f t="array" ref="X440">_xlfn.IFS(S440&lt;=25%, "Low", S440&lt;=75%, "Medium", S440&gt;75%, "High")</f>
        <v>Medium</v>
      </c>
      <c r="Y440" s="8">
        <f>Table1[[#This Row],[Quantity]]*(Table1[[#This Row],[UnitPrice]]*(1-Table1[[#This Row],[DiscountPct]]))</f>
        <v>33071.3145</v>
      </c>
      <c r="Z440" s="9">
        <f t="shared" si="79"/>
        <v>10347.694500000001</v>
      </c>
      <c r="AA440">
        <f>COUNTIF($G$2:G441,G440)</f>
        <v>44</v>
      </c>
      <c r="AB440" s="21">
        <f t="shared" si="80"/>
        <v>44988</v>
      </c>
      <c r="AC440" s="21">
        <f t="shared" si="81"/>
        <v>45016</v>
      </c>
      <c r="AD440" s="5">
        <f>(Table1[[#This Row],[OrderDate]]-Table1[[#This Row],[Date of first order]])/30</f>
        <v>21.266666666666666</v>
      </c>
      <c r="AE440" t="str">
        <f t="shared" si="82"/>
        <v>Poor</v>
      </c>
      <c r="AF440">
        <f>COUNTIF(AE$2:AE441,AE440)</f>
        <v>313</v>
      </c>
      <c r="AG440" t="str">
        <f t="shared" si="83"/>
        <v>False</v>
      </c>
      <c r="AH440" s="7">
        <f>Table1[[#This Row],[UnitPrice]]*(1-Table1[[#This Row],[Disc Scenario]])*Table1[[#This Row],[Quantity]]</f>
        <v>33071.3145</v>
      </c>
      <c r="AI440">
        <f>ROUNDDOWN((Table1[[#This Row],[Quantity]]*(1+20%)),0)</f>
        <v>22</v>
      </c>
      <c r="AJ440" s="7">
        <f>Table1[[#This Row],[Quantity increase by 20%]]*Table1[[#This Row],[UnitPrice]]</f>
        <v>40521.800000000003</v>
      </c>
      <c r="AK440">
        <f>ROUNDDOWN(Table1[[#This Row],[Quantity]]*(1+20%),0)</f>
        <v>22</v>
      </c>
      <c r="AL440" s="7">
        <f>Table1[[#This Row],[UnitCost]]*(1+15%)</f>
        <v>1375.377</v>
      </c>
      <c r="AM440" s="9">
        <f>Table1[[#This Row],[Quantity]]*Table1[[#This Row],[Cost of unit by inflation 15%]]</f>
        <v>26132.163</v>
      </c>
      <c r="AN440" s="21" cm="1">
        <f t="array" ref="AN440">_xlfn.UNIQUE(AC440)</f>
        <v>45016</v>
      </c>
    </row>
    <row r="441" spans="1:40" x14ac:dyDescent="0.35">
      <c r="A441" t="s">
        <v>429</v>
      </c>
      <c r="B441" s="21">
        <v>45626</v>
      </c>
      <c r="C441" s="10">
        <v>45636</v>
      </c>
      <c r="D441" s="3">
        <f t="shared" si="72"/>
        <v>10</v>
      </c>
      <c r="E441" s="10" t="str">
        <f t="shared" si="73"/>
        <v>Q4-2024</v>
      </c>
      <c r="F441" t="s">
        <v>646</v>
      </c>
      <c r="G441" t="s">
        <v>653</v>
      </c>
      <c r="H441" t="s">
        <v>695</v>
      </c>
      <c r="I441" t="s">
        <v>704</v>
      </c>
      <c r="J441" t="s">
        <v>706</v>
      </c>
      <c r="K441" t="s">
        <v>720</v>
      </c>
      <c r="L441" t="s">
        <v>732</v>
      </c>
      <c r="M441" t="s">
        <v>1146</v>
      </c>
      <c r="N441" s="3">
        <v>851.49</v>
      </c>
      <c r="O441" s="3">
        <v>901.79</v>
      </c>
      <c r="P441" s="6">
        <v>0.245</v>
      </c>
      <c r="Q441" s="6">
        <f>IF(Table1[[#This Row],[DiscountPct]]&gt;25%,25%,Table1[[#This Row],[DiscountPct]])</f>
        <v>0.245</v>
      </c>
      <c r="R441" s="5">
        <v>16</v>
      </c>
      <c r="S441" s="6">
        <f t="shared" si="74"/>
        <v>5.9072919235692675E-2</v>
      </c>
      <c r="T441" s="8">
        <f t="shared" si="75"/>
        <v>10893.6232</v>
      </c>
      <c r="U441" s="8">
        <f t="shared" si="76"/>
        <v>13623.84</v>
      </c>
      <c r="V441" s="9">
        <f t="shared" si="77"/>
        <v>-2730.2168000000001</v>
      </c>
      <c r="W441" s="6">
        <f t="shared" si="78"/>
        <v>-0.25062522816100341</v>
      </c>
      <c r="X441" t="str" cm="1">
        <f t="array" ref="X441">_xlfn.IFS(S441&lt;=25%, "Low", S441&lt;=75%, "Medium", S441&gt;75%, "High")</f>
        <v>Low</v>
      </c>
      <c r="Y441" s="8">
        <f>Table1[[#This Row],[Quantity]]*(Table1[[#This Row],[UnitPrice]]*(1-Table1[[#This Row],[DiscountPct]]))</f>
        <v>10893.6232</v>
      </c>
      <c r="Z441" s="9">
        <f t="shared" si="79"/>
        <v>-2730.2168000000001</v>
      </c>
      <c r="AA441">
        <f>COUNTIF($G$2:G442,G441)</f>
        <v>41</v>
      </c>
      <c r="AB441" s="21">
        <f t="shared" si="80"/>
        <v>44988</v>
      </c>
      <c r="AC441" s="21">
        <f t="shared" si="81"/>
        <v>45016</v>
      </c>
      <c r="AD441" s="5">
        <f>(Table1[[#This Row],[OrderDate]]-Table1[[#This Row],[Date of first order]])/30</f>
        <v>21.266666666666666</v>
      </c>
      <c r="AE441" t="str">
        <f t="shared" si="82"/>
        <v>Poor</v>
      </c>
      <c r="AF441">
        <f>COUNTIF(AE$2:AE442,AE441)</f>
        <v>314</v>
      </c>
      <c r="AG441" t="str">
        <f t="shared" si="83"/>
        <v>True</v>
      </c>
      <c r="AH441" s="7">
        <f>Table1[[#This Row],[UnitPrice]]*(1-Table1[[#This Row],[Disc Scenario]])*Table1[[#This Row],[Quantity]]</f>
        <v>10893.6232</v>
      </c>
      <c r="AI441">
        <f>ROUNDDOWN((Table1[[#This Row],[Quantity]]*(1+20%)),0)</f>
        <v>19</v>
      </c>
      <c r="AJ441" s="7">
        <f>Table1[[#This Row],[Quantity increase by 20%]]*Table1[[#This Row],[UnitPrice]]</f>
        <v>17134.009999999998</v>
      </c>
      <c r="AK441">
        <f>ROUNDDOWN(Table1[[#This Row],[Quantity]]*(1+20%),0)</f>
        <v>19</v>
      </c>
      <c r="AL441" s="7">
        <f>Table1[[#This Row],[UnitCost]]*(1+15%)</f>
        <v>979.21349999999995</v>
      </c>
      <c r="AM441" s="9">
        <f>Table1[[#This Row],[Quantity]]*Table1[[#This Row],[Cost of unit by inflation 15%]]</f>
        <v>15667.415999999999</v>
      </c>
      <c r="AN441" s="21" cm="1">
        <f t="array" ref="AN441">_xlfn.UNIQUE(AC441)</f>
        <v>45016</v>
      </c>
    </row>
    <row r="442" spans="1:40" x14ac:dyDescent="0.35">
      <c r="A442" t="s">
        <v>41</v>
      </c>
      <c r="B442" s="21">
        <v>45626</v>
      </c>
      <c r="C442" s="10">
        <v>45656</v>
      </c>
      <c r="D442" s="3">
        <f t="shared" si="72"/>
        <v>30</v>
      </c>
      <c r="E442" s="10" t="str">
        <f t="shared" si="73"/>
        <v>Q4-2024</v>
      </c>
      <c r="F442" t="s">
        <v>648</v>
      </c>
      <c r="G442" t="s">
        <v>656</v>
      </c>
      <c r="H442" t="s">
        <v>672</v>
      </c>
      <c r="I442" t="s">
        <v>703</v>
      </c>
      <c r="J442" t="s">
        <v>708</v>
      </c>
      <c r="K442" t="s">
        <v>720</v>
      </c>
      <c r="L442" t="s">
        <v>727</v>
      </c>
      <c r="M442" t="s">
        <v>759</v>
      </c>
      <c r="N442" s="3">
        <v>117.64</v>
      </c>
      <c r="O442" s="3">
        <v>175.67</v>
      </c>
      <c r="P442" s="6">
        <v>0</v>
      </c>
      <c r="Q442" s="6">
        <f>IF(Table1[[#This Row],[DiscountPct]]&gt;25%,25%,Table1[[#This Row],[DiscountPct]])</f>
        <v>0</v>
      </c>
      <c r="R442" s="5">
        <v>10</v>
      </c>
      <c r="S442" s="6">
        <f t="shared" si="74"/>
        <v>0.49328459707582445</v>
      </c>
      <c r="T442" s="8">
        <f t="shared" si="75"/>
        <v>1756.6999999999998</v>
      </c>
      <c r="U442" s="8">
        <f t="shared" si="76"/>
        <v>1176.4000000000001</v>
      </c>
      <c r="V442" s="9">
        <f t="shared" si="77"/>
        <v>580.29999999999973</v>
      </c>
      <c r="W442" s="6">
        <f t="shared" si="78"/>
        <v>0.33033528775545046</v>
      </c>
      <c r="X442" t="str" cm="1">
        <f t="array" ref="X442">_xlfn.IFS(S442&lt;=25%, "Low", S442&lt;=75%, "Medium", S442&gt;75%, "High")</f>
        <v>Medium</v>
      </c>
      <c r="Y442" s="8">
        <f>Table1[[#This Row],[Quantity]]*(Table1[[#This Row],[UnitPrice]]*(1-Table1[[#This Row],[DiscountPct]]))</f>
        <v>1756.6999999999998</v>
      </c>
      <c r="Z442" s="9">
        <f t="shared" si="79"/>
        <v>580.29999999999973</v>
      </c>
      <c r="AA442">
        <f>COUNTIF($G$2:G443,G442)</f>
        <v>36</v>
      </c>
      <c r="AB442" s="21">
        <f t="shared" si="80"/>
        <v>44988</v>
      </c>
      <c r="AC442" s="21">
        <f t="shared" si="81"/>
        <v>45016</v>
      </c>
      <c r="AD442" s="5">
        <f>(Table1[[#This Row],[OrderDate]]-Table1[[#This Row],[Date of first order]])/30</f>
        <v>21.266666666666666</v>
      </c>
      <c r="AE442" t="str">
        <f t="shared" si="82"/>
        <v>Poor</v>
      </c>
      <c r="AF442">
        <f>COUNTIF(AE$2:AE443,AE442)</f>
        <v>315</v>
      </c>
      <c r="AG442" t="str">
        <f t="shared" si="83"/>
        <v>False</v>
      </c>
      <c r="AH442" s="7">
        <f>Table1[[#This Row],[UnitPrice]]*(1-Table1[[#This Row],[Disc Scenario]])*Table1[[#This Row],[Quantity]]</f>
        <v>1756.6999999999998</v>
      </c>
      <c r="AI442">
        <f>ROUNDDOWN((Table1[[#This Row],[Quantity]]*(1+20%)),0)</f>
        <v>12</v>
      </c>
      <c r="AJ442" s="7">
        <f>Table1[[#This Row],[Quantity increase by 20%]]*Table1[[#This Row],[UnitPrice]]</f>
        <v>2108.04</v>
      </c>
      <c r="AK442">
        <f>ROUNDDOWN(Table1[[#This Row],[Quantity]]*(1+20%),0)</f>
        <v>12</v>
      </c>
      <c r="AL442" s="7">
        <f>Table1[[#This Row],[UnitCost]]*(1+15%)</f>
        <v>135.286</v>
      </c>
      <c r="AM442" s="9">
        <f>Table1[[#This Row],[Quantity]]*Table1[[#This Row],[Cost of unit by inflation 15%]]</f>
        <v>1352.8600000000001</v>
      </c>
      <c r="AN442" s="21" cm="1">
        <f t="array" ref="AN442">_xlfn.UNIQUE(AC442)</f>
        <v>45016</v>
      </c>
    </row>
    <row r="443" spans="1:40" x14ac:dyDescent="0.35">
      <c r="A443" t="s">
        <v>256</v>
      </c>
      <c r="B443" s="21">
        <v>45630</v>
      </c>
      <c r="C443" s="10">
        <v>45638</v>
      </c>
      <c r="D443" s="3">
        <f t="shared" si="72"/>
        <v>8</v>
      </c>
      <c r="E443" s="10" t="str">
        <f t="shared" si="73"/>
        <v>Q4-2024</v>
      </c>
      <c r="F443" t="s">
        <v>648</v>
      </c>
      <c r="G443" t="s">
        <v>655</v>
      </c>
      <c r="H443" t="s">
        <v>697</v>
      </c>
      <c r="I443" t="s">
        <v>705</v>
      </c>
      <c r="J443" t="s">
        <v>708</v>
      </c>
      <c r="K443" t="s">
        <v>716</v>
      </c>
      <c r="L443" t="s">
        <v>727</v>
      </c>
      <c r="M443" t="s">
        <v>974</v>
      </c>
      <c r="N443" s="3">
        <v>72.06</v>
      </c>
      <c r="O443" s="3">
        <v>122.74</v>
      </c>
      <c r="P443" s="6">
        <v>0.23799999999999999</v>
      </c>
      <c r="Q443" s="6">
        <f>IF(Table1[[#This Row],[DiscountPct]]&gt;25%,25%,Table1[[#This Row],[DiscountPct]])</f>
        <v>0.23799999999999999</v>
      </c>
      <c r="R443" s="5">
        <v>8</v>
      </c>
      <c r="S443" s="6">
        <f t="shared" si="74"/>
        <v>0.7033028032195392</v>
      </c>
      <c r="T443" s="8">
        <f t="shared" si="75"/>
        <v>748.22303999999997</v>
      </c>
      <c r="U443" s="8">
        <f t="shared" si="76"/>
        <v>576.48</v>
      </c>
      <c r="V443" s="9">
        <f t="shared" si="77"/>
        <v>171.74303999999995</v>
      </c>
      <c r="W443" s="6">
        <f t="shared" si="78"/>
        <v>0.22953455162246802</v>
      </c>
      <c r="X443" t="str" cm="1">
        <f t="array" ref="X443">_xlfn.IFS(S443&lt;=25%, "Low", S443&lt;=75%, "Medium", S443&gt;75%, "High")</f>
        <v>Medium</v>
      </c>
      <c r="Y443" s="8">
        <f>Table1[[#This Row],[Quantity]]*(Table1[[#This Row],[UnitPrice]]*(1-Table1[[#This Row],[DiscountPct]]))</f>
        <v>748.22303999999997</v>
      </c>
      <c r="Z443" s="9">
        <f t="shared" si="79"/>
        <v>171.74303999999995</v>
      </c>
      <c r="AA443">
        <f>COUNTIF($G$2:G444,G443)</f>
        <v>35</v>
      </c>
      <c r="AB443" s="21">
        <f t="shared" si="80"/>
        <v>44988</v>
      </c>
      <c r="AC443" s="21">
        <f t="shared" si="81"/>
        <v>45016</v>
      </c>
      <c r="AD443" s="5">
        <f>(Table1[[#This Row],[OrderDate]]-Table1[[#This Row],[Date of first order]])/30</f>
        <v>21.4</v>
      </c>
      <c r="AE443" t="str">
        <f t="shared" si="82"/>
        <v>Poor</v>
      </c>
      <c r="AF443">
        <f>COUNTIF(AE$2:AE444,AE443)</f>
        <v>316</v>
      </c>
      <c r="AG443" t="str">
        <f t="shared" si="83"/>
        <v>True</v>
      </c>
      <c r="AH443" s="7">
        <f>Table1[[#This Row],[UnitPrice]]*(1-Table1[[#This Row],[Disc Scenario]])*Table1[[#This Row],[Quantity]]</f>
        <v>748.22303999999997</v>
      </c>
      <c r="AI443">
        <f>ROUNDDOWN((Table1[[#This Row],[Quantity]]*(1+20%)),0)</f>
        <v>9</v>
      </c>
      <c r="AJ443" s="7">
        <f>Table1[[#This Row],[Quantity increase by 20%]]*Table1[[#This Row],[UnitPrice]]</f>
        <v>1104.6599999999999</v>
      </c>
      <c r="AK443">
        <f>ROUNDDOWN(Table1[[#This Row],[Quantity]]*(1+20%),0)</f>
        <v>9</v>
      </c>
      <c r="AL443" s="7">
        <f>Table1[[#This Row],[UnitCost]]*(1+15%)</f>
        <v>82.869</v>
      </c>
      <c r="AM443" s="9">
        <f>Table1[[#This Row],[Quantity]]*Table1[[#This Row],[Cost of unit by inflation 15%]]</f>
        <v>662.952</v>
      </c>
      <c r="AN443" s="21" cm="1">
        <f t="array" ref="AN443">_xlfn.UNIQUE(AC443)</f>
        <v>45016</v>
      </c>
    </row>
    <row r="444" spans="1:40" x14ac:dyDescent="0.35">
      <c r="A444" t="s">
        <v>118</v>
      </c>
      <c r="B444" s="21">
        <v>45631</v>
      </c>
      <c r="C444" s="10">
        <v>45654</v>
      </c>
      <c r="D444" s="3">
        <f t="shared" si="72"/>
        <v>23</v>
      </c>
      <c r="E444" s="10" t="str">
        <f t="shared" si="73"/>
        <v>Q4-2024</v>
      </c>
      <c r="F444" t="s">
        <v>647</v>
      </c>
      <c r="G444" t="s">
        <v>652</v>
      </c>
      <c r="H444" t="s">
        <v>687</v>
      </c>
      <c r="I444" t="s">
        <v>700</v>
      </c>
      <c r="J444" t="s">
        <v>710</v>
      </c>
      <c r="K444" t="s">
        <v>720</v>
      </c>
      <c r="L444" t="s">
        <v>732</v>
      </c>
      <c r="M444" t="s">
        <v>836</v>
      </c>
      <c r="N444" s="3">
        <v>107.03</v>
      </c>
      <c r="O444" s="3">
        <v>242.29</v>
      </c>
      <c r="P444" s="6">
        <v>0.18</v>
      </c>
      <c r="Q444" s="6">
        <f>IF(Table1[[#This Row],[DiscountPct]]&gt;25%,25%,Table1[[#This Row],[DiscountPct]])</f>
        <v>0.18</v>
      </c>
      <c r="R444" s="5">
        <v>30</v>
      </c>
      <c r="S444" s="6">
        <f t="shared" si="74"/>
        <v>1.2637578249089039</v>
      </c>
      <c r="T444" s="8">
        <f t="shared" si="75"/>
        <v>5960.3340000000007</v>
      </c>
      <c r="U444" s="8">
        <f t="shared" si="76"/>
        <v>3210.9</v>
      </c>
      <c r="V444" s="9">
        <f t="shared" si="77"/>
        <v>2749.4340000000007</v>
      </c>
      <c r="W444" s="6">
        <f t="shared" si="78"/>
        <v>0.46128857879440988</v>
      </c>
      <c r="X444" t="str" cm="1">
        <f t="array" ref="X444">_xlfn.IFS(S444&lt;=25%, "Low", S444&lt;=75%, "Medium", S444&gt;75%, "High")</f>
        <v>High</v>
      </c>
      <c r="Y444" s="8">
        <f>Table1[[#This Row],[Quantity]]*(Table1[[#This Row],[UnitPrice]]*(1-Table1[[#This Row],[DiscountPct]]))</f>
        <v>5960.3340000000007</v>
      </c>
      <c r="Z444" s="9">
        <f t="shared" si="79"/>
        <v>2749.4340000000007</v>
      </c>
      <c r="AA444">
        <f>COUNTIF($G$2:G445,G444)</f>
        <v>31</v>
      </c>
      <c r="AB444" s="21">
        <f t="shared" si="80"/>
        <v>44988</v>
      </c>
      <c r="AC444" s="21">
        <f t="shared" si="81"/>
        <v>45016</v>
      </c>
      <c r="AD444" s="5">
        <f>(Table1[[#This Row],[OrderDate]]-Table1[[#This Row],[Date of first order]])/30</f>
        <v>21.433333333333334</v>
      </c>
      <c r="AE444" t="str">
        <f t="shared" si="82"/>
        <v>Poor</v>
      </c>
      <c r="AF444">
        <f>COUNTIF(AE$2:AE445,AE444)</f>
        <v>317</v>
      </c>
      <c r="AG444" t="str">
        <f t="shared" si="83"/>
        <v>False</v>
      </c>
      <c r="AH444" s="7">
        <f>Table1[[#This Row],[UnitPrice]]*(1-Table1[[#This Row],[Disc Scenario]])*Table1[[#This Row],[Quantity]]</f>
        <v>5960.3340000000007</v>
      </c>
      <c r="AI444">
        <f>ROUNDDOWN((Table1[[#This Row],[Quantity]]*(1+20%)),0)</f>
        <v>36</v>
      </c>
      <c r="AJ444" s="7">
        <f>Table1[[#This Row],[Quantity increase by 20%]]*Table1[[#This Row],[UnitPrice]]</f>
        <v>8722.44</v>
      </c>
      <c r="AK444">
        <f>ROUNDDOWN(Table1[[#This Row],[Quantity]]*(1+20%),0)</f>
        <v>36</v>
      </c>
      <c r="AL444" s="7">
        <f>Table1[[#This Row],[UnitCost]]*(1+15%)</f>
        <v>123.08449999999999</v>
      </c>
      <c r="AM444" s="9">
        <f>Table1[[#This Row],[Quantity]]*Table1[[#This Row],[Cost of unit by inflation 15%]]</f>
        <v>3692.5349999999999</v>
      </c>
      <c r="AN444" s="21" cm="1">
        <f t="array" ref="AN444">_xlfn.UNIQUE(AC444)</f>
        <v>45016</v>
      </c>
    </row>
    <row r="445" spans="1:40" x14ac:dyDescent="0.35">
      <c r="A445" t="s">
        <v>563</v>
      </c>
      <c r="B445" s="21">
        <v>45633</v>
      </c>
      <c r="C445" s="10">
        <v>45652</v>
      </c>
      <c r="D445" s="3">
        <f t="shared" si="72"/>
        <v>19</v>
      </c>
      <c r="E445" s="10" t="str">
        <f t="shared" si="73"/>
        <v>Q4-2024</v>
      </c>
      <c r="F445" t="s">
        <v>648</v>
      </c>
      <c r="G445" t="s">
        <v>657</v>
      </c>
      <c r="H445" t="s">
        <v>682</v>
      </c>
      <c r="I445" t="s">
        <v>705</v>
      </c>
      <c r="J445" t="s">
        <v>707</v>
      </c>
      <c r="K445" t="s">
        <v>725</v>
      </c>
      <c r="L445" t="s">
        <v>728</v>
      </c>
      <c r="M445" t="s">
        <v>1279</v>
      </c>
      <c r="N445" s="3">
        <v>1035.24</v>
      </c>
      <c r="O445" s="3">
        <v>2383.41</v>
      </c>
      <c r="P445" s="6">
        <v>0.17</v>
      </c>
      <c r="Q445" s="6">
        <f>IF(Table1[[#This Row],[DiscountPct]]&gt;25%,25%,Table1[[#This Row],[DiscountPct]])</f>
        <v>0.17</v>
      </c>
      <c r="R445" s="5">
        <v>15</v>
      </c>
      <c r="S445" s="6">
        <f t="shared" si="74"/>
        <v>1.3022777326996637</v>
      </c>
      <c r="T445" s="8">
        <f t="shared" si="75"/>
        <v>29673.454499999993</v>
      </c>
      <c r="U445" s="8">
        <f t="shared" si="76"/>
        <v>15528.6</v>
      </c>
      <c r="V445" s="9">
        <f t="shared" si="77"/>
        <v>14144.854499999992</v>
      </c>
      <c r="W445" s="6">
        <f t="shared" si="78"/>
        <v>0.47668378145860962</v>
      </c>
      <c r="X445" t="str" cm="1">
        <f t="array" ref="X445">_xlfn.IFS(S445&lt;=25%, "Low", S445&lt;=75%, "Medium", S445&gt;75%, "High")</f>
        <v>High</v>
      </c>
      <c r="Y445" s="8">
        <f>Table1[[#This Row],[Quantity]]*(Table1[[#This Row],[UnitPrice]]*(1-Table1[[#This Row],[DiscountPct]]))</f>
        <v>29673.454499999996</v>
      </c>
      <c r="Z445" s="9">
        <f t="shared" si="79"/>
        <v>14144.854499999996</v>
      </c>
      <c r="AA445">
        <f>COUNTIF($G$2:G446,G445)</f>
        <v>38</v>
      </c>
      <c r="AB445" s="21">
        <f t="shared" si="80"/>
        <v>44988</v>
      </c>
      <c r="AC445" s="21">
        <f t="shared" si="81"/>
        <v>45016</v>
      </c>
      <c r="AD445" s="5">
        <f>(Table1[[#This Row],[OrderDate]]-Table1[[#This Row],[Date of first order]])/30</f>
        <v>21.5</v>
      </c>
      <c r="AE445" t="str">
        <f t="shared" si="82"/>
        <v>Poor</v>
      </c>
      <c r="AF445">
        <f>COUNTIF(AE$2:AE446,AE445)</f>
        <v>317</v>
      </c>
      <c r="AG445" t="str">
        <f t="shared" si="83"/>
        <v>False</v>
      </c>
      <c r="AH445" s="7">
        <f>Table1[[#This Row],[UnitPrice]]*(1-Table1[[#This Row],[Disc Scenario]])*Table1[[#This Row],[Quantity]]</f>
        <v>29673.454499999996</v>
      </c>
      <c r="AI445">
        <f>ROUNDDOWN((Table1[[#This Row],[Quantity]]*(1+20%)),0)</f>
        <v>18</v>
      </c>
      <c r="AJ445" s="7">
        <f>Table1[[#This Row],[Quantity increase by 20%]]*Table1[[#This Row],[UnitPrice]]</f>
        <v>42901.38</v>
      </c>
      <c r="AK445">
        <f>ROUNDDOWN(Table1[[#This Row],[Quantity]]*(1+20%),0)</f>
        <v>18</v>
      </c>
      <c r="AL445" s="7">
        <f>Table1[[#This Row],[UnitCost]]*(1+15%)</f>
        <v>1190.5259999999998</v>
      </c>
      <c r="AM445" s="9">
        <f>Table1[[#This Row],[Quantity]]*Table1[[#This Row],[Cost of unit by inflation 15%]]</f>
        <v>17857.89</v>
      </c>
      <c r="AN445" s="21" cm="1">
        <f t="array" ref="AN445">_xlfn.UNIQUE(AC445)</f>
        <v>45016</v>
      </c>
    </row>
    <row r="446" spans="1:40" x14ac:dyDescent="0.35">
      <c r="A446" t="s">
        <v>498</v>
      </c>
      <c r="B446" s="21">
        <v>45634</v>
      </c>
      <c r="C446" s="10">
        <v>45634</v>
      </c>
      <c r="D446" s="3">
        <f t="shared" si="72"/>
        <v>0</v>
      </c>
      <c r="E446" s="10" t="str">
        <f t="shared" si="73"/>
        <v>Q4-2024</v>
      </c>
      <c r="F446" t="s">
        <v>648</v>
      </c>
      <c r="G446" t="s">
        <v>656</v>
      </c>
      <c r="H446" t="s">
        <v>678</v>
      </c>
      <c r="I446" t="s">
        <v>705</v>
      </c>
      <c r="J446" t="s">
        <v>706</v>
      </c>
      <c r="K446" t="s">
        <v>721</v>
      </c>
      <c r="L446" t="s">
        <v>726</v>
      </c>
      <c r="M446" t="s">
        <v>1215</v>
      </c>
      <c r="N446" s="3">
        <v>257.44</v>
      </c>
      <c r="O446" s="3">
        <v>290.33</v>
      </c>
      <c r="P446" s="6">
        <v>9.1999999999999998E-2</v>
      </c>
      <c r="Q446" s="6">
        <f>IF(Table1[[#This Row],[DiscountPct]]&gt;25%,25%,Table1[[#This Row],[DiscountPct]])</f>
        <v>9.1999999999999998E-2</v>
      </c>
      <c r="R446" s="5">
        <v>23</v>
      </c>
      <c r="S446" s="6">
        <f t="shared" si="74"/>
        <v>0.12775792417650708</v>
      </c>
      <c r="T446" s="8">
        <f t="shared" si="75"/>
        <v>6063.2517199999993</v>
      </c>
      <c r="U446" s="8">
        <f t="shared" si="76"/>
        <v>5921.12</v>
      </c>
      <c r="V446" s="9">
        <f t="shared" si="77"/>
        <v>142.1317199999994</v>
      </c>
      <c r="W446" s="6">
        <f t="shared" si="78"/>
        <v>2.3441500792581216E-2</v>
      </c>
      <c r="X446" t="str" cm="1">
        <f t="array" ref="X446">_xlfn.IFS(S446&lt;=25%, "Low", S446&lt;=75%, "Medium", S446&gt;75%, "High")</f>
        <v>Low</v>
      </c>
      <c r="Y446" s="8">
        <f>Table1[[#This Row],[Quantity]]*(Table1[[#This Row],[UnitPrice]]*(1-Table1[[#This Row],[DiscountPct]]))</f>
        <v>6063.2517200000002</v>
      </c>
      <c r="Z446" s="9">
        <f t="shared" si="79"/>
        <v>142.13172000000031</v>
      </c>
      <c r="AA446">
        <f>COUNTIF($G$2:G447,G446)</f>
        <v>38</v>
      </c>
      <c r="AB446" s="21">
        <f t="shared" si="80"/>
        <v>44988</v>
      </c>
      <c r="AC446" s="21">
        <f t="shared" si="81"/>
        <v>45016</v>
      </c>
      <c r="AD446" s="5">
        <f>(Table1[[#This Row],[OrderDate]]-Table1[[#This Row],[Date of first order]])/30</f>
        <v>21.533333333333335</v>
      </c>
      <c r="AE446" t="str">
        <f t="shared" si="82"/>
        <v>Good</v>
      </c>
      <c r="AF446">
        <f>COUNTIF(AE$2:AE447,AE446)</f>
        <v>128</v>
      </c>
      <c r="AG446" t="str">
        <f t="shared" si="83"/>
        <v>False</v>
      </c>
      <c r="AH446" s="7">
        <f>Table1[[#This Row],[UnitPrice]]*(1-Table1[[#This Row],[Disc Scenario]])*Table1[[#This Row],[Quantity]]</f>
        <v>6063.2517200000002</v>
      </c>
      <c r="AI446">
        <f>ROUNDDOWN((Table1[[#This Row],[Quantity]]*(1+20%)),0)</f>
        <v>27</v>
      </c>
      <c r="AJ446" s="7">
        <f>Table1[[#This Row],[Quantity increase by 20%]]*Table1[[#This Row],[UnitPrice]]</f>
        <v>7838.91</v>
      </c>
      <c r="AK446">
        <f>ROUNDDOWN(Table1[[#This Row],[Quantity]]*(1+20%),0)</f>
        <v>27</v>
      </c>
      <c r="AL446" s="7">
        <f>Table1[[#This Row],[UnitCost]]*(1+15%)</f>
        <v>296.05599999999998</v>
      </c>
      <c r="AM446" s="9">
        <f>Table1[[#This Row],[Quantity]]*Table1[[#This Row],[Cost of unit by inflation 15%]]</f>
        <v>6809.2879999999996</v>
      </c>
      <c r="AN446" s="21" cm="1">
        <f t="array" ref="AN446">_xlfn.UNIQUE(AC446)</f>
        <v>45016</v>
      </c>
    </row>
    <row r="447" spans="1:40" x14ac:dyDescent="0.35">
      <c r="A447" t="s">
        <v>31</v>
      </c>
      <c r="B447" s="21">
        <v>45636</v>
      </c>
      <c r="C447" s="10">
        <v>45665</v>
      </c>
      <c r="D447" s="3">
        <f t="shared" si="72"/>
        <v>29</v>
      </c>
      <c r="E447" s="10" t="str">
        <f t="shared" si="73"/>
        <v>Q4-2024</v>
      </c>
      <c r="F447" t="s">
        <v>648</v>
      </c>
      <c r="G447" t="s">
        <v>656</v>
      </c>
      <c r="H447" t="s">
        <v>672</v>
      </c>
      <c r="I447" t="s">
        <v>704</v>
      </c>
      <c r="J447" t="s">
        <v>706</v>
      </c>
      <c r="K447" t="s">
        <v>722</v>
      </c>
      <c r="L447" t="s">
        <v>727</v>
      </c>
      <c r="M447" t="s">
        <v>749</v>
      </c>
      <c r="N447" s="3">
        <v>891.08</v>
      </c>
      <c r="O447" s="3">
        <v>1040.0999999999999</v>
      </c>
      <c r="P447" s="6">
        <v>0.109</v>
      </c>
      <c r="Q447" s="6">
        <f>IF(Table1[[#This Row],[DiscountPct]]&gt;25%,25%,Table1[[#This Row],[DiscountPct]])</f>
        <v>0.109</v>
      </c>
      <c r="R447" s="5">
        <v>28</v>
      </c>
      <c r="S447" s="6">
        <f t="shared" si="74"/>
        <v>0.16723526507159836</v>
      </c>
      <c r="T447" s="8">
        <f t="shared" si="75"/>
        <v>25948.414799999995</v>
      </c>
      <c r="U447" s="8">
        <f t="shared" si="76"/>
        <v>24950.240000000002</v>
      </c>
      <c r="V447" s="9">
        <f t="shared" si="77"/>
        <v>998.17479999999341</v>
      </c>
      <c r="W447" s="6">
        <f t="shared" si="78"/>
        <v>3.8467660074556598E-2</v>
      </c>
      <c r="X447" t="str" cm="1">
        <f t="array" ref="X447">_xlfn.IFS(S447&lt;=25%, "Low", S447&lt;=75%, "Medium", S447&gt;75%, "High")</f>
        <v>Low</v>
      </c>
      <c r="Y447" s="8">
        <f>Table1[[#This Row],[Quantity]]*(Table1[[#This Row],[UnitPrice]]*(1-Table1[[#This Row],[DiscountPct]]))</f>
        <v>25948.414799999999</v>
      </c>
      <c r="Z447" s="9">
        <f t="shared" si="79"/>
        <v>998.17479999999705</v>
      </c>
      <c r="AA447">
        <f>COUNTIF($G$2:G448,G447)</f>
        <v>38</v>
      </c>
      <c r="AB447" s="21">
        <f t="shared" si="80"/>
        <v>44988</v>
      </c>
      <c r="AC447" s="21">
        <f t="shared" si="81"/>
        <v>45016</v>
      </c>
      <c r="AD447" s="5">
        <f>(Table1[[#This Row],[OrderDate]]-Table1[[#This Row],[Date of first order]])/30</f>
        <v>21.6</v>
      </c>
      <c r="AE447" t="str">
        <f t="shared" si="82"/>
        <v>Poor</v>
      </c>
      <c r="AF447">
        <f>COUNTIF(AE$2:AE448,AE447)</f>
        <v>319</v>
      </c>
      <c r="AG447" t="str">
        <f t="shared" si="83"/>
        <v>False</v>
      </c>
      <c r="AH447" s="7">
        <f>Table1[[#This Row],[UnitPrice]]*(1-Table1[[#This Row],[Disc Scenario]])*Table1[[#This Row],[Quantity]]</f>
        <v>25948.414799999999</v>
      </c>
      <c r="AI447">
        <f>ROUNDDOWN((Table1[[#This Row],[Quantity]]*(1+20%)),0)</f>
        <v>33</v>
      </c>
      <c r="AJ447" s="7">
        <f>Table1[[#This Row],[Quantity increase by 20%]]*Table1[[#This Row],[UnitPrice]]</f>
        <v>34323.299999999996</v>
      </c>
      <c r="AK447">
        <f>ROUNDDOWN(Table1[[#This Row],[Quantity]]*(1+20%),0)</f>
        <v>33</v>
      </c>
      <c r="AL447" s="7">
        <f>Table1[[#This Row],[UnitCost]]*(1+15%)</f>
        <v>1024.742</v>
      </c>
      <c r="AM447" s="9">
        <f>Table1[[#This Row],[Quantity]]*Table1[[#This Row],[Cost of unit by inflation 15%]]</f>
        <v>28692.775999999998</v>
      </c>
      <c r="AN447" s="21" cm="1">
        <f t="array" ref="AN447">_xlfn.UNIQUE(AC447)</f>
        <v>45016</v>
      </c>
    </row>
    <row r="448" spans="1:40" x14ac:dyDescent="0.35">
      <c r="A448" t="s">
        <v>446</v>
      </c>
      <c r="B448" s="21">
        <v>45636</v>
      </c>
      <c r="C448" s="10">
        <v>45645</v>
      </c>
      <c r="D448" s="3">
        <f t="shared" si="72"/>
        <v>9</v>
      </c>
      <c r="E448" s="10" t="str">
        <f t="shared" si="73"/>
        <v>Q4-2024</v>
      </c>
      <c r="F448" t="s">
        <v>645</v>
      </c>
      <c r="G448" t="s">
        <v>650</v>
      </c>
      <c r="H448" t="s">
        <v>664</v>
      </c>
      <c r="I448" t="s">
        <v>700</v>
      </c>
      <c r="J448" t="s">
        <v>706</v>
      </c>
      <c r="K448" t="s">
        <v>718</v>
      </c>
      <c r="L448" t="s">
        <v>731</v>
      </c>
      <c r="M448" t="s">
        <v>1163</v>
      </c>
      <c r="N448" s="3">
        <v>488.68</v>
      </c>
      <c r="O448" s="3">
        <v>984.36</v>
      </c>
      <c r="P448" s="6">
        <v>5.8999999999999997E-2</v>
      </c>
      <c r="Q448" s="6">
        <f>IF(Table1[[#This Row],[DiscountPct]]&gt;25%,25%,Table1[[#This Row],[DiscountPct]])</f>
        <v>5.8999999999999997E-2</v>
      </c>
      <c r="R448" s="5">
        <v>14</v>
      </c>
      <c r="S448" s="6">
        <f t="shared" si="74"/>
        <v>1.01432430220185</v>
      </c>
      <c r="T448" s="8">
        <f t="shared" si="75"/>
        <v>12967.958640000001</v>
      </c>
      <c r="U448" s="8">
        <f t="shared" si="76"/>
        <v>6841.52</v>
      </c>
      <c r="V448" s="9">
        <f t="shared" si="77"/>
        <v>6126.4386400000003</v>
      </c>
      <c r="W448" s="6">
        <f t="shared" si="78"/>
        <v>0.47242891576649876</v>
      </c>
      <c r="X448" t="str" cm="1">
        <f t="array" ref="X448">_xlfn.IFS(S448&lt;=25%, "Low", S448&lt;=75%, "Medium", S448&gt;75%, "High")</f>
        <v>High</v>
      </c>
      <c r="Y448" s="8">
        <f>Table1[[#This Row],[Quantity]]*(Table1[[#This Row],[UnitPrice]]*(1-Table1[[#This Row],[DiscountPct]]))</f>
        <v>12967.958640000001</v>
      </c>
      <c r="Z448" s="9">
        <f t="shared" si="79"/>
        <v>6126.4386400000003</v>
      </c>
      <c r="AA448">
        <f>COUNTIF($G$2:G449,G448)</f>
        <v>31</v>
      </c>
      <c r="AB448" s="21">
        <f t="shared" si="80"/>
        <v>44988</v>
      </c>
      <c r="AC448" s="21">
        <f t="shared" si="81"/>
        <v>45016</v>
      </c>
      <c r="AD448" s="5">
        <f>(Table1[[#This Row],[OrderDate]]-Table1[[#This Row],[Date of first order]])/30</f>
        <v>21.6</v>
      </c>
      <c r="AE448" t="str">
        <f t="shared" si="82"/>
        <v>Poor</v>
      </c>
      <c r="AF448">
        <f>COUNTIF(AE$2:AE449,AE448)</f>
        <v>320</v>
      </c>
      <c r="AG448" t="str">
        <f t="shared" si="83"/>
        <v>False</v>
      </c>
      <c r="AH448" s="7">
        <f>Table1[[#This Row],[UnitPrice]]*(1-Table1[[#This Row],[Disc Scenario]])*Table1[[#This Row],[Quantity]]</f>
        <v>12967.958640000001</v>
      </c>
      <c r="AI448">
        <f>ROUNDDOWN((Table1[[#This Row],[Quantity]]*(1+20%)),0)</f>
        <v>16</v>
      </c>
      <c r="AJ448" s="7">
        <f>Table1[[#This Row],[Quantity increase by 20%]]*Table1[[#This Row],[UnitPrice]]</f>
        <v>15749.76</v>
      </c>
      <c r="AK448">
        <f>ROUNDDOWN(Table1[[#This Row],[Quantity]]*(1+20%),0)</f>
        <v>16</v>
      </c>
      <c r="AL448" s="7">
        <f>Table1[[#This Row],[UnitCost]]*(1+15%)</f>
        <v>561.98199999999997</v>
      </c>
      <c r="AM448" s="9">
        <f>Table1[[#This Row],[Quantity]]*Table1[[#This Row],[Cost of unit by inflation 15%]]</f>
        <v>7867.7479999999996</v>
      </c>
      <c r="AN448" s="21" cm="1">
        <f t="array" ref="AN448">_xlfn.UNIQUE(AC448)</f>
        <v>45016</v>
      </c>
    </row>
    <row r="449" spans="1:40" x14ac:dyDescent="0.35">
      <c r="A449" t="s">
        <v>410</v>
      </c>
      <c r="B449" s="21">
        <v>45638</v>
      </c>
      <c r="C449" s="10">
        <v>45646</v>
      </c>
      <c r="D449" s="3">
        <f t="shared" si="72"/>
        <v>8</v>
      </c>
      <c r="E449" s="10" t="str">
        <f t="shared" si="73"/>
        <v>Q4-2024</v>
      </c>
      <c r="F449" t="s">
        <v>646</v>
      </c>
      <c r="G449" t="s">
        <v>651</v>
      </c>
      <c r="H449" t="s">
        <v>688</v>
      </c>
      <c r="I449" t="s">
        <v>700</v>
      </c>
      <c r="J449" t="s">
        <v>706</v>
      </c>
      <c r="K449" t="s">
        <v>716</v>
      </c>
      <c r="L449" t="s">
        <v>730</v>
      </c>
      <c r="M449" t="s">
        <v>1127</v>
      </c>
      <c r="N449" s="3">
        <v>1202.47</v>
      </c>
      <c r="O449" s="3">
        <v>1444.72</v>
      </c>
      <c r="P449" s="6">
        <v>0.24099999999999999</v>
      </c>
      <c r="Q449" s="6">
        <f>IF(Table1[[#This Row],[DiscountPct]]&gt;25%,25%,Table1[[#This Row],[DiscountPct]])</f>
        <v>0.24099999999999999</v>
      </c>
      <c r="R449" s="5">
        <v>17</v>
      </c>
      <c r="S449" s="6">
        <f t="shared" si="74"/>
        <v>0.20146032749257778</v>
      </c>
      <c r="T449" s="8">
        <f t="shared" si="75"/>
        <v>18641.222160000001</v>
      </c>
      <c r="U449" s="8">
        <f t="shared" si="76"/>
        <v>20441.990000000002</v>
      </c>
      <c r="V449" s="9">
        <f t="shared" si="77"/>
        <v>-1800.7678400000004</v>
      </c>
      <c r="W449" s="6">
        <f t="shared" si="78"/>
        <v>-9.6601382921343834E-2</v>
      </c>
      <c r="X449" t="str" cm="1">
        <f t="array" ref="X449">_xlfn.IFS(S449&lt;=25%, "Low", S449&lt;=75%, "Medium", S449&gt;75%, "High")</f>
        <v>Low</v>
      </c>
      <c r="Y449" s="8">
        <f>Table1[[#This Row],[Quantity]]*(Table1[[#This Row],[UnitPrice]]*(1-Table1[[#This Row],[DiscountPct]]))</f>
        <v>18641.222160000001</v>
      </c>
      <c r="Z449" s="9">
        <f t="shared" si="79"/>
        <v>-1800.7678400000004</v>
      </c>
      <c r="AA449">
        <f>COUNTIF($G$2:G450,G449)</f>
        <v>38</v>
      </c>
      <c r="AB449" s="21">
        <f t="shared" si="80"/>
        <v>44988</v>
      </c>
      <c r="AC449" s="21">
        <f t="shared" si="81"/>
        <v>45016</v>
      </c>
      <c r="AD449" s="5">
        <f>(Table1[[#This Row],[OrderDate]]-Table1[[#This Row],[Date of first order]])/30</f>
        <v>21.666666666666668</v>
      </c>
      <c r="AE449" t="str">
        <f t="shared" si="82"/>
        <v>Poor</v>
      </c>
      <c r="AF449">
        <f>COUNTIF(AE$2:AE450,AE449)</f>
        <v>321</v>
      </c>
      <c r="AG449" t="str">
        <f t="shared" si="83"/>
        <v>True</v>
      </c>
      <c r="AH449" s="7">
        <f>Table1[[#This Row],[UnitPrice]]*(1-Table1[[#This Row],[Disc Scenario]])*Table1[[#This Row],[Quantity]]</f>
        <v>18641.222160000001</v>
      </c>
      <c r="AI449">
        <f>ROUNDDOWN((Table1[[#This Row],[Quantity]]*(1+20%)),0)</f>
        <v>20</v>
      </c>
      <c r="AJ449" s="7">
        <f>Table1[[#This Row],[Quantity increase by 20%]]*Table1[[#This Row],[UnitPrice]]</f>
        <v>28894.400000000001</v>
      </c>
      <c r="AK449">
        <f>ROUNDDOWN(Table1[[#This Row],[Quantity]]*(1+20%),0)</f>
        <v>20</v>
      </c>
      <c r="AL449" s="7">
        <f>Table1[[#This Row],[UnitCost]]*(1+15%)</f>
        <v>1382.8405</v>
      </c>
      <c r="AM449" s="9">
        <f>Table1[[#This Row],[Quantity]]*Table1[[#This Row],[Cost of unit by inflation 15%]]</f>
        <v>23508.288499999999</v>
      </c>
      <c r="AN449" s="21" cm="1">
        <f t="array" ref="AN449">_xlfn.UNIQUE(AC449)</f>
        <v>45016</v>
      </c>
    </row>
    <row r="450" spans="1:40" x14ac:dyDescent="0.35">
      <c r="A450" t="s">
        <v>150</v>
      </c>
      <c r="B450" s="21">
        <v>45640</v>
      </c>
      <c r="C450" s="10">
        <v>45669</v>
      </c>
      <c r="D450" s="3">
        <f t="shared" ref="D450:D513" si="84">DATEDIF(B450,C450,"d")</f>
        <v>29</v>
      </c>
      <c r="E450" s="10" t="str">
        <f t="shared" ref="E450:E513" si="85">"Q"&amp;ROUNDUP(MONTH(B450)/3,0)&amp; "-" &amp;YEAR(B450)</f>
        <v>Q4-2024</v>
      </c>
      <c r="F450" t="s">
        <v>646</v>
      </c>
      <c r="G450" t="s">
        <v>658</v>
      </c>
      <c r="H450" t="s">
        <v>675</v>
      </c>
      <c r="I450" t="s">
        <v>701</v>
      </c>
      <c r="J450" t="s">
        <v>707</v>
      </c>
      <c r="K450" t="s">
        <v>712</v>
      </c>
      <c r="L450" t="s">
        <v>726</v>
      </c>
      <c r="M450" t="s">
        <v>868</v>
      </c>
      <c r="N450" s="3">
        <v>1412.15</v>
      </c>
      <c r="O450" s="3">
        <v>1631.04</v>
      </c>
      <c r="P450" s="6">
        <v>8.9999999999999993E-3</v>
      </c>
      <c r="Q450" s="6">
        <f>IF(Table1[[#This Row],[DiscountPct]]&gt;25%,25%,Table1[[#This Row],[DiscountPct]])</f>
        <v>8.9999999999999993E-3</v>
      </c>
      <c r="R450" s="5">
        <v>6</v>
      </c>
      <c r="S450" s="6">
        <f t="shared" ref="S450:S513" si="86">(O450-N450)/N450</f>
        <v>0.15500477994547313</v>
      </c>
      <c r="T450" s="8">
        <f t="shared" ref="T450:T513" si="87">O450*R450*(1-P450)</f>
        <v>9698.1638399999993</v>
      </c>
      <c r="U450" s="8">
        <f t="shared" ref="U450:U513" si="88">N450*R450</f>
        <v>8472.9000000000015</v>
      </c>
      <c r="V450" s="9">
        <f t="shared" ref="V450:V513" si="89">T450-U450</f>
        <v>1225.2638399999978</v>
      </c>
      <c r="W450" s="6">
        <f t="shared" ref="W450:W513" si="90">V450/T450</f>
        <v>0.12633977526203535</v>
      </c>
      <c r="X450" t="str" cm="1">
        <f t="array" ref="X450">_xlfn.IFS(S450&lt;=25%, "Low", S450&lt;=75%, "Medium", S450&gt;75%, "High")</f>
        <v>Low</v>
      </c>
      <c r="Y450" s="8">
        <f>Table1[[#This Row],[Quantity]]*(Table1[[#This Row],[UnitPrice]]*(1-Table1[[#This Row],[DiscountPct]]))</f>
        <v>9698.1638399999993</v>
      </c>
      <c r="Z450" s="9">
        <f t="shared" ref="Z450:Z513" si="91">Y450-(N450*R450)</f>
        <v>1225.2638399999978</v>
      </c>
      <c r="AA450">
        <f>COUNTIF($G$2:G451,G450)</f>
        <v>39</v>
      </c>
      <c r="AB450" s="21">
        <f t="shared" ref="AB450:AB513" si="92">IF(AA450=1,B450,AB449)</f>
        <v>44988</v>
      </c>
      <c r="AC450" s="21">
        <f t="shared" ref="AC450:AC513" si="93">EOMONTH(AB450,0)</f>
        <v>45016</v>
      </c>
      <c r="AD450" s="5">
        <f>(Table1[[#This Row],[OrderDate]]-Table1[[#This Row],[Date of first order]])/30</f>
        <v>21.733333333333334</v>
      </c>
      <c r="AE450" t="str">
        <f t="shared" ref="AE450:AE513" si="94">IF(D450&lt;=7,"Good","Poor")</f>
        <v>Poor</v>
      </c>
      <c r="AF450">
        <f>COUNTIF(AE$2:AE451,AE450)</f>
        <v>321</v>
      </c>
      <c r="AG450" t="str">
        <f t="shared" ref="AG450:AG513" si="95">IF(P450&gt;20%,"True","False")</f>
        <v>False</v>
      </c>
      <c r="AH450" s="7">
        <f>Table1[[#This Row],[UnitPrice]]*(1-Table1[[#This Row],[Disc Scenario]])*Table1[[#This Row],[Quantity]]</f>
        <v>9698.1638399999993</v>
      </c>
      <c r="AI450">
        <f>ROUNDDOWN((Table1[[#This Row],[Quantity]]*(1+20%)),0)</f>
        <v>7</v>
      </c>
      <c r="AJ450" s="7">
        <f>Table1[[#This Row],[Quantity increase by 20%]]*Table1[[#This Row],[UnitPrice]]</f>
        <v>11417.279999999999</v>
      </c>
      <c r="AK450">
        <f>ROUNDDOWN(Table1[[#This Row],[Quantity]]*(1+20%),0)</f>
        <v>7</v>
      </c>
      <c r="AL450" s="7">
        <f>Table1[[#This Row],[UnitCost]]*(1+15%)</f>
        <v>1623.9725000000001</v>
      </c>
      <c r="AM450" s="9">
        <f>Table1[[#This Row],[Quantity]]*Table1[[#This Row],[Cost of unit by inflation 15%]]</f>
        <v>9743.8350000000009</v>
      </c>
      <c r="AN450" s="21" cm="1">
        <f t="array" ref="AN450">_xlfn.UNIQUE(AC450)</f>
        <v>45016</v>
      </c>
    </row>
    <row r="451" spans="1:40" x14ac:dyDescent="0.35">
      <c r="A451" t="s">
        <v>88</v>
      </c>
      <c r="B451" s="21">
        <v>45641</v>
      </c>
      <c r="C451" s="10">
        <v>45646</v>
      </c>
      <c r="D451" s="3">
        <f t="shared" si="84"/>
        <v>5</v>
      </c>
      <c r="E451" s="10" t="str">
        <f t="shared" si="85"/>
        <v>Q4-2024</v>
      </c>
      <c r="F451" t="s">
        <v>646</v>
      </c>
      <c r="G451" t="s">
        <v>658</v>
      </c>
      <c r="H451" t="s">
        <v>675</v>
      </c>
      <c r="I451" t="s">
        <v>704</v>
      </c>
      <c r="J451" t="s">
        <v>710</v>
      </c>
      <c r="K451" t="s">
        <v>712</v>
      </c>
      <c r="L451" t="s">
        <v>728</v>
      </c>
      <c r="M451" t="s">
        <v>806</v>
      </c>
      <c r="N451" s="3">
        <v>717.55</v>
      </c>
      <c r="O451" s="3">
        <v>1305.9409999999998</v>
      </c>
      <c r="P451" s="6">
        <v>4.7E-2</v>
      </c>
      <c r="Q451" s="6">
        <f>IF(Table1[[#This Row],[DiscountPct]]&gt;25%,25%,Table1[[#This Row],[DiscountPct]])</f>
        <v>4.7E-2</v>
      </c>
      <c r="R451" s="5">
        <v>18</v>
      </c>
      <c r="S451" s="6">
        <f t="shared" si="86"/>
        <v>0.81999999999999984</v>
      </c>
      <c r="T451" s="8">
        <f t="shared" si="87"/>
        <v>22402.111913999994</v>
      </c>
      <c r="U451" s="8">
        <f t="shared" si="88"/>
        <v>12915.9</v>
      </c>
      <c r="V451" s="9">
        <f t="shared" si="89"/>
        <v>9486.2119139999941</v>
      </c>
      <c r="W451" s="6">
        <f t="shared" si="90"/>
        <v>0.42345167948525753</v>
      </c>
      <c r="X451" t="str" cm="1">
        <f t="array" ref="X451">_xlfn.IFS(S451&lt;=25%, "Low", S451&lt;=75%, "Medium", S451&gt;75%, "High")</f>
        <v>High</v>
      </c>
      <c r="Y451" s="8">
        <f>Table1[[#This Row],[Quantity]]*(Table1[[#This Row],[UnitPrice]]*(1-Table1[[#This Row],[DiscountPct]]))</f>
        <v>22402.111913999994</v>
      </c>
      <c r="Z451" s="9">
        <f t="shared" si="91"/>
        <v>9486.2119139999941</v>
      </c>
      <c r="AA451">
        <f>COUNTIF($G$2:G452,G451)</f>
        <v>39</v>
      </c>
      <c r="AB451" s="21">
        <f t="shared" si="92"/>
        <v>44988</v>
      </c>
      <c r="AC451" s="21">
        <f t="shared" si="93"/>
        <v>45016</v>
      </c>
      <c r="AD451" s="5">
        <f>(Table1[[#This Row],[OrderDate]]-Table1[[#This Row],[Date of first order]])/30</f>
        <v>21.766666666666666</v>
      </c>
      <c r="AE451" t="str">
        <f t="shared" si="94"/>
        <v>Good</v>
      </c>
      <c r="AF451">
        <f>COUNTIF(AE$2:AE452,AE451)</f>
        <v>129</v>
      </c>
      <c r="AG451" t="str">
        <f t="shared" si="95"/>
        <v>False</v>
      </c>
      <c r="AH451" s="7">
        <f>Table1[[#This Row],[UnitPrice]]*(1-Table1[[#This Row],[Disc Scenario]])*Table1[[#This Row],[Quantity]]</f>
        <v>22402.111913999994</v>
      </c>
      <c r="AI451">
        <f>ROUNDDOWN((Table1[[#This Row],[Quantity]]*(1+20%)),0)</f>
        <v>21</v>
      </c>
      <c r="AJ451" s="7">
        <f>Table1[[#This Row],[Quantity increase by 20%]]*Table1[[#This Row],[UnitPrice]]</f>
        <v>27424.760999999995</v>
      </c>
      <c r="AK451">
        <f>ROUNDDOWN(Table1[[#This Row],[Quantity]]*(1+20%),0)</f>
        <v>21</v>
      </c>
      <c r="AL451" s="7">
        <f>Table1[[#This Row],[UnitCost]]*(1+15%)</f>
        <v>825.18249999999989</v>
      </c>
      <c r="AM451" s="9">
        <f>Table1[[#This Row],[Quantity]]*Table1[[#This Row],[Cost of unit by inflation 15%]]</f>
        <v>14853.284999999998</v>
      </c>
      <c r="AN451" s="21" cm="1">
        <f t="array" ref="AN451">_xlfn.UNIQUE(AC451)</f>
        <v>45016</v>
      </c>
    </row>
    <row r="452" spans="1:40" x14ac:dyDescent="0.35">
      <c r="A452" t="s">
        <v>630</v>
      </c>
      <c r="B452" s="21">
        <v>45643</v>
      </c>
      <c r="C452" s="10">
        <v>45673</v>
      </c>
      <c r="D452" s="3">
        <f t="shared" si="84"/>
        <v>30</v>
      </c>
      <c r="E452" s="10" t="str">
        <f t="shared" si="85"/>
        <v>Q4-2024</v>
      </c>
      <c r="F452" t="s">
        <v>648</v>
      </c>
      <c r="G452" t="s">
        <v>657</v>
      </c>
      <c r="H452" t="s">
        <v>692</v>
      </c>
      <c r="I452" t="s">
        <v>700</v>
      </c>
      <c r="J452" t="s">
        <v>706</v>
      </c>
      <c r="K452" t="s">
        <v>725</v>
      </c>
      <c r="L452" t="s">
        <v>731</v>
      </c>
      <c r="M452" t="s">
        <v>1346</v>
      </c>
      <c r="N452" s="3">
        <v>722.87</v>
      </c>
      <c r="O452" s="3">
        <v>1619.2288000000001</v>
      </c>
      <c r="P452" s="6">
        <v>0.10199999999999999</v>
      </c>
      <c r="Q452" s="6">
        <f>IF(Table1[[#This Row],[DiscountPct]]&gt;25%,25%,Table1[[#This Row],[DiscountPct]])</f>
        <v>0.10199999999999999</v>
      </c>
      <c r="R452" s="5">
        <v>28</v>
      </c>
      <c r="S452" s="6">
        <f t="shared" si="86"/>
        <v>1.2400000000000002</v>
      </c>
      <c r="T452" s="8">
        <f t="shared" si="87"/>
        <v>40713.888947200001</v>
      </c>
      <c r="U452" s="8">
        <f t="shared" si="88"/>
        <v>20240.36</v>
      </c>
      <c r="V452" s="9">
        <f t="shared" si="89"/>
        <v>20473.5289472</v>
      </c>
      <c r="W452" s="6">
        <f t="shared" si="90"/>
        <v>0.50286350620426346</v>
      </c>
      <c r="X452" t="str" cm="1">
        <f t="array" ref="X452">_xlfn.IFS(S452&lt;=25%, "Low", S452&lt;=75%, "Medium", S452&gt;75%, "High")</f>
        <v>High</v>
      </c>
      <c r="Y452" s="8">
        <f>Table1[[#This Row],[Quantity]]*(Table1[[#This Row],[UnitPrice]]*(1-Table1[[#This Row],[DiscountPct]]))</f>
        <v>40713.888947200001</v>
      </c>
      <c r="Z452" s="9">
        <f t="shared" si="91"/>
        <v>20473.5289472</v>
      </c>
      <c r="AA452">
        <f>COUNTIF($G$2:G453,G452)</f>
        <v>39</v>
      </c>
      <c r="AB452" s="21">
        <f t="shared" si="92"/>
        <v>44988</v>
      </c>
      <c r="AC452" s="21">
        <f t="shared" si="93"/>
        <v>45016</v>
      </c>
      <c r="AD452" s="5">
        <f>(Table1[[#This Row],[OrderDate]]-Table1[[#This Row],[Date of first order]])/30</f>
        <v>21.833333333333332</v>
      </c>
      <c r="AE452" t="str">
        <f t="shared" si="94"/>
        <v>Poor</v>
      </c>
      <c r="AF452">
        <f>COUNTIF(AE$2:AE453,AE452)</f>
        <v>322</v>
      </c>
      <c r="AG452" t="str">
        <f t="shared" si="95"/>
        <v>False</v>
      </c>
      <c r="AH452" s="7">
        <f>Table1[[#This Row],[UnitPrice]]*(1-Table1[[#This Row],[Disc Scenario]])*Table1[[#This Row],[Quantity]]</f>
        <v>40713.888947200001</v>
      </c>
      <c r="AI452">
        <f>ROUNDDOWN((Table1[[#This Row],[Quantity]]*(1+20%)),0)</f>
        <v>33</v>
      </c>
      <c r="AJ452" s="7">
        <f>Table1[[#This Row],[Quantity increase by 20%]]*Table1[[#This Row],[UnitPrice]]</f>
        <v>53434.5504</v>
      </c>
      <c r="AK452">
        <f>ROUNDDOWN(Table1[[#This Row],[Quantity]]*(1+20%),0)</f>
        <v>33</v>
      </c>
      <c r="AL452" s="7">
        <f>Table1[[#This Row],[UnitCost]]*(1+15%)</f>
        <v>831.30049999999994</v>
      </c>
      <c r="AM452" s="9">
        <f>Table1[[#This Row],[Quantity]]*Table1[[#This Row],[Cost of unit by inflation 15%]]</f>
        <v>23276.413999999997</v>
      </c>
      <c r="AN452" s="21" cm="1">
        <f t="array" ref="AN452">_xlfn.UNIQUE(AC452)</f>
        <v>45016</v>
      </c>
    </row>
    <row r="453" spans="1:40" x14ac:dyDescent="0.35">
      <c r="A453" t="s">
        <v>72</v>
      </c>
      <c r="B453" s="21">
        <v>45643</v>
      </c>
      <c r="C453" s="10">
        <v>45644</v>
      </c>
      <c r="D453" s="3">
        <f t="shared" si="84"/>
        <v>1</v>
      </c>
      <c r="E453" s="10" t="str">
        <f t="shared" si="85"/>
        <v>Q4-2024</v>
      </c>
      <c r="F453" t="s">
        <v>648</v>
      </c>
      <c r="G453" t="s">
        <v>655</v>
      </c>
      <c r="H453" t="s">
        <v>683</v>
      </c>
      <c r="I453" t="s">
        <v>701</v>
      </c>
      <c r="J453" t="s">
        <v>706</v>
      </c>
      <c r="K453" t="s">
        <v>715</v>
      </c>
      <c r="L453" t="s">
        <v>732</v>
      </c>
      <c r="M453" t="s">
        <v>790</v>
      </c>
      <c r="N453" s="3">
        <v>346.82</v>
      </c>
      <c r="O453" s="3">
        <v>701.95</v>
      </c>
      <c r="P453" s="6">
        <v>0.14699999999999999</v>
      </c>
      <c r="Q453" s="6">
        <f>IF(Table1[[#This Row],[DiscountPct]]&gt;25%,25%,Table1[[#This Row],[DiscountPct]])</f>
        <v>0.14699999999999999</v>
      </c>
      <c r="R453" s="5">
        <v>8</v>
      </c>
      <c r="S453" s="6">
        <f t="shared" si="86"/>
        <v>1.0239605559079639</v>
      </c>
      <c r="T453" s="8">
        <f t="shared" si="87"/>
        <v>4790.1068000000005</v>
      </c>
      <c r="U453" s="8">
        <f t="shared" si="88"/>
        <v>2774.56</v>
      </c>
      <c r="V453" s="9">
        <f t="shared" si="89"/>
        <v>2015.5468000000005</v>
      </c>
      <c r="W453" s="6">
        <f t="shared" si="90"/>
        <v>0.42077283120284509</v>
      </c>
      <c r="X453" t="str" cm="1">
        <f t="array" ref="X453">_xlfn.IFS(S453&lt;=25%, "Low", S453&lt;=75%, "Medium", S453&gt;75%, "High")</f>
        <v>High</v>
      </c>
      <c r="Y453" s="8">
        <f>Table1[[#This Row],[Quantity]]*(Table1[[#This Row],[UnitPrice]]*(1-Table1[[#This Row],[DiscountPct]]))</f>
        <v>4790.1068000000005</v>
      </c>
      <c r="Z453" s="9">
        <f t="shared" si="91"/>
        <v>2015.5468000000005</v>
      </c>
      <c r="AA453">
        <f>COUNTIF($G$2:G454,G453)</f>
        <v>36</v>
      </c>
      <c r="AB453" s="21">
        <f t="shared" si="92"/>
        <v>44988</v>
      </c>
      <c r="AC453" s="21">
        <f t="shared" si="93"/>
        <v>45016</v>
      </c>
      <c r="AD453" s="5">
        <f>(Table1[[#This Row],[OrderDate]]-Table1[[#This Row],[Date of first order]])/30</f>
        <v>21.833333333333332</v>
      </c>
      <c r="AE453" t="str">
        <f t="shared" si="94"/>
        <v>Good</v>
      </c>
      <c r="AF453">
        <f>COUNTIF(AE$2:AE454,AE453)</f>
        <v>130</v>
      </c>
      <c r="AG453" t="str">
        <f t="shared" si="95"/>
        <v>False</v>
      </c>
      <c r="AH453" s="7">
        <f>Table1[[#This Row],[UnitPrice]]*(1-Table1[[#This Row],[Disc Scenario]])*Table1[[#This Row],[Quantity]]</f>
        <v>4790.1068000000005</v>
      </c>
      <c r="AI453">
        <f>ROUNDDOWN((Table1[[#This Row],[Quantity]]*(1+20%)),0)</f>
        <v>9</v>
      </c>
      <c r="AJ453" s="7">
        <f>Table1[[#This Row],[Quantity increase by 20%]]*Table1[[#This Row],[UnitPrice]]</f>
        <v>6317.55</v>
      </c>
      <c r="AK453">
        <f>ROUNDDOWN(Table1[[#This Row],[Quantity]]*(1+20%),0)</f>
        <v>9</v>
      </c>
      <c r="AL453" s="7">
        <f>Table1[[#This Row],[UnitCost]]*(1+15%)</f>
        <v>398.84299999999996</v>
      </c>
      <c r="AM453" s="9">
        <f>Table1[[#This Row],[Quantity]]*Table1[[#This Row],[Cost of unit by inflation 15%]]</f>
        <v>3190.7439999999997</v>
      </c>
      <c r="AN453" s="21" cm="1">
        <f t="array" ref="AN453">_xlfn.UNIQUE(AC453)</f>
        <v>45016</v>
      </c>
    </row>
    <row r="454" spans="1:40" x14ac:dyDescent="0.35">
      <c r="A454" t="s">
        <v>419</v>
      </c>
      <c r="B454" s="21">
        <v>45646</v>
      </c>
      <c r="C454" s="10">
        <v>45671</v>
      </c>
      <c r="D454" s="3">
        <f t="shared" si="84"/>
        <v>25</v>
      </c>
      <c r="E454" s="10" t="str">
        <f t="shared" si="85"/>
        <v>Q4-2024</v>
      </c>
      <c r="F454" t="s">
        <v>646</v>
      </c>
      <c r="G454" t="s">
        <v>653</v>
      </c>
      <c r="H454" t="s">
        <v>679</v>
      </c>
      <c r="I454" t="s">
        <v>704</v>
      </c>
      <c r="J454" t="s">
        <v>706</v>
      </c>
      <c r="K454" t="s">
        <v>723</v>
      </c>
      <c r="L454" t="s">
        <v>727</v>
      </c>
      <c r="M454" t="s">
        <v>1136</v>
      </c>
      <c r="N454" s="3">
        <v>1361.34</v>
      </c>
      <c r="O454" s="3">
        <v>1737.9</v>
      </c>
      <c r="P454" s="6">
        <v>7.6999999999999999E-2</v>
      </c>
      <c r="Q454" s="6">
        <f>IF(Table1[[#This Row],[DiscountPct]]&gt;25%,25%,Table1[[#This Row],[DiscountPct]])</f>
        <v>7.6999999999999999E-2</v>
      </c>
      <c r="R454" s="5">
        <v>14</v>
      </c>
      <c r="S454" s="6">
        <f t="shared" si="86"/>
        <v>0.27660981092159209</v>
      </c>
      <c r="T454" s="8">
        <f t="shared" si="87"/>
        <v>22457.143800000002</v>
      </c>
      <c r="U454" s="8">
        <f t="shared" si="88"/>
        <v>19058.759999999998</v>
      </c>
      <c r="V454" s="9">
        <f t="shared" si="89"/>
        <v>3398.3838000000032</v>
      </c>
      <c r="W454" s="6">
        <f t="shared" si="90"/>
        <v>0.15132751654731813</v>
      </c>
      <c r="X454" t="str" cm="1">
        <f t="array" ref="X454">_xlfn.IFS(S454&lt;=25%, "Low", S454&lt;=75%, "Medium", S454&gt;75%, "High")</f>
        <v>Medium</v>
      </c>
      <c r="Y454" s="8">
        <f>Table1[[#This Row],[Quantity]]*(Table1[[#This Row],[UnitPrice]]*(1-Table1[[#This Row],[DiscountPct]]))</f>
        <v>22457.143800000002</v>
      </c>
      <c r="Z454" s="9">
        <f t="shared" si="91"/>
        <v>3398.3838000000032</v>
      </c>
      <c r="AA454">
        <f>COUNTIF($G$2:G455,G454)</f>
        <v>42</v>
      </c>
      <c r="AB454" s="21">
        <f t="shared" si="92"/>
        <v>44988</v>
      </c>
      <c r="AC454" s="21">
        <f t="shared" si="93"/>
        <v>45016</v>
      </c>
      <c r="AD454" s="5">
        <f>(Table1[[#This Row],[OrderDate]]-Table1[[#This Row],[Date of first order]])/30</f>
        <v>21.933333333333334</v>
      </c>
      <c r="AE454" t="str">
        <f t="shared" si="94"/>
        <v>Poor</v>
      </c>
      <c r="AF454">
        <f>COUNTIF(AE$2:AE455,AE454)</f>
        <v>323</v>
      </c>
      <c r="AG454" t="str">
        <f t="shared" si="95"/>
        <v>False</v>
      </c>
      <c r="AH454" s="7">
        <f>Table1[[#This Row],[UnitPrice]]*(1-Table1[[#This Row],[Disc Scenario]])*Table1[[#This Row],[Quantity]]</f>
        <v>22457.143800000002</v>
      </c>
      <c r="AI454">
        <f>ROUNDDOWN((Table1[[#This Row],[Quantity]]*(1+20%)),0)</f>
        <v>16</v>
      </c>
      <c r="AJ454" s="7">
        <f>Table1[[#This Row],[Quantity increase by 20%]]*Table1[[#This Row],[UnitPrice]]</f>
        <v>27806.400000000001</v>
      </c>
      <c r="AK454">
        <f>ROUNDDOWN(Table1[[#This Row],[Quantity]]*(1+20%),0)</f>
        <v>16</v>
      </c>
      <c r="AL454" s="7">
        <f>Table1[[#This Row],[UnitCost]]*(1+15%)</f>
        <v>1565.5409999999997</v>
      </c>
      <c r="AM454" s="9">
        <f>Table1[[#This Row],[Quantity]]*Table1[[#This Row],[Cost of unit by inflation 15%]]</f>
        <v>21917.573999999997</v>
      </c>
      <c r="AN454" s="21" cm="1">
        <f t="array" ref="AN454">_xlfn.UNIQUE(AC454)</f>
        <v>45016</v>
      </c>
    </row>
    <row r="455" spans="1:40" x14ac:dyDescent="0.35">
      <c r="A455" t="s">
        <v>148</v>
      </c>
      <c r="B455" s="21">
        <v>45647</v>
      </c>
      <c r="C455" s="10">
        <v>45652</v>
      </c>
      <c r="D455" s="3">
        <f t="shared" si="84"/>
        <v>5</v>
      </c>
      <c r="E455" s="10" t="str">
        <f t="shared" si="85"/>
        <v>Q4-2024</v>
      </c>
      <c r="F455" t="s">
        <v>647</v>
      </c>
      <c r="G455" t="s">
        <v>659</v>
      </c>
      <c r="H455" t="s">
        <v>685</v>
      </c>
      <c r="I455" t="s">
        <v>703</v>
      </c>
      <c r="J455" t="s">
        <v>708</v>
      </c>
      <c r="K455" t="s">
        <v>723</v>
      </c>
      <c r="L455" t="s">
        <v>727</v>
      </c>
      <c r="M455" t="s">
        <v>866</v>
      </c>
      <c r="N455" s="3">
        <v>699.57</v>
      </c>
      <c r="O455" s="3">
        <v>1140.2991</v>
      </c>
      <c r="P455" s="6">
        <v>0.192</v>
      </c>
      <c r="Q455" s="6">
        <f>IF(Table1[[#This Row],[DiscountPct]]&gt;25%,25%,Table1[[#This Row],[DiscountPct]])</f>
        <v>0.192</v>
      </c>
      <c r="R455" s="5">
        <v>26</v>
      </c>
      <c r="S455" s="6">
        <f t="shared" si="86"/>
        <v>0.62999999999999978</v>
      </c>
      <c r="T455" s="8">
        <f t="shared" si="87"/>
        <v>23955.4034928</v>
      </c>
      <c r="U455" s="8">
        <f t="shared" si="88"/>
        <v>18188.82</v>
      </c>
      <c r="V455" s="9">
        <f t="shared" si="89"/>
        <v>5766.5834928000004</v>
      </c>
      <c r="W455" s="6">
        <f t="shared" si="90"/>
        <v>0.24072161817408735</v>
      </c>
      <c r="X455" t="str" cm="1">
        <f t="array" ref="X455">_xlfn.IFS(S455&lt;=25%, "Low", S455&lt;=75%, "Medium", S455&gt;75%, "High")</f>
        <v>Medium</v>
      </c>
      <c r="Y455" s="8">
        <f>Table1[[#This Row],[Quantity]]*(Table1[[#This Row],[UnitPrice]]*(1-Table1[[#This Row],[DiscountPct]]))</f>
        <v>23955.4034928</v>
      </c>
      <c r="Z455" s="9">
        <f t="shared" si="91"/>
        <v>5766.5834928000004</v>
      </c>
      <c r="AA455">
        <f>COUNTIF($G$2:G456,G455)</f>
        <v>41</v>
      </c>
      <c r="AB455" s="21">
        <f t="shared" si="92"/>
        <v>44988</v>
      </c>
      <c r="AC455" s="21">
        <f t="shared" si="93"/>
        <v>45016</v>
      </c>
      <c r="AD455" s="5">
        <f>(Table1[[#This Row],[OrderDate]]-Table1[[#This Row],[Date of first order]])/30</f>
        <v>21.966666666666665</v>
      </c>
      <c r="AE455" t="str">
        <f t="shared" si="94"/>
        <v>Good</v>
      </c>
      <c r="AF455">
        <f>COUNTIF(AE$2:AE456,AE455)</f>
        <v>131</v>
      </c>
      <c r="AG455" t="str">
        <f t="shared" si="95"/>
        <v>False</v>
      </c>
      <c r="AH455" s="7">
        <f>Table1[[#This Row],[UnitPrice]]*(1-Table1[[#This Row],[Disc Scenario]])*Table1[[#This Row],[Quantity]]</f>
        <v>23955.4034928</v>
      </c>
      <c r="AI455">
        <f>ROUNDDOWN((Table1[[#This Row],[Quantity]]*(1+20%)),0)</f>
        <v>31</v>
      </c>
      <c r="AJ455" s="7">
        <f>Table1[[#This Row],[Quantity increase by 20%]]*Table1[[#This Row],[UnitPrice]]</f>
        <v>35349.272100000002</v>
      </c>
      <c r="AK455">
        <f>ROUNDDOWN(Table1[[#This Row],[Quantity]]*(1+20%),0)</f>
        <v>31</v>
      </c>
      <c r="AL455" s="7">
        <f>Table1[[#This Row],[UnitCost]]*(1+15%)</f>
        <v>804.50549999999998</v>
      </c>
      <c r="AM455" s="9">
        <f>Table1[[#This Row],[Quantity]]*Table1[[#This Row],[Cost of unit by inflation 15%]]</f>
        <v>20917.143</v>
      </c>
      <c r="AN455" s="21" cm="1">
        <f t="array" ref="AN455">_xlfn.UNIQUE(AC455)</f>
        <v>45016</v>
      </c>
    </row>
    <row r="456" spans="1:40" x14ac:dyDescent="0.35">
      <c r="A456" t="s">
        <v>155</v>
      </c>
      <c r="B456" s="21">
        <v>45649</v>
      </c>
      <c r="C456" s="10">
        <v>45668</v>
      </c>
      <c r="D456" s="3">
        <f t="shared" si="84"/>
        <v>19</v>
      </c>
      <c r="E456" s="10" t="str">
        <f t="shared" si="85"/>
        <v>Q4-2024</v>
      </c>
      <c r="F456" t="s">
        <v>648</v>
      </c>
      <c r="G456" t="s">
        <v>655</v>
      </c>
      <c r="H456" t="s">
        <v>670</v>
      </c>
      <c r="I456" t="s">
        <v>701</v>
      </c>
      <c r="J456" t="s">
        <v>706</v>
      </c>
      <c r="K456" t="s">
        <v>722</v>
      </c>
      <c r="L456" t="s">
        <v>729</v>
      </c>
      <c r="M456" t="s">
        <v>873</v>
      </c>
      <c r="N456" s="3">
        <v>501.81</v>
      </c>
      <c r="O456" s="3">
        <v>921.62</v>
      </c>
      <c r="P456" s="6">
        <v>0.01</v>
      </c>
      <c r="Q456" s="6">
        <f>IF(Table1[[#This Row],[DiscountPct]]&gt;25%,25%,Table1[[#This Row],[DiscountPct]])</f>
        <v>0.01</v>
      </c>
      <c r="R456" s="5">
        <v>9</v>
      </c>
      <c r="S456" s="6">
        <f t="shared" si="86"/>
        <v>0.83659153863015878</v>
      </c>
      <c r="T456" s="8">
        <f t="shared" si="87"/>
        <v>8211.6342000000004</v>
      </c>
      <c r="U456" s="8">
        <f t="shared" si="88"/>
        <v>4516.29</v>
      </c>
      <c r="V456" s="9">
        <f t="shared" si="89"/>
        <v>3695.3442000000005</v>
      </c>
      <c r="W456" s="6">
        <f t="shared" si="90"/>
        <v>0.45001325071202031</v>
      </c>
      <c r="X456" t="str" cm="1">
        <f t="array" ref="X456">_xlfn.IFS(S456&lt;=25%, "Low", S456&lt;=75%, "Medium", S456&gt;75%, "High")</f>
        <v>High</v>
      </c>
      <c r="Y456" s="8">
        <f>Table1[[#This Row],[Quantity]]*(Table1[[#This Row],[UnitPrice]]*(1-Table1[[#This Row],[DiscountPct]]))</f>
        <v>8211.6342000000004</v>
      </c>
      <c r="Z456" s="9">
        <f t="shared" si="91"/>
        <v>3695.3442000000005</v>
      </c>
      <c r="AA456">
        <f>COUNTIF($G$2:G457,G456)</f>
        <v>37</v>
      </c>
      <c r="AB456" s="21">
        <f t="shared" si="92"/>
        <v>44988</v>
      </c>
      <c r="AC456" s="21">
        <f t="shared" si="93"/>
        <v>45016</v>
      </c>
      <c r="AD456" s="5">
        <f>(Table1[[#This Row],[OrderDate]]-Table1[[#This Row],[Date of first order]])/30</f>
        <v>22.033333333333335</v>
      </c>
      <c r="AE456" t="str">
        <f t="shared" si="94"/>
        <v>Poor</v>
      </c>
      <c r="AF456">
        <f>COUNTIF(AE$2:AE457,AE456)</f>
        <v>325</v>
      </c>
      <c r="AG456" t="str">
        <f t="shared" si="95"/>
        <v>False</v>
      </c>
      <c r="AH456" s="7">
        <f>Table1[[#This Row],[UnitPrice]]*(1-Table1[[#This Row],[Disc Scenario]])*Table1[[#This Row],[Quantity]]</f>
        <v>8211.6342000000004</v>
      </c>
      <c r="AI456">
        <f>ROUNDDOWN((Table1[[#This Row],[Quantity]]*(1+20%)),0)</f>
        <v>10</v>
      </c>
      <c r="AJ456" s="7">
        <f>Table1[[#This Row],[Quantity increase by 20%]]*Table1[[#This Row],[UnitPrice]]</f>
        <v>9216.2000000000007</v>
      </c>
      <c r="AK456">
        <f>ROUNDDOWN(Table1[[#This Row],[Quantity]]*(1+20%),0)</f>
        <v>10</v>
      </c>
      <c r="AL456" s="7">
        <f>Table1[[#This Row],[UnitCost]]*(1+15%)</f>
        <v>577.08150000000001</v>
      </c>
      <c r="AM456" s="9">
        <f>Table1[[#This Row],[Quantity]]*Table1[[#This Row],[Cost of unit by inflation 15%]]</f>
        <v>5193.7335000000003</v>
      </c>
      <c r="AN456" s="21" cm="1">
        <f t="array" ref="AN456">_xlfn.UNIQUE(AC456)</f>
        <v>45016</v>
      </c>
    </row>
    <row r="457" spans="1:40" x14ac:dyDescent="0.35">
      <c r="A457" t="s">
        <v>449</v>
      </c>
      <c r="B457" s="21">
        <v>45650</v>
      </c>
      <c r="C457" s="10">
        <v>45670</v>
      </c>
      <c r="D457" s="3">
        <f t="shared" si="84"/>
        <v>20</v>
      </c>
      <c r="E457" s="10" t="str">
        <f t="shared" si="85"/>
        <v>Q4-2024</v>
      </c>
      <c r="F457" t="s">
        <v>646</v>
      </c>
      <c r="G457" t="s">
        <v>653</v>
      </c>
      <c r="H457" t="s">
        <v>667</v>
      </c>
      <c r="I457" t="s">
        <v>700</v>
      </c>
      <c r="J457" t="s">
        <v>708</v>
      </c>
      <c r="K457" t="s">
        <v>725</v>
      </c>
      <c r="L457" t="s">
        <v>728</v>
      </c>
      <c r="M457" t="s">
        <v>1166</v>
      </c>
      <c r="N457" s="3">
        <v>126.15</v>
      </c>
      <c r="O457" s="3">
        <v>284.23</v>
      </c>
      <c r="P457" s="6">
        <v>0.113</v>
      </c>
      <c r="Q457" s="6">
        <f>IF(Table1[[#This Row],[DiscountPct]]&gt;25%,25%,Table1[[#This Row],[DiscountPct]])</f>
        <v>0.113</v>
      </c>
      <c r="R457" s="5">
        <v>22</v>
      </c>
      <c r="S457" s="6">
        <f t="shared" si="86"/>
        <v>1.2531113753468095</v>
      </c>
      <c r="T457" s="8">
        <f t="shared" si="87"/>
        <v>5546.4642200000008</v>
      </c>
      <c r="U457" s="8">
        <f t="shared" si="88"/>
        <v>2775.3</v>
      </c>
      <c r="V457" s="9">
        <f t="shared" si="89"/>
        <v>2771.1642200000006</v>
      </c>
      <c r="W457" s="6">
        <f t="shared" si="90"/>
        <v>0.49962716968541088</v>
      </c>
      <c r="X457" t="str" cm="1">
        <f t="array" ref="X457">_xlfn.IFS(S457&lt;=25%, "Low", S457&lt;=75%, "Medium", S457&gt;75%, "High")</f>
        <v>High</v>
      </c>
      <c r="Y457" s="8">
        <f>Table1[[#This Row],[Quantity]]*(Table1[[#This Row],[UnitPrice]]*(1-Table1[[#This Row],[DiscountPct]]))</f>
        <v>5546.4642200000008</v>
      </c>
      <c r="Z457" s="9">
        <f t="shared" si="91"/>
        <v>2771.1642200000006</v>
      </c>
      <c r="AA457">
        <f>COUNTIF($G$2:G458,G457)</f>
        <v>43</v>
      </c>
      <c r="AB457" s="21">
        <f t="shared" si="92"/>
        <v>44988</v>
      </c>
      <c r="AC457" s="21">
        <f t="shared" si="93"/>
        <v>45016</v>
      </c>
      <c r="AD457" s="5">
        <f>(Table1[[#This Row],[OrderDate]]-Table1[[#This Row],[Date of first order]])/30</f>
        <v>22.066666666666666</v>
      </c>
      <c r="AE457" t="str">
        <f t="shared" si="94"/>
        <v>Poor</v>
      </c>
      <c r="AF457">
        <f>COUNTIF(AE$2:AE458,AE457)</f>
        <v>325</v>
      </c>
      <c r="AG457" t="str">
        <f t="shared" si="95"/>
        <v>False</v>
      </c>
      <c r="AH457" s="7">
        <f>Table1[[#This Row],[UnitPrice]]*(1-Table1[[#This Row],[Disc Scenario]])*Table1[[#This Row],[Quantity]]</f>
        <v>5546.4642200000008</v>
      </c>
      <c r="AI457">
        <f>ROUNDDOWN((Table1[[#This Row],[Quantity]]*(1+20%)),0)</f>
        <v>26</v>
      </c>
      <c r="AJ457" s="7">
        <f>Table1[[#This Row],[Quantity increase by 20%]]*Table1[[#This Row],[UnitPrice]]</f>
        <v>7389.9800000000005</v>
      </c>
      <c r="AK457">
        <f>ROUNDDOWN(Table1[[#This Row],[Quantity]]*(1+20%),0)</f>
        <v>26</v>
      </c>
      <c r="AL457" s="7">
        <f>Table1[[#This Row],[UnitCost]]*(1+15%)</f>
        <v>145.07249999999999</v>
      </c>
      <c r="AM457" s="9">
        <f>Table1[[#This Row],[Quantity]]*Table1[[#This Row],[Cost of unit by inflation 15%]]</f>
        <v>3191.5949999999998</v>
      </c>
      <c r="AN457" s="21" cm="1">
        <f t="array" ref="AN457">_xlfn.UNIQUE(AC457)</f>
        <v>45016</v>
      </c>
    </row>
    <row r="458" spans="1:40" x14ac:dyDescent="0.35">
      <c r="A458" t="s">
        <v>132</v>
      </c>
      <c r="B458" s="21">
        <v>45653</v>
      </c>
      <c r="C458" s="10">
        <v>45659</v>
      </c>
      <c r="D458" s="3">
        <f t="shared" si="84"/>
        <v>6</v>
      </c>
      <c r="E458" s="10" t="str">
        <f t="shared" si="85"/>
        <v>Q4-2024</v>
      </c>
      <c r="F458" t="s">
        <v>648</v>
      </c>
      <c r="G458" t="s">
        <v>655</v>
      </c>
      <c r="H458" t="s">
        <v>697</v>
      </c>
      <c r="I458" t="s">
        <v>701</v>
      </c>
      <c r="J458" t="s">
        <v>710</v>
      </c>
      <c r="K458" t="s">
        <v>720</v>
      </c>
      <c r="L458" t="s">
        <v>730</v>
      </c>
      <c r="M458" t="s">
        <v>850</v>
      </c>
      <c r="N458" s="3">
        <v>1391.99</v>
      </c>
      <c r="O458" s="3">
        <v>3469.7</v>
      </c>
      <c r="P458" s="6">
        <v>0.184</v>
      </c>
      <c r="Q458" s="6">
        <f>IF(Table1[[#This Row],[DiscountPct]]&gt;25%,25%,Table1[[#This Row],[DiscountPct]])</f>
        <v>0.184</v>
      </c>
      <c r="R458" s="5">
        <v>23</v>
      </c>
      <c r="S458" s="6">
        <f t="shared" si="86"/>
        <v>1.4926184814546082</v>
      </c>
      <c r="T458" s="8">
        <f t="shared" si="87"/>
        <v>65119.329599999997</v>
      </c>
      <c r="U458" s="8">
        <f t="shared" si="88"/>
        <v>32015.77</v>
      </c>
      <c r="V458" s="9">
        <f t="shared" si="89"/>
        <v>33103.559599999993</v>
      </c>
      <c r="W458" s="6">
        <f t="shared" si="90"/>
        <v>0.50835227886006973</v>
      </c>
      <c r="X458" t="str" cm="1">
        <f t="array" ref="X458">_xlfn.IFS(S458&lt;=25%, "Low", S458&lt;=75%, "Medium", S458&gt;75%, "High")</f>
        <v>High</v>
      </c>
      <c r="Y458" s="8">
        <f>Table1[[#This Row],[Quantity]]*(Table1[[#This Row],[UnitPrice]]*(1-Table1[[#This Row],[DiscountPct]]))</f>
        <v>65119.329599999997</v>
      </c>
      <c r="Z458" s="9">
        <f t="shared" si="91"/>
        <v>33103.559599999993</v>
      </c>
      <c r="AA458">
        <f>COUNTIF($G$2:G459,G458)</f>
        <v>38</v>
      </c>
      <c r="AB458" s="21">
        <f t="shared" si="92"/>
        <v>44988</v>
      </c>
      <c r="AC458" s="21">
        <f t="shared" si="93"/>
        <v>45016</v>
      </c>
      <c r="AD458" s="5">
        <f>(Table1[[#This Row],[OrderDate]]-Table1[[#This Row],[Date of first order]])/30</f>
        <v>22.166666666666668</v>
      </c>
      <c r="AE458" t="str">
        <f t="shared" si="94"/>
        <v>Good</v>
      </c>
      <c r="AF458">
        <f>COUNTIF(AE$2:AE459,AE458)</f>
        <v>133</v>
      </c>
      <c r="AG458" t="str">
        <f t="shared" si="95"/>
        <v>False</v>
      </c>
      <c r="AH458" s="7">
        <f>Table1[[#This Row],[UnitPrice]]*(1-Table1[[#This Row],[Disc Scenario]])*Table1[[#This Row],[Quantity]]</f>
        <v>65119.329599999997</v>
      </c>
      <c r="AI458">
        <f>ROUNDDOWN((Table1[[#This Row],[Quantity]]*(1+20%)),0)</f>
        <v>27</v>
      </c>
      <c r="AJ458" s="7">
        <f>Table1[[#This Row],[Quantity increase by 20%]]*Table1[[#This Row],[UnitPrice]]</f>
        <v>93681.9</v>
      </c>
      <c r="AK458">
        <f>ROUNDDOWN(Table1[[#This Row],[Quantity]]*(1+20%),0)</f>
        <v>27</v>
      </c>
      <c r="AL458" s="7">
        <f>Table1[[#This Row],[UnitCost]]*(1+15%)</f>
        <v>1600.7884999999999</v>
      </c>
      <c r="AM458" s="9">
        <f>Table1[[#This Row],[Quantity]]*Table1[[#This Row],[Cost of unit by inflation 15%]]</f>
        <v>36818.135499999997</v>
      </c>
      <c r="AN458" s="21" cm="1">
        <f t="array" ref="AN458">_xlfn.UNIQUE(AC458)</f>
        <v>45016</v>
      </c>
    </row>
    <row r="459" spans="1:40" x14ac:dyDescent="0.35">
      <c r="A459" t="s">
        <v>468</v>
      </c>
      <c r="B459" s="21">
        <v>45653</v>
      </c>
      <c r="C459" s="10">
        <v>45655</v>
      </c>
      <c r="D459" s="3">
        <f t="shared" si="84"/>
        <v>2</v>
      </c>
      <c r="E459" s="10" t="str">
        <f t="shared" si="85"/>
        <v>Q4-2024</v>
      </c>
      <c r="F459" t="s">
        <v>647</v>
      </c>
      <c r="G459" t="s">
        <v>652</v>
      </c>
      <c r="H459" t="s">
        <v>687</v>
      </c>
      <c r="I459" t="s">
        <v>705</v>
      </c>
      <c r="J459" t="s">
        <v>708</v>
      </c>
      <c r="K459" t="s">
        <v>711</v>
      </c>
      <c r="L459" t="s">
        <v>732</v>
      </c>
      <c r="M459" t="s">
        <v>1185</v>
      </c>
      <c r="N459" s="3">
        <v>1146.72</v>
      </c>
      <c r="O459" s="3">
        <v>2074.34</v>
      </c>
      <c r="P459" s="6">
        <v>0.111</v>
      </c>
      <c r="Q459" s="6">
        <f>IF(Table1[[#This Row],[DiscountPct]]&gt;25%,25%,Table1[[#This Row],[DiscountPct]])</f>
        <v>0.111</v>
      </c>
      <c r="R459" s="5">
        <v>8</v>
      </c>
      <c r="S459" s="6">
        <f t="shared" si="86"/>
        <v>0.80893330542765463</v>
      </c>
      <c r="T459" s="8">
        <f t="shared" si="87"/>
        <v>14752.706080000002</v>
      </c>
      <c r="U459" s="8">
        <f t="shared" si="88"/>
        <v>9173.76</v>
      </c>
      <c r="V459" s="9">
        <f t="shared" si="89"/>
        <v>5578.9460800000015</v>
      </c>
      <c r="W459" s="6">
        <f t="shared" si="90"/>
        <v>0.37816425337472737</v>
      </c>
      <c r="X459" t="str" cm="1">
        <f t="array" ref="X459">_xlfn.IFS(S459&lt;=25%, "Low", S459&lt;=75%, "Medium", S459&gt;75%, "High")</f>
        <v>High</v>
      </c>
      <c r="Y459" s="8">
        <f>Table1[[#This Row],[Quantity]]*(Table1[[#This Row],[UnitPrice]]*(1-Table1[[#This Row],[DiscountPct]]))</f>
        <v>14752.706080000002</v>
      </c>
      <c r="Z459" s="9">
        <f t="shared" si="91"/>
        <v>5578.9460800000015</v>
      </c>
      <c r="AA459">
        <f>COUNTIF($G$2:G460,G459)</f>
        <v>32</v>
      </c>
      <c r="AB459" s="21">
        <f t="shared" si="92"/>
        <v>44988</v>
      </c>
      <c r="AC459" s="21">
        <f t="shared" si="93"/>
        <v>45016</v>
      </c>
      <c r="AD459" s="5">
        <f>(Table1[[#This Row],[OrderDate]]-Table1[[#This Row],[Date of first order]])/30</f>
        <v>22.166666666666668</v>
      </c>
      <c r="AE459" t="str">
        <f t="shared" si="94"/>
        <v>Good</v>
      </c>
      <c r="AF459">
        <f>COUNTIF(AE$2:AE460,AE459)</f>
        <v>133</v>
      </c>
      <c r="AG459" t="str">
        <f t="shared" si="95"/>
        <v>False</v>
      </c>
      <c r="AH459" s="7">
        <f>Table1[[#This Row],[UnitPrice]]*(1-Table1[[#This Row],[Disc Scenario]])*Table1[[#This Row],[Quantity]]</f>
        <v>14752.706080000002</v>
      </c>
      <c r="AI459">
        <f>ROUNDDOWN((Table1[[#This Row],[Quantity]]*(1+20%)),0)</f>
        <v>9</v>
      </c>
      <c r="AJ459" s="7">
        <f>Table1[[#This Row],[Quantity increase by 20%]]*Table1[[#This Row],[UnitPrice]]</f>
        <v>18669.060000000001</v>
      </c>
      <c r="AK459">
        <f>ROUNDDOWN(Table1[[#This Row],[Quantity]]*(1+20%),0)</f>
        <v>9</v>
      </c>
      <c r="AL459" s="7">
        <f>Table1[[#This Row],[UnitCost]]*(1+15%)</f>
        <v>1318.7279999999998</v>
      </c>
      <c r="AM459" s="9">
        <f>Table1[[#This Row],[Quantity]]*Table1[[#This Row],[Cost of unit by inflation 15%]]</f>
        <v>10549.823999999999</v>
      </c>
      <c r="AN459" s="21" cm="1">
        <f t="array" ref="AN459">_xlfn.UNIQUE(AC459)</f>
        <v>45016</v>
      </c>
    </row>
    <row r="460" spans="1:40" x14ac:dyDescent="0.35">
      <c r="A460" t="s">
        <v>45</v>
      </c>
      <c r="B460" s="21">
        <v>45653</v>
      </c>
      <c r="C460" s="10">
        <v>45672</v>
      </c>
      <c r="D460" s="3">
        <f t="shared" si="84"/>
        <v>19</v>
      </c>
      <c r="E460" s="10" t="str">
        <f t="shared" si="85"/>
        <v>Q4-2024</v>
      </c>
      <c r="F460" t="s">
        <v>646</v>
      </c>
      <c r="G460" t="s">
        <v>653</v>
      </c>
      <c r="H460" t="s">
        <v>679</v>
      </c>
      <c r="I460" t="s">
        <v>702</v>
      </c>
      <c r="J460" t="s">
        <v>709</v>
      </c>
      <c r="K460" t="s">
        <v>714</v>
      </c>
      <c r="L460" t="s">
        <v>726</v>
      </c>
      <c r="M460" t="s">
        <v>763</v>
      </c>
      <c r="N460" s="3">
        <v>495.59</v>
      </c>
      <c r="O460" s="3">
        <v>631.78</v>
      </c>
      <c r="P460" s="6">
        <v>8.6999999999999994E-2</v>
      </c>
      <c r="Q460" s="6">
        <f>IF(Table1[[#This Row],[DiscountPct]]&gt;25%,25%,Table1[[#This Row],[DiscountPct]])</f>
        <v>8.6999999999999994E-2</v>
      </c>
      <c r="R460" s="5">
        <v>17</v>
      </c>
      <c r="S460" s="6">
        <f t="shared" si="86"/>
        <v>0.27480376924473859</v>
      </c>
      <c r="T460" s="8">
        <f t="shared" si="87"/>
        <v>9805.8573800000013</v>
      </c>
      <c r="U460" s="8">
        <f t="shared" si="88"/>
        <v>8425.0299999999988</v>
      </c>
      <c r="V460" s="9">
        <f t="shared" si="89"/>
        <v>1380.8273800000024</v>
      </c>
      <c r="W460" s="6">
        <f t="shared" si="90"/>
        <v>0.14081658813601899</v>
      </c>
      <c r="X460" t="str" cm="1">
        <f t="array" ref="X460">_xlfn.IFS(S460&lt;=25%, "Low", S460&lt;=75%, "Medium", S460&gt;75%, "High")</f>
        <v>Medium</v>
      </c>
      <c r="Y460" s="8">
        <f>Table1[[#This Row],[Quantity]]*(Table1[[#This Row],[UnitPrice]]*(1-Table1[[#This Row],[DiscountPct]]))</f>
        <v>9805.8573800000013</v>
      </c>
      <c r="Z460" s="9">
        <f t="shared" si="91"/>
        <v>1380.8273800000024</v>
      </c>
      <c r="AA460">
        <f>COUNTIF($G$2:G461,G460)</f>
        <v>45</v>
      </c>
      <c r="AB460" s="21">
        <f t="shared" si="92"/>
        <v>44988</v>
      </c>
      <c r="AC460" s="21">
        <f t="shared" si="93"/>
        <v>45016</v>
      </c>
      <c r="AD460" s="5">
        <f>(Table1[[#This Row],[OrderDate]]-Table1[[#This Row],[Date of first order]])/30</f>
        <v>22.166666666666668</v>
      </c>
      <c r="AE460" t="str">
        <f t="shared" si="94"/>
        <v>Poor</v>
      </c>
      <c r="AF460">
        <f>COUNTIF(AE$2:AE461,AE460)</f>
        <v>327</v>
      </c>
      <c r="AG460" t="str">
        <f t="shared" si="95"/>
        <v>False</v>
      </c>
      <c r="AH460" s="7">
        <f>Table1[[#This Row],[UnitPrice]]*(1-Table1[[#This Row],[Disc Scenario]])*Table1[[#This Row],[Quantity]]</f>
        <v>9805.8573800000013</v>
      </c>
      <c r="AI460">
        <f>ROUNDDOWN((Table1[[#This Row],[Quantity]]*(1+20%)),0)</f>
        <v>20</v>
      </c>
      <c r="AJ460" s="7">
        <f>Table1[[#This Row],[Quantity increase by 20%]]*Table1[[#This Row],[UnitPrice]]</f>
        <v>12635.599999999999</v>
      </c>
      <c r="AK460">
        <f>ROUNDDOWN(Table1[[#This Row],[Quantity]]*(1+20%),0)</f>
        <v>20</v>
      </c>
      <c r="AL460" s="7">
        <f>Table1[[#This Row],[UnitCost]]*(1+15%)</f>
        <v>569.92849999999987</v>
      </c>
      <c r="AM460" s="9">
        <f>Table1[[#This Row],[Quantity]]*Table1[[#This Row],[Cost of unit by inflation 15%]]</f>
        <v>9688.7844999999979</v>
      </c>
      <c r="AN460" s="21" cm="1">
        <f t="array" ref="AN460">_xlfn.UNIQUE(AC460)</f>
        <v>45016</v>
      </c>
    </row>
    <row r="461" spans="1:40" x14ac:dyDescent="0.35">
      <c r="A461" t="s">
        <v>21</v>
      </c>
      <c r="B461" s="21">
        <v>45653</v>
      </c>
      <c r="C461" s="10">
        <v>45671</v>
      </c>
      <c r="D461" s="3">
        <f t="shared" si="84"/>
        <v>18</v>
      </c>
      <c r="E461" s="10" t="str">
        <f t="shared" si="85"/>
        <v>Q4-2024</v>
      </c>
      <c r="F461" t="s">
        <v>646</v>
      </c>
      <c r="G461" t="s">
        <v>653</v>
      </c>
      <c r="H461" t="s">
        <v>667</v>
      </c>
      <c r="I461" t="s">
        <v>704</v>
      </c>
      <c r="J461" t="s">
        <v>708</v>
      </c>
      <c r="K461" t="s">
        <v>717</v>
      </c>
      <c r="L461" t="s">
        <v>731</v>
      </c>
      <c r="M461" t="s">
        <v>739</v>
      </c>
      <c r="N461" s="3">
        <v>586.07000000000005</v>
      </c>
      <c r="O461" s="3">
        <v>845.97</v>
      </c>
      <c r="P461" s="6">
        <v>0.14699999999999999</v>
      </c>
      <c r="Q461" s="6">
        <f>IF(Table1[[#This Row],[DiscountPct]]&gt;25%,25%,Table1[[#This Row],[DiscountPct]])</f>
        <v>0.14699999999999999</v>
      </c>
      <c r="R461" s="5">
        <v>4</v>
      </c>
      <c r="S461" s="6">
        <f t="shared" si="86"/>
        <v>0.44346238503932972</v>
      </c>
      <c r="T461" s="8">
        <f t="shared" si="87"/>
        <v>2886.4496399999998</v>
      </c>
      <c r="U461" s="8">
        <f t="shared" si="88"/>
        <v>2344.2800000000002</v>
      </c>
      <c r="V461" s="9">
        <f t="shared" si="89"/>
        <v>542.16963999999962</v>
      </c>
      <c r="W461" s="6">
        <f t="shared" si="90"/>
        <v>0.18783270370862928</v>
      </c>
      <c r="X461" t="str" cm="1">
        <f t="array" ref="X461">_xlfn.IFS(S461&lt;=25%, "Low", S461&lt;=75%, "Medium", S461&gt;75%, "High")</f>
        <v>Medium</v>
      </c>
      <c r="Y461" s="8">
        <f>Table1[[#This Row],[Quantity]]*(Table1[[#This Row],[UnitPrice]]*(1-Table1[[#This Row],[DiscountPct]]))</f>
        <v>2886.4496399999998</v>
      </c>
      <c r="Z461" s="9">
        <f t="shared" si="91"/>
        <v>542.16963999999962</v>
      </c>
      <c r="AA461">
        <f>COUNTIF($G$2:G462,G461)</f>
        <v>45</v>
      </c>
      <c r="AB461" s="21">
        <f t="shared" si="92"/>
        <v>44988</v>
      </c>
      <c r="AC461" s="21">
        <f t="shared" si="93"/>
        <v>45016</v>
      </c>
      <c r="AD461" s="5">
        <f>(Table1[[#This Row],[OrderDate]]-Table1[[#This Row],[Date of first order]])/30</f>
        <v>22.166666666666668</v>
      </c>
      <c r="AE461" t="str">
        <f t="shared" si="94"/>
        <v>Poor</v>
      </c>
      <c r="AF461">
        <f>COUNTIF(AE$2:AE462,AE461)</f>
        <v>328</v>
      </c>
      <c r="AG461" t="str">
        <f t="shared" si="95"/>
        <v>False</v>
      </c>
      <c r="AH461" s="7">
        <f>Table1[[#This Row],[UnitPrice]]*(1-Table1[[#This Row],[Disc Scenario]])*Table1[[#This Row],[Quantity]]</f>
        <v>2886.4496399999998</v>
      </c>
      <c r="AI461">
        <f>ROUNDDOWN((Table1[[#This Row],[Quantity]]*(1+20%)),0)</f>
        <v>4</v>
      </c>
      <c r="AJ461" s="7">
        <f>Table1[[#This Row],[Quantity increase by 20%]]*Table1[[#This Row],[UnitPrice]]</f>
        <v>3383.88</v>
      </c>
      <c r="AK461">
        <f>ROUNDDOWN(Table1[[#This Row],[Quantity]]*(1+20%),0)</f>
        <v>4</v>
      </c>
      <c r="AL461" s="7">
        <f>Table1[[#This Row],[UnitCost]]*(1+15%)</f>
        <v>673.98050000000001</v>
      </c>
      <c r="AM461" s="9">
        <f>Table1[[#This Row],[Quantity]]*Table1[[#This Row],[Cost of unit by inflation 15%]]</f>
        <v>2695.922</v>
      </c>
      <c r="AN461" s="21" cm="1">
        <f t="array" ref="AN461">_xlfn.UNIQUE(AC461)</f>
        <v>45016</v>
      </c>
    </row>
    <row r="462" spans="1:40" x14ac:dyDescent="0.35">
      <c r="A462" t="s">
        <v>444</v>
      </c>
      <c r="B462" s="21">
        <v>45654</v>
      </c>
      <c r="C462" s="10">
        <v>45665</v>
      </c>
      <c r="D462" s="3">
        <f t="shared" si="84"/>
        <v>11</v>
      </c>
      <c r="E462" s="10" t="str">
        <f t="shared" si="85"/>
        <v>Q4-2024</v>
      </c>
      <c r="F462" t="s">
        <v>646</v>
      </c>
      <c r="G462" t="s">
        <v>658</v>
      </c>
      <c r="H462" t="s">
        <v>675</v>
      </c>
      <c r="I462" t="s">
        <v>705</v>
      </c>
      <c r="J462" t="s">
        <v>707</v>
      </c>
      <c r="K462" t="s">
        <v>722</v>
      </c>
      <c r="L462" t="s">
        <v>730</v>
      </c>
      <c r="M462" t="s">
        <v>1161</v>
      </c>
      <c r="N462" s="3">
        <v>1201.31</v>
      </c>
      <c r="O462" s="3">
        <v>2764.65</v>
      </c>
      <c r="P462" s="6">
        <v>0</v>
      </c>
      <c r="Q462" s="6">
        <f>IF(Table1[[#This Row],[DiscountPct]]&gt;25%,25%,Table1[[#This Row],[DiscountPct]])</f>
        <v>0</v>
      </c>
      <c r="R462" s="5">
        <v>21</v>
      </c>
      <c r="S462" s="6">
        <f t="shared" si="86"/>
        <v>1.301362679075343</v>
      </c>
      <c r="T462" s="8">
        <f t="shared" si="87"/>
        <v>58057.65</v>
      </c>
      <c r="U462" s="8">
        <f t="shared" si="88"/>
        <v>25227.51</v>
      </c>
      <c r="V462" s="9">
        <f t="shared" si="89"/>
        <v>32830.14</v>
      </c>
      <c r="W462" s="6">
        <f t="shared" si="90"/>
        <v>0.56547483406579491</v>
      </c>
      <c r="X462" t="str" cm="1">
        <f t="array" ref="X462">_xlfn.IFS(S462&lt;=25%, "Low", S462&lt;=75%, "Medium", S462&gt;75%, "High")</f>
        <v>High</v>
      </c>
      <c r="Y462" s="8">
        <f>Table1[[#This Row],[Quantity]]*(Table1[[#This Row],[UnitPrice]]*(1-Table1[[#This Row],[DiscountPct]]))</f>
        <v>58057.65</v>
      </c>
      <c r="Z462" s="9">
        <f t="shared" si="91"/>
        <v>32830.14</v>
      </c>
      <c r="AA462">
        <f>COUNTIF($G$2:G463,G462)</f>
        <v>40</v>
      </c>
      <c r="AB462" s="21">
        <f t="shared" si="92"/>
        <v>44988</v>
      </c>
      <c r="AC462" s="21">
        <f t="shared" si="93"/>
        <v>45016</v>
      </c>
      <c r="AD462" s="5">
        <f>(Table1[[#This Row],[OrderDate]]-Table1[[#This Row],[Date of first order]])/30</f>
        <v>22.2</v>
      </c>
      <c r="AE462" t="str">
        <f t="shared" si="94"/>
        <v>Poor</v>
      </c>
      <c r="AF462">
        <f>COUNTIF(AE$2:AE463,AE462)</f>
        <v>329</v>
      </c>
      <c r="AG462" t="str">
        <f t="shared" si="95"/>
        <v>False</v>
      </c>
      <c r="AH462" s="7">
        <f>Table1[[#This Row],[UnitPrice]]*(1-Table1[[#This Row],[Disc Scenario]])*Table1[[#This Row],[Quantity]]</f>
        <v>58057.65</v>
      </c>
      <c r="AI462">
        <f>ROUNDDOWN((Table1[[#This Row],[Quantity]]*(1+20%)),0)</f>
        <v>25</v>
      </c>
      <c r="AJ462" s="7">
        <f>Table1[[#This Row],[Quantity increase by 20%]]*Table1[[#This Row],[UnitPrice]]</f>
        <v>69116.25</v>
      </c>
      <c r="AK462">
        <f>ROUNDDOWN(Table1[[#This Row],[Quantity]]*(1+20%),0)</f>
        <v>25</v>
      </c>
      <c r="AL462" s="7">
        <f>Table1[[#This Row],[UnitCost]]*(1+15%)</f>
        <v>1381.5064999999997</v>
      </c>
      <c r="AM462" s="9">
        <f>Table1[[#This Row],[Quantity]]*Table1[[#This Row],[Cost of unit by inflation 15%]]</f>
        <v>29011.636499999993</v>
      </c>
      <c r="AN462" s="21" cm="1">
        <f t="array" ref="AN462">_xlfn.UNIQUE(AC462)</f>
        <v>45016</v>
      </c>
    </row>
    <row r="463" spans="1:40" x14ac:dyDescent="0.35">
      <c r="A463" t="s">
        <v>323</v>
      </c>
      <c r="B463" s="21">
        <v>45655</v>
      </c>
      <c r="C463" s="10">
        <v>45669</v>
      </c>
      <c r="D463" s="3">
        <f t="shared" si="84"/>
        <v>14</v>
      </c>
      <c r="E463" s="10" t="str">
        <f t="shared" si="85"/>
        <v>Q4-2024</v>
      </c>
      <c r="F463" t="s">
        <v>648</v>
      </c>
      <c r="G463" t="s">
        <v>657</v>
      </c>
      <c r="H463" t="s">
        <v>692</v>
      </c>
      <c r="I463" t="s">
        <v>700</v>
      </c>
      <c r="J463" t="s">
        <v>710</v>
      </c>
      <c r="K463" t="s">
        <v>716</v>
      </c>
      <c r="L463" t="s">
        <v>731</v>
      </c>
      <c r="M463" t="s">
        <v>1041</v>
      </c>
      <c r="N463" s="3">
        <v>1399.72</v>
      </c>
      <c r="O463" s="3">
        <v>3149.21</v>
      </c>
      <c r="P463" s="6">
        <v>0.185</v>
      </c>
      <c r="Q463" s="6">
        <f>IF(Table1[[#This Row],[DiscountPct]]&gt;25%,25%,Table1[[#This Row],[DiscountPct]])</f>
        <v>0.185</v>
      </c>
      <c r="R463" s="5">
        <v>12</v>
      </c>
      <c r="S463" s="6">
        <f t="shared" si="86"/>
        <v>1.2498856914239991</v>
      </c>
      <c r="T463" s="8">
        <f t="shared" si="87"/>
        <v>30799.273800000003</v>
      </c>
      <c r="U463" s="8">
        <f t="shared" si="88"/>
        <v>16796.64</v>
      </c>
      <c r="V463" s="9">
        <f t="shared" si="89"/>
        <v>14002.633800000003</v>
      </c>
      <c r="W463" s="6">
        <f t="shared" si="90"/>
        <v>0.45464168703873797</v>
      </c>
      <c r="X463" t="str" cm="1">
        <f t="array" ref="X463">_xlfn.IFS(S463&lt;=25%, "Low", S463&lt;=75%, "Medium", S463&gt;75%, "High")</f>
        <v>High</v>
      </c>
      <c r="Y463" s="8">
        <f>Table1[[#This Row],[Quantity]]*(Table1[[#This Row],[UnitPrice]]*(1-Table1[[#This Row],[DiscountPct]]))</f>
        <v>30799.273800000003</v>
      </c>
      <c r="Z463" s="9">
        <f t="shared" si="91"/>
        <v>14002.633800000003</v>
      </c>
      <c r="AA463">
        <f>COUNTIF($G$2:G464,G463)</f>
        <v>40</v>
      </c>
      <c r="AB463" s="21">
        <f t="shared" si="92"/>
        <v>44988</v>
      </c>
      <c r="AC463" s="21">
        <f t="shared" si="93"/>
        <v>45016</v>
      </c>
      <c r="AD463" s="5">
        <f>(Table1[[#This Row],[OrderDate]]-Table1[[#This Row],[Date of first order]])/30</f>
        <v>22.233333333333334</v>
      </c>
      <c r="AE463" t="str">
        <f t="shared" si="94"/>
        <v>Poor</v>
      </c>
      <c r="AF463">
        <f>COUNTIF(AE$2:AE464,AE463)</f>
        <v>330</v>
      </c>
      <c r="AG463" t="str">
        <f t="shared" si="95"/>
        <v>False</v>
      </c>
      <c r="AH463" s="7">
        <f>Table1[[#This Row],[UnitPrice]]*(1-Table1[[#This Row],[Disc Scenario]])*Table1[[#This Row],[Quantity]]</f>
        <v>30799.273800000003</v>
      </c>
      <c r="AI463">
        <f>ROUNDDOWN((Table1[[#This Row],[Quantity]]*(1+20%)),0)</f>
        <v>14</v>
      </c>
      <c r="AJ463" s="7">
        <f>Table1[[#This Row],[Quantity increase by 20%]]*Table1[[#This Row],[UnitPrice]]</f>
        <v>44088.94</v>
      </c>
      <c r="AK463">
        <f>ROUNDDOWN(Table1[[#This Row],[Quantity]]*(1+20%),0)</f>
        <v>14</v>
      </c>
      <c r="AL463" s="7">
        <f>Table1[[#This Row],[UnitCost]]*(1+15%)</f>
        <v>1609.6779999999999</v>
      </c>
      <c r="AM463" s="9">
        <f>Table1[[#This Row],[Quantity]]*Table1[[#This Row],[Cost of unit by inflation 15%]]</f>
        <v>19316.135999999999</v>
      </c>
      <c r="AN463" s="21" cm="1">
        <f t="array" ref="AN463">_xlfn.UNIQUE(AC463)</f>
        <v>45016</v>
      </c>
    </row>
    <row r="464" spans="1:40" x14ac:dyDescent="0.35">
      <c r="A464" t="s">
        <v>26</v>
      </c>
      <c r="B464" s="21">
        <v>45660</v>
      </c>
      <c r="C464" s="10">
        <v>45680</v>
      </c>
      <c r="D464" s="3">
        <f t="shared" si="84"/>
        <v>20</v>
      </c>
      <c r="E464" s="10" t="str">
        <f t="shared" si="85"/>
        <v>Q1-2025</v>
      </c>
      <c r="F464" t="s">
        <v>646</v>
      </c>
      <c r="G464" t="s">
        <v>651</v>
      </c>
      <c r="H464" t="s">
        <v>665</v>
      </c>
      <c r="I464" t="s">
        <v>700</v>
      </c>
      <c r="J464" t="s">
        <v>709</v>
      </c>
      <c r="K464" t="s">
        <v>720</v>
      </c>
      <c r="L464" t="s">
        <v>729</v>
      </c>
      <c r="M464" t="s">
        <v>744</v>
      </c>
      <c r="N464" s="3">
        <v>908.6</v>
      </c>
      <c r="O464" s="3">
        <v>1680.91</v>
      </c>
      <c r="P464" s="6">
        <v>0.25</v>
      </c>
      <c r="Q464" s="6">
        <f>IF(Table1[[#This Row],[DiscountPct]]&gt;25%,25%,Table1[[#This Row],[DiscountPct]])</f>
        <v>0.25</v>
      </c>
      <c r="R464" s="5">
        <v>20</v>
      </c>
      <c r="S464" s="6">
        <f t="shared" si="86"/>
        <v>0.85000000000000009</v>
      </c>
      <c r="T464" s="8">
        <f t="shared" si="87"/>
        <v>25213.65</v>
      </c>
      <c r="U464" s="8">
        <f t="shared" si="88"/>
        <v>18172</v>
      </c>
      <c r="V464" s="9">
        <f t="shared" si="89"/>
        <v>7041.6500000000015</v>
      </c>
      <c r="W464" s="6">
        <f t="shared" si="90"/>
        <v>0.27927927927927931</v>
      </c>
      <c r="X464" t="str" cm="1">
        <f t="array" ref="X464">_xlfn.IFS(S464&lt;=25%, "Low", S464&lt;=75%, "Medium", S464&gt;75%, "High")</f>
        <v>High</v>
      </c>
      <c r="Y464" s="8">
        <f>Table1[[#This Row],[Quantity]]*(Table1[[#This Row],[UnitPrice]]*(1-Table1[[#This Row],[DiscountPct]]))</f>
        <v>25213.65</v>
      </c>
      <c r="Z464" s="9">
        <f t="shared" si="91"/>
        <v>7041.6500000000015</v>
      </c>
      <c r="AA464">
        <f>COUNTIF($G$2:G465,G464)</f>
        <v>39</v>
      </c>
      <c r="AB464" s="21">
        <f t="shared" si="92"/>
        <v>44988</v>
      </c>
      <c r="AC464" s="21">
        <f t="shared" si="93"/>
        <v>45016</v>
      </c>
      <c r="AD464" s="5">
        <f>(Table1[[#This Row],[OrderDate]]-Table1[[#This Row],[Date of first order]])/30</f>
        <v>22.4</v>
      </c>
      <c r="AE464" t="str">
        <f t="shared" si="94"/>
        <v>Poor</v>
      </c>
      <c r="AF464">
        <f>COUNTIF(AE$2:AE465,AE464)</f>
        <v>330</v>
      </c>
      <c r="AG464" t="str">
        <f t="shared" si="95"/>
        <v>True</v>
      </c>
      <c r="AH464" s="7">
        <f>Table1[[#This Row],[UnitPrice]]*(1-Table1[[#This Row],[Disc Scenario]])*Table1[[#This Row],[Quantity]]</f>
        <v>25213.65</v>
      </c>
      <c r="AI464">
        <f>ROUNDDOWN((Table1[[#This Row],[Quantity]]*(1+20%)),0)</f>
        <v>24</v>
      </c>
      <c r="AJ464" s="7">
        <f>Table1[[#This Row],[Quantity increase by 20%]]*Table1[[#This Row],[UnitPrice]]</f>
        <v>40341.840000000004</v>
      </c>
      <c r="AK464">
        <f>ROUNDDOWN(Table1[[#This Row],[Quantity]]*(1+20%),0)</f>
        <v>24</v>
      </c>
      <c r="AL464" s="7">
        <f>Table1[[#This Row],[UnitCost]]*(1+15%)</f>
        <v>1044.8899999999999</v>
      </c>
      <c r="AM464" s="9">
        <f>Table1[[#This Row],[Quantity]]*Table1[[#This Row],[Cost of unit by inflation 15%]]</f>
        <v>20897.799999999996</v>
      </c>
      <c r="AN464" s="21" cm="1">
        <f t="array" ref="AN464">_xlfn.UNIQUE(AC464)</f>
        <v>45016</v>
      </c>
    </row>
    <row r="465" spans="1:40" x14ac:dyDescent="0.35">
      <c r="A465" t="s">
        <v>527</v>
      </c>
      <c r="B465" s="21">
        <v>45661</v>
      </c>
      <c r="C465" s="10">
        <v>45662</v>
      </c>
      <c r="D465" s="3">
        <f t="shared" si="84"/>
        <v>1</v>
      </c>
      <c r="E465" s="10" t="str">
        <f t="shared" si="85"/>
        <v>Q1-2025</v>
      </c>
      <c r="F465" t="s">
        <v>646</v>
      </c>
      <c r="G465" t="s">
        <v>653</v>
      </c>
      <c r="H465" t="s">
        <v>679</v>
      </c>
      <c r="I465" t="s">
        <v>701</v>
      </c>
      <c r="J465" t="s">
        <v>706</v>
      </c>
      <c r="K465" t="s">
        <v>713</v>
      </c>
      <c r="L465" t="s">
        <v>726</v>
      </c>
      <c r="M465" t="s">
        <v>1244</v>
      </c>
      <c r="N465" s="3">
        <v>1428.33</v>
      </c>
      <c r="O465" s="3">
        <v>3028.05</v>
      </c>
      <c r="P465" s="6">
        <v>0</v>
      </c>
      <c r="Q465" s="6">
        <f>IF(Table1[[#This Row],[DiscountPct]]&gt;25%,25%,Table1[[#This Row],[DiscountPct]])</f>
        <v>0</v>
      </c>
      <c r="R465" s="5">
        <v>11</v>
      </c>
      <c r="S465" s="6">
        <f t="shared" si="86"/>
        <v>1.1199932788641282</v>
      </c>
      <c r="T465" s="8">
        <f t="shared" si="87"/>
        <v>33308.550000000003</v>
      </c>
      <c r="U465" s="8">
        <f t="shared" si="88"/>
        <v>15711.63</v>
      </c>
      <c r="V465" s="9">
        <f t="shared" si="89"/>
        <v>17596.920000000006</v>
      </c>
      <c r="W465" s="6">
        <f t="shared" si="90"/>
        <v>0.52830039134096207</v>
      </c>
      <c r="X465" t="str" cm="1">
        <f t="array" ref="X465">_xlfn.IFS(S465&lt;=25%, "Low", S465&lt;=75%, "Medium", S465&gt;75%, "High")</f>
        <v>High</v>
      </c>
      <c r="Y465" s="8">
        <f>Table1[[#This Row],[Quantity]]*(Table1[[#This Row],[UnitPrice]]*(1-Table1[[#This Row],[DiscountPct]]))</f>
        <v>33308.550000000003</v>
      </c>
      <c r="Z465" s="9">
        <f t="shared" si="91"/>
        <v>17596.920000000006</v>
      </c>
      <c r="AA465">
        <f>COUNTIF($G$2:G466,G465)</f>
        <v>46</v>
      </c>
      <c r="AB465" s="21">
        <f t="shared" si="92"/>
        <v>44988</v>
      </c>
      <c r="AC465" s="21">
        <f t="shared" si="93"/>
        <v>45016</v>
      </c>
      <c r="AD465" s="5">
        <f>(Table1[[#This Row],[OrderDate]]-Table1[[#This Row],[Date of first order]])/30</f>
        <v>22.433333333333334</v>
      </c>
      <c r="AE465" t="str">
        <f t="shared" si="94"/>
        <v>Good</v>
      </c>
      <c r="AF465">
        <f>COUNTIF(AE$2:AE466,AE465)</f>
        <v>134</v>
      </c>
      <c r="AG465" t="str">
        <f t="shared" si="95"/>
        <v>False</v>
      </c>
      <c r="AH465" s="7">
        <f>Table1[[#This Row],[UnitPrice]]*(1-Table1[[#This Row],[Disc Scenario]])*Table1[[#This Row],[Quantity]]</f>
        <v>33308.550000000003</v>
      </c>
      <c r="AI465">
        <f>ROUNDDOWN((Table1[[#This Row],[Quantity]]*(1+20%)),0)</f>
        <v>13</v>
      </c>
      <c r="AJ465" s="7">
        <f>Table1[[#This Row],[Quantity increase by 20%]]*Table1[[#This Row],[UnitPrice]]</f>
        <v>39364.65</v>
      </c>
      <c r="AK465">
        <f>ROUNDDOWN(Table1[[#This Row],[Quantity]]*(1+20%),0)</f>
        <v>13</v>
      </c>
      <c r="AL465" s="7">
        <f>Table1[[#This Row],[UnitCost]]*(1+15%)</f>
        <v>1642.5794999999998</v>
      </c>
      <c r="AM465" s="9">
        <f>Table1[[#This Row],[Quantity]]*Table1[[#This Row],[Cost of unit by inflation 15%]]</f>
        <v>18068.374499999998</v>
      </c>
      <c r="AN465" s="21" cm="1">
        <f t="array" ref="AN465">_xlfn.UNIQUE(AC465)</f>
        <v>45016</v>
      </c>
    </row>
    <row r="466" spans="1:40" x14ac:dyDescent="0.35">
      <c r="A466" t="s">
        <v>391</v>
      </c>
      <c r="B466" s="21">
        <v>45664</v>
      </c>
      <c r="C466" s="10">
        <v>45677</v>
      </c>
      <c r="D466" s="3">
        <f t="shared" si="84"/>
        <v>13</v>
      </c>
      <c r="E466" s="10" t="str">
        <f t="shared" si="85"/>
        <v>Q1-2025</v>
      </c>
      <c r="F466" t="s">
        <v>645</v>
      </c>
      <c r="G466" t="s">
        <v>660</v>
      </c>
      <c r="H466" t="s">
        <v>694</v>
      </c>
      <c r="I466" t="s">
        <v>700</v>
      </c>
      <c r="J466" t="s">
        <v>710</v>
      </c>
      <c r="K466" t="s">
        <v>722</v>
      </c>
      <c r="L466" t="s">
        <v>728</v>
      </c>
      <c r="M466" t="s">
        <v>1109</v>
      </c>
      <c r="N466" s="3">
        <v>432.13</v>
      </c>
      <c r="O466" s="3">
        <v>1034.6600000000001</v>
      </c>
      <c r="P466" s="6">
        <v>9.1999999999999998E-2</v>
      </c>
      <c r="Q466" s="6">
        <f>IF(Table1[[#This Row],[DiscountPct]]&gt;25%,25%,Table1[[#This Row],[DiscountPct]])</f>
        <v>9.1999999999999998E-2</v>
      </c>
      <c r="R466" s="5">
        <v>7</v>
      </c>
      <c r="S466" s="6">
        <f t="shared" si="86"/>
        <v>1.3943257815935022</v>
      </c>
      <c r="T466" s="8">
        <f t="shared" si="87"/>
        <v>6576.298960000001</v>
      </c>
      <c r="U466" s="8">
        <f t="shared" si="88"/>
        <v>3024.91</v>
      </c>
      <c r="V466" s="9">
        <f t="shared" si="89"/>
        <v>3551.3889600000011</v>
      </c>
      <c r="W466" s="6">
        <f t="shared" si="90"/>
        <v>0.54002851476204794</v>
      </c>
      <c r="X466" t="str" cm="1">
        <f t="array" ref="X466">_xlfn.IFS(S466&lt;=25%, "Low", S466&lt;=75%, "Medium", S466&gt;75%, "High")</f>
        <v>High</v>
      </c>
      <c r="Y466" s="8">
        <f>Table1[[#This Row],[Quantity]]*(Table1[[#This Row],[UnitPrice]]*(1-Table1[[#This Row],[DiscountPct]]))</f>
        <v>6576.298960000001</v>
      </c>
      <c r="Z466" s="9">
        <f t="shared" si="91"/>
        <v>3551.3889600000011</v>
      </c>
      <c r="AA466">
        <f>COUNTIF($G$2:G467,G466)</f>
        <v>35</v>
      </c>
      <c r="AB466" s="21">
        <f t="shared" si="92"/>
        <v>44988</v>
      </c>
      <c r="AC466" s="21">
        <f t="shared" si="93"/>
        <v>45016</v>
      </c>
      <c r="AD466" s="5">
        <f>(Table1[[#This Row],[OrderDate]]-Table1[[#This Row],[Date of first order]])/30</f>
        <v>22.533333333333335</v>
      </c>
      <c r="AE466" t="str">
        <f t="shared" si="94"/>
        <v>Poor</v>
      </c>
      <c r="AF466">
        <f>COUNTIF(AE$2:AE467,AE466)</f>
        <v>331</v>
      </c>
      <c r="AG466" t="str">
        <f t="shared" si="95"/>
        <v>False</v>
      </c>
      <c r="AH466" s="7">
        <f>Table1[[#This Row],[UnitPrice]]*(1-Table1[[#This Row],[Disc Scenario]])*Table1[[#This Row],[Quantity]]</f>
        <v>6576.298960000001</v>
      </c>
      <c r="AI466">
        <f>ROUNDDOWN((Table1[[#This Row],[Quantity]]*(1+20%)),0)</f>
        <v>8</v>
      </c>
      <c r="AJ466" s="7">
        <f>Table1[[#This Row],[Quantity increase by 20%]]*Table1[[#This Row],[UnitPrice]]</f>
        <v>8277.2800000000007</v>
      </c>
      <c r="AK466">
        <f>ROUNDDOWN(Table1[[#This Row],[Quantity]]*(1+20%),0)</f>
        <v>8</v>
      </c>
      <c r="AL466" s="7">
        <f>Table1[[#This Row],[UnitCost]]*(1+15%)</f>
        <v>496.94949999999994</v>
      </c>
      <c r="AM466" s="9">
        <f>Table1[[#This Row],[Quantity]]*Table1[[#This Row],[Cost of unit by inflation 15%]]</f>
        <v>3478.6464999999998</v>
      </c>
      <c r="AN466" s="21" cm="1">
        <f t="array" ref="AN466">_xlfn.UNIQUE(AC466)</f>
        <v>45016</v>
      </c>
    </row>
    <row r="467" spans="1:40" x14ac:dyDescent="0.35">
      <c r="A467" t="s">
        <v>147</v>
      </c>
      <c r="B467" s="21">
        <v>45666</v>
      </c>
      <c r="C467" s="10">
        <v>45672</v>
      </c>
      <c r="D467" s="3">
        <f t="shared" si="84"/>
        <v>6</v>
      </c>
      <c r="E467" s="10" t="str">
        <f t="shared" si="85"/>
        <v>Q1-2025</v>
      </c>
      <c r="F467" t="s">
        <v>646</v>
      </c>
      <c r="G467" t="s">
        <v>658</v>
      </c>
      <c r="H467" t="s">
        <v>698</v>
      </c>
      <c r="I467" t="s">
        <v>701</v>
      </c>
      <c r="J467" t="s">
        <v>707</v>
      </c>
      <c r="K467" t="s">
        <v>711</v>
      </c>
      <c r="L467" t="s">
        <v>729</v>
      </c>
      <c r="M467" t="s">
        <v>865</v>
      </c>
      <c r="N467" s="3">
        <v>304.77999999999997</v>
      </c>
      <c r="O467" s="3">
        <v>537.27</v>
      </c>
      <c r="P467" s="6">
        <v>0.187</v>
      </c>
      <c r="Q467" s="6">
        <f>IF(Table1[[#This Row],[DiscountPct]]&gt;25%,25%,Table1[[#This Row],[DiscountPct]])</f>
        <v>0.187</v>
      </c>
      <c r="R467" s="5">
        <v>8</v>
      </c>
      <c r="S467" s="6">
        <f t="shared" si="86"/>
        <v>0.76281252050659498</v>
      </c>
      <c r="T467" s="8">
        <f t="shared" si="87"/>
        <v>3494.4040799999998</v>
      </c>
      <c r="U467" s="8">
        <f t="shared" si="88"/>
        <v>2438.2399999999998</v>
      </c>
      <c r="V467" s="9">
        <f t="shared" si="89"/>
        <v>1056.16408</v>
      </c>
      <c r="W467" s="6">
        <f t="shared" si="90"/>
        <v>0.3022444044307549</v>
      </c>
      <c r="X467" t="str" cm="1">
        <f t="array" ref="X467">_xlfn.IFS(S467&lt;=25%, "Low", S467&lt;=75%, "Medium", S467&gt;75%, "High")</f>
        <v>High</v>
      </c>
      <c r="Y467" s="8">
        <f>Table1[[#This Row],[Quantity]]*(Table1[[#This Row],[UnitPrice]]*(1-Table1[[#This Row],[DiscountPct]]))</f>
        <v>3494.4040799999998</v>
      </c>
      <c r="Z467" s="9">
        <f t="shared" si="91"/>
        <v>1056.16408</v>
      </c>
      <c r="AA467">
        <f>COUNTIF($G$2:G468,G467)</f>
        <v>41</v>
      </c>
      <c r="AB467" s="21">
        <f t="shared" si="92"/>
        <v>44988</v>
      </c>
      <c r="AC467" s="21">
        <f t="shared" si="93"/>
        <v>45016</v>
      </c>
      <c r="AD467" s="5">
        <f>(Table1[[#This Row],[OrderDate]]-Table1[[#This Row],[Date of first order]])/30</f>
        <v>22.6</v>
      </c>
      <c r="AE467" t="str">
        <f t="shared" si="94"/>
        <v>Good</v>
      </c>
      <c r="AF467">
        <f>COUNTIF(AE$2:AE468,AE467)</f>
        <v>135</v>
      </c>
      <c r="AG467" t="str">
        <f t="shared" si="95"/>
        <v>False</v>
      </c>
      <c r="AH467" s="7">
        <f>Table1[[#This Row],[UnitPrice]]*(1-Table1[[#This Row],[Disc Scenario]])*Table1[[#This Row],[Quantity]]</f>
        <v>3494.4040799999998</v>
      </c>
      <c r="AI467">
        <f>ROUNDDOWN((Table1[[#This Row],[Quantity]]*(1+20%)),0)</f>
        <v>9</v>
      </c>
      <c r="AJ467" s="7">
        <f>Table1[[#This Row],[Quantity increase by 20%]]*Table1[[#This Row],[UnitPrice]]</f>
        <v>4835.43</v>
      </c>
      <c r="AK467">
        <f>ROUNDDOWN(Table1[[#This Row],[Quantity]]*(1+20%),0)</f>
        <v>9</v>
      </c>
      <c r="AL467" s="7">
        <f>Table1[[#This Row],[UnitCost]]*(1+15%)</f>
        <v>350.49699999999996</v>
      </c>
      <c r="AM467" s="9">
        <f>Table1[[#This Row],[Quantity]]*Table1[[#This Row],[Cost of unit by inflation 15%]]</f>
        <v>2803.9759999999997</v>
      </c>
      <c r="AN467" s="21" cm="1">
        <f t="array" ref="AN467">_xlfn.UNIQUE(AC467)</f>
        <v>45016</v>
      </c>
    </row>
    <row r="468" spans="1:40" x14ac:dyDescent="0.35">
      <c r="A468" t="s">
        <v>548</v>
      </c>
      <c r="B468" s="21">
        <v>45667</v>
      </c>
      <c r="C468" s="10">
        <v>45694</v>
      </c>
      <c r="D468" s="3">
        <f t="shared" si="84"/>
        <v>27</v>
      </c>
      <c r="E468" s="10" t="str">
        <f t="shared" si="85"/>
        <v>Q1-2025</v>
      </c>
      <c r="F468" t="s">
        <v>647</v>
      </c>
      <c r="G468" t="s">
        <v>654</v>
      </c>
      <c r="H468" t="s">
        <v>671</v>
      </c>
      <c r="I468" t="s">
        <v>702</v>
      </c>
      <c r="J468" t="s">
        <v>706</v>
      </c>
      <c r="K468" t="s">
        <v>716</v>
      </c>
      <c r="L468" t="s">
        <v>730</v>
      </c>
      <c r="M468" t="s">
        <v>1265</v>
      </c>
      <c r="N468" s="3">
        <v>725.62</v>
      </c>
      <c r="O468" s="3">
        <v>1559.19</v>
      </c>
      <c r="P468" s="6">
        <v>0.19</v>
      </c>
      <c r="Q468" s="6">
        <f>IF(Table1[[#This Row],[DiscountPct]]&gt;25%,25%,Table1[[#This Row],[DiscountPct]])</f>
        <v>0.19</v>
      </c>
      <c r="R468" s="5">
        <v>12</v>
      </c>
      <c r="S468" s="6">
        <f t="shared" si="86"/>
        <v>1.1487693282985585</v>
      </c>
      <c r="T468" s="8">
        <f t="shared" si="87"/>
        <v>15155.326800000001</v>
      </c>
      <c r="U468" s="8">
        <f t="shared" si="88"/>
        <v>8707.44</v>
      </c>
      <c r="V468" s="9">
        <f t="shared" si="89"/>
        <v>6447.8868000000002</v>
      </c>
      <c r="W468" s="6">
        <f t="shared" si="90"/>
        <v>0.42545349797405885</v>
      </c>
      <c r="X468" t="str" cm="1">
        <f t="array" ref="X468">_xlfn.IFS(S468&lt;=25%, "Low", S468&lt;=75%, "Medium", S468&gt;75%, "High")</f>
        <v>High</v>
      </c>
      <c r="Y468" s="8">
        <f>Table1[[#This Row],[Quantity]]*(Table1[[#This Row],[UnitPrice]]*(1-Table1[[#This Row],[DiscountPct]]))</f>
        <v>15155.326800000003</v>
      </c>
      <c r="Z468" s="9">
        <f t="shared" si="91"/>
        <v>6447.886800000002</v>
      </c>
      <c r="AA468">
        <f>COUNTIF($G$2:G469,G468)</f>
        <v>42</v>
      </c>
      <c r="AB468" s="21">
        <f t="shared" si="92"/>
        <v>44988</v>
      </c>
      <c r="AC468" s="21">
        <f t="shared" si="93"/>
        <v>45016</v>
      </c>
      <c r="AD468" s="5">
        <f>(Table1[[#This Row],[OrderDate]]-Table1[[#This Row],[Date of first order]])/30</f>
        <v>22.633333333333333</v>
      </c>
      <c r="AE468" t="str">
        <f t="shared" si="94"/>
        <v>Poor</v>
      </c>
      <c r="AF468">
        <f>COUNTIF(AE$2:AE469,AE468)</f>
        <v>333</v>
      </c>
      <c r="AG468" t="str">
        <f t="shared" si="95"/>
        <v>False</v>
      </c>
      <c r="AH468" s="7">
        <f>Table1[[#This Row],[UnitPrice]]*(1-Table1[[#This Row],[Disc Scenario]])*Table1[[#This Row],[Quantity]]</f>
        <v>15155.326800000003</v>
      </c>
      <c r="AI468">
        <f>ROUNDDOWN((Table1[[#This Row],[Quantity]]*(1+20%)),0)</f>
        <v>14</v>
      </c>
      <c r="AJ468" s="7">
        <f>Table1[[#This Row],[Quantity increase by 20%]]*Table1[[#This Row],[UnitPrice]]</f>
        <v>21828.66</v>
      </c>
      <c r="AK468">
        <f>ROUNDDOWN(Table1[[#This Row],[Quantity]]*(1+20%),0)</f>
        <v>14</v>
      </c>
      <c r="AL468" s="7">
        <f>Table1[[#This Row],[UnitCost]]*(1+15%)</f>
        <v>834.46299999999997</v>
      </c>
      <c r="AM468" s="9">
        <f>Table1[[#This Row],[Quantity]]*Table1[[#This Row],[Cost of unit by inflation 15%]]</f>
        <v>10013.556</v>
      </c>
      <c r="AN468" s="21" cm="1">
        <f t="array" ref="AN468">_xlfn.UNIQUE(AC468)</f>
        <v>45016</v>
      </c>
    </row>
    <row r="469" spans="1:40" x14ac:dyDescent="0.35">
      <c r="A469" t="s">
        <v>343</v>
      </c>
      <c r="B469" s="21">
        <v>45668</v>
      </c>
      <c r="C469" s="10">
        <v>45680</v>
      </c>
      <c r="D469" s="3">
        <f t="shared" si="84"/>
        <v>12</v>
      </c>
      <c r="E469" s="10" t="str">
        <f t="shared" si="85"/>
        <v>Q1-2025</v>
      </c>
      <c r="F469" t="s">
        <v>647</v>
      </c>
      <c r="G469" t="s">
        <v>659</v>
      </c>
      <c r="H469" t="s">
        <v>696</v>
      </c>
      <c r="I469" t="s">
        <v>703</v>
      </c>
      <c r="J469" t="s">
        <v>709</v>
      </c>
      <c r="K469" t="s">
        <v>721</v>
      </c>
      <c r="L469" t="s">
        <v>729</v>
      </c>
      <c r="M469" t="s">
        <v>1061</v>
      </c>
      <c r="N469" s="3">
        <v>100.69</v>
      </c>
      <c r="O469" s="3">
        <v>226.14</v>
      </c>
      <c r="P469" s="6">
        <v>6.5000000000000002E-2</v>
      </c>
      <c r="Q469" s="6">
        <f>IF(Table1[[#This Row],[DiscountPct]]&gt;25%,25%,Table1[[#This Row],[DiscountPct]])</f>
        <v>6.5000000000000002E-2</v>
      </c>
      <c r="R469" s="5">
        <v>12</v>
      </c>
      <c r="S469" s="6">
        <f t="shared" si="86"/>
        <v>1.2459032674545634</v>
      </c>
      <c r="T469" s="8">
        <f t="shared" si="87"/>
        <v>2537.2908000000002</v>
      </c>
      <c r="U469" s="8">
        <f t="shared" si="88"/>
        <v>1208.28</v>
      </c>
      <c r="V469" s="9">
        <f t="shared" si="89"/>
        <v>1329.0108000000002</v>
      </c>
      <c r="W469" s="6">
        <f t="shared" si="90"/>
        <v>0.52379128162999689</v>
      </c>
      <c r="X469" t="str" cm="1">
        <f t="array" ref="X469">_xlfn.IFS(S469&lt;=25%, "Low", S469&lt;=75%, "Medium", S469&gt;75%, "High")</f>
        <v>High</v>
      </c>
      <c r="Y469" s="8">
        <f>Table1[[#This Row],[Quantity]]*(Table1[[#This Row],[UnitPrice]]*(1-Table1[[#This Row],[DiscountPct]]))</f>
        <v>2537.2907999999998</v>
      </c>
      <c r="Z469" s="9">
        <f t="shared" si="91"/>
        <v>1329.0107999999998</v>
      </c>
      <c r="AA469">
        <f>COUNTIF($G$2:G470,G469)</f>
        <v>42</v>
      </c>
      <c r="AB469" s="21">
        <f t="shared" si="92"/>
        <v>44988</v>
      </c>
      <c r="AC469" s="21">
        <f t="shared" si="93"/>
        <v>45016</v>
      </c>
      <c r="AD469" s="5">
        <f>(Table1[[#This Row],[OrderDate]]-Table1[[#This Row],[Date of first order]])/30</f>
        <v>22.666666666666668</v>
      </c>
      <c r="AE469" t="str">
        <f t="shared" si="94"/>
        <v>Poor</v>
      </c>
      <c r="AF469">
        <f>COUNTIF(AE$2:AE470,AE469)</f>
        <v>334</v>
      </c>
      <c r="AG469" t="str">
        <f t="shared" si="95"/>
        <v>False</v>
      </c>
      <c r="AH469" s="7">
        <f>Table1[[#This Row],[UnitPrice]]*(1-Table1[[#This Row],[Disc Scenario]])*Table1[[#This Row],[Quantity]]</f>
        <v>2537.2907999999998</v>
      </c>
      <c r="AI469">
        <f>ROUNDDOWN((Table1[[#This Row],[Quantity]]*(1+20%)),0)</f>
        <v>14</v>
      </c>
      <c r="AJ469" s="7">
        <f>Table1[[#This Row],[Quantity increase by 20%]]*Table1[[#This Row],[UnitPrice]]</f>
        <v>3165.96</v>
      </c>
      <c r="AK469">
        <f>ROUNDDOWN(Table1[[#This Row],[Quantity]]*(1+20%),0)</f>
        <v>14</v>
      </c>
      <c r="AL469" s="7">
        <f>Table1[[#This Row],[UnitCost]]*(1+15%)</f>
        <v>115.79349999999999</v>
      </c>
      <c r="AM469" s="9">
        <f>Table1[[#This Row],[Quantity]]*Table1[[#This Row],[Cost of unit by inflation 15%]]</f>
        <v>1389.5219999999999</v>
      </c>
      <c r="AN469" s="21" cm="1">
        <f t="array" ref="AN469">_xlfn.UNIQUE(AC469)</f>
        <v>45016</v>
      </c>
    </row>
    <row r="470" spans="1:40" x14ac:dyDescent="0.35">
      <c r="A470" t="s">
        <v>200</v>
      </c>
      <c r="B470" s="21">
        <v>45670</v>
      </c>
      <c r="C470" s="10">
        <v>45696</v>
      </c>
      <c r="D470" s="3">
        <f t="shared" si="84"/>
        <v>26</v>
      </c>
      <c r="E470" s="10" t="str">
        <f t="shared" si="85"/>
        <v>Q1-2025</v>
      </c>
      <c r="F470" t="s">
        <v>648</v>
      </c>
      <c r="G470" t="s">
        <v>656</v>
      </c>
      <c r="H470" t="s">
        <v>689</v>
      </c>
      <c r="I470" t="s">
        <v>702</v>
      </c>
      <c r="J470" t="s">
        <v>710</v>
      </c>
      <c r="K470" t="s">
        <v>717</v>
      </c>
      <c r="L470" t="s">
        <v>731</v>
      </c>
      <c r="M470" t="s">
        <v>918</v>
      </c>
      <c r="N470" s="3">
        <v>594.74</v>
      </c>
      <c r="O470" s="3">
        <v>1020.69</v>
      </c>
      <c r="P470" s="6">
        <v>0.21099999999999999</v>
      </c>
      <c r="Q470" s="6">
        <f>IF(Table1[[#This Row],[DiscountPct]]&gt;25%,25%,Table1[[#This Row],[DiscountPct]])</f>
        <v>0.21099999999999999</v>
      </c>
      <c r="R470" s="5">
        <v>6</v>
      </c>
      <c r="S470" s="6">
        <f t="shared" si="86"/>
        <v>0.71619531223728017</v>
      </c>
      <c r="T470" s="8">
        <f t="shared" si="87"/>
        <v>4831.9464600000001</v>
      </c>
      <c r="U470" s="8">
        <f t="shared" si="88"/>
        <v>3568.44</v>
      </c>
      <c r="V470" s="9">
        <f t="shared" si="89"/>
        <v>1263.5064600000001</v>
      </c>
      <c r="W470" s="6">
        <f t="shared" si="90"/>
        <v>0.26149016146176424</v>
      </c>
      <c r="X470" t="str" cm="1">
        <f t="array" ref="X470">_xlfn.IFS(S470&lt;=25%, "Low", S470&lt;=75%, "Medium", S470&gt;75%, "High")</f>
        <v>Medium</v>
      </c>
      <c r="Y470" s="8">
        <f>Table1[[#This Row],[Quantity]]*(Table1[[#This Row],[UnitPrice]]*(1-Table1[[#This Row],[DiscountPct]]))</f>
        <v>4831.9464600000001</v>
      </c>
      <c r="Z470" s="9">
        <f t="shared" si="91"/>
        <v>1263.5064600000001</v>
      </c>
      <c r="AA470">
        <f>COUNTIF($G$2:G471,G470)</f>
        <v>39</v>
      </c>
      <c r="AB470" s="21">
        <f t="shared" si="92"/>
        <v>44988</v>
      </c>
      <c r="AC470" s="21">
        <f t="shared" si="93"/>
        <v>45016</v>
      </c>
      <c r="AD470" s="5">
        <f>(Table1[[#This Row],[OrderDate]]-Table1[[#This Row],[Date of first order]])/30</f>
        <v>22.733333333333334</v>
      </c>
      <c r="AE470" t="str">
        <f t="shared" si="94"/>
        <v>Poor</v>
      </c>
      <c r="AF470">
        <f>COUNTIF(AE$2:AE471,AE470)</f>
        <v>334</v>
      </c>
      <c r="AG470" t="str">
        <f t="shared" si="95"/>
        <v>True</v>
      </c>
      <c r="AH470" s="7">
        <f>Table1[[#This Row],[UnitPrice]]*(1-Table1[[#This Row],[Disc Scenario]])*Table1[[#This Row],[Quantity]]</f>
        <v>4831.9464600000001</v>
      </c>
      <c r="AI470">
        <f>ROUNDDOWN((Table1[[#This Row],[Quantity]]*(1+20%)),0)</f>
        <v>7</v>
      </c>
      <c r="AJ470" s="7">
        <f>Table1[[#This Row],[Quantity increase by 20%]]*Table1[[#This Row],[UnitPrice]]</f>
        <v>7144.83</v>
      </c>
      <c r="AK470">
        <f>ROUNDDOWN(Table1[[#This Row],[Quantity]]*(1+20%),0)</f>
        <v>7</v>
      </c>
      <c r="AL470" s="7">
        <f>Table1[[#This Row],[UnitCost]]*(1+15%)</f>
        <v>683.95099999999991</v>
      </c>
      <c r="AM470" s="9">
        <f>Table1[[#This Row],[Quantity]]*Table1[[#This Row],[Cost of unit by inflation 15%]]</f>
        <v>4103.7059999999992</v>
      </c>
      <c r="AN470" s="21" cm="1">
        <f t="array" ref="AN470">_xlfn.UNIQUE(AC470)</f>
        <v>45016</v>
      </c>
    </row>
    <row r="471" spans="1:40" x14ac:dyDescent="0.35">
      <c r="A471" t="s">
        <v>128</v>
      </c>
      <c r="B471" s="21">
        <v>45674</v>
      </c>
      <c r="C471" s="10">
        <v>45681</v>
      </c>
      <c r="D471" s="3">
        <f t="shared" si="84"/>
        <v>7</v>
      </c>
      <c r="E471" s="10" t="str">
        <f t="shared" si="85"/>
        <v>Q1-2025</v>
      </c>
      <c r="F471" t="s">
        <v>647</v>
      </c>
      <c r="G471" t="s">
        <v>659</v>
      </c>
      <c r="H471" t="s">
        <v>696</v>
      </c>
      <c r="I471" t="s">
        <v>705</v>
      </c>
      <c r="J471" t="s">
        <v>707</v>
      </c>
      <c r="K471" t="s">
        <v>714</v>
      </c>
      <c r="L471" t="s">
        <v>732</v>
      </c>
      <c r="M471" t="s">
        <v>846</v>
      </c>
      <c r="N471" s="3">
        <v>142.09</v>
      </c>
      <c r="O471" s="3">
        <v>218.5</v>
      </c>
      <c r="P471" s="6">
        <v>0.11899999999999999</v>
      </c>
      <c r="Q471" s="6">
        <f>IF(Table1[[#This Row],[DiscountPct]]&gt;25%,25%,Table1[[#This Row],[DiscountPct]])</f>
        <v>0.11899999999999999</v>
      </c>
      <c r="R471" s="5">
        <v>11</v>
      </c>
      <c r="S471" s="6">
        <f t="shared" si="86"/>
        <v>0.5377577591667253</v>
      </c>
      <c r="T471" s="8">
        <f t="shared" si="87"/>
        <v>2117.4834999999998</v>
      </c>
      <c r="U471" s="8">
        <f t="shared" si="88"/>
        <v>1562.99</v>
      </c>
      <c r="V471" s="9">
        <f t="shared" si="89"/>
        <v>554.49349999999981</v>
      </c>
      <c r="W471" s="6">
        <f t="shared" si="90"/>
        <v>0.26186437816398561</v>
      </c>
      <c r="X471" t="str" cm="1">
        <f t="array" ref="X471">_xlfn.IFS(S471&lt;=25%, "Low", S471&lt;=75%, "Medium", S471&gt;75%, "High")</f>
        <v>Medium</v>
      </c>
      <c r="Y471" s="8">
        <f>Table1[[#This Row],[Quantity]]*(Table1[[#This Row],[UnitPrice]]*(1-Table1[[#This Row],[DiscountPct]]))</f>
        <v>2117.4835000000003</v>
      </c>
      <c r="Z471" s="9">
        <f t="shared" si="91"/>
        <v>554.49350000000027</v>
      </c>
      <c r="AA471">
        <f>COUNTIF($G$2:G472,G471)</f>
        <v>43</v>
      </c>
      <c r="AB471" s="21">
        <f t="shared" si="92"/>
        <v>44988</v>
      </c>
      <c r="AC471" s="21">
        <f t="shared" si="93"/>
        <v>45016</v>
      </c>
      <c r="AD471" s="5">
        <f>(Table1[[#This Row],[OrderDate]]-Table1[[#This Row],[Date of first order]])/30</f>
        <v>22.866666666666667</v>
      </c>
      <c r="AE471" t="str">
        <f t="shared" si="94"/>
        <v>Good</v>
      </c>
      <c r="AF471">
        <f>COUNTIF(AE$2:AE472,AE471)</f>
        <v>136</v>
      </c>
      <c r="AG471" t="str">
        <f t="shared" si="95"/>
        <v>False</v>
      </c>
      <c r="AH471" s="7">
        <f>Table1[[#This Row],[UnitPrice]]*(1-Table1[[#This Row],[Disc Scenario]])*Table1[[#This Row],[Quantity]]</f>
        <v>2117.4835000000003</v>
      </c>
      <c r="AI471">
        <f>ROUNDDOWN((Table1[[#This Row],[Quantity]]*(1+20%)),0)</f>
        <v>13</v>
      </c>
      <c r="AJ471" s="7">
        <f>Table1[[#This Row],[Quantity increase by 20%]]*Table1[[#This Row],[UnitPrice]]</f>
        <v>2840.5</v>
      </c>
      <c r="AK471">
        <f>ROUNDDOWN(Table1[[#This Row],[Quantity]]*(1+20%),0)</f>
        <v>13</v>
      </c>
      <c r="AL471" s="7">
        <f>Table1[[#This Row],[UnitCost]]*(1+15%)</f>
        <v>163.40349999999998</v>
      </c>
      <c r="AM471" s="9">
        <f>Table1[[#This Row],[Quantity]]*Table1[[#This Row],[Cost of unit by inflation 15%]]</f>
        <v>1797.4384999999997</v>
      </c>
      <c r="AN471" s="21" cm="1">
        <f t="array" ref="AN471">_xlfn.UNIQUE(AC471)</f>
        <v>45016</v>
      </c>
    </row>
    <row r="472" spans="1:40" x14ac:dyDescent="0.35">
      <c r="A472" t="s">
        <v>417</v>
      </c>
      <c r="B472" s="21">
        <v>45677</v>
      </c>
      <c r="C472" s="10">
        <v>45691</v>
      </c>
      <c r="D472" s="3">
        <f t="shared" si="84"/>
        <v>14</v>
      </c>
      <c r="E472" s="10" t="str">
        <f t="shared" si="85"/>
        <v>Q1-2025</v>
      </c>
      <c r="F472" t="s">
        <v>647</v>
      </c>
      <c r="G472" t="s">
        <v>654</v>
      </c>
      <c r="H472" t="s">
        <v>671</v>
      </c>
      <c r="I472" t="s">
        <v>705</v>
      </c>
      <c r="J472" t="s">
        <v>708</v>
      </c>
      <c r="K472" t="s">
        <v>720</v>
      </c>
      <c r="L472" t="s">
        <v>726</v>
      </c>
      <c r="M472" t="s">
        <v>1134</v>
      </c>
      <c r="N472" s="3">
        <v>974.11</v>
      </c>
      <c r="O472" s="3">
        <v>2035.8898999999999</v>
      </c>
      <c r="P472" s="6">
        <v>0.111</v>
      </c>
      <c r="Q472" s="6">
        <f>IF(Table1[[#This Row],[DiscountPct]]&gt;25%,25%,Table1[[#This Row],[DiscountPct]])</f>
        <v>0.111</v>
      </c>
      <c r="R472" s="5">
        <v>10</v>
      </c>
      <c r="S472" s="6">
        <f t="shared" si="86"/>
        <v>1.0900000000000001</v>
      </c>
      <c r="T472" s="8">
        <f t="shared" si="87"/>
        <v>18099.061210999997</v>
      </c>
      <c r="U472" s="8">
        <f t="shared" si="88"/>
        <v>9741.1</v>
      </c>
      <c r="V472" s="9">
        <f t="shared" si="89"/>
        <v>8357.9612109999962</v>
      </c>
      <c r="W472" s="6">
        <f t="shared" si="90"/>
        <v>0.46178976431773766</v>
      </c>
      <c r="X472" t="str" cm="1">
        <f t="array" ref="X472">_xlfn.IFS(S472&lt;=25%, "Low", S472&lt;=75%, "Medium", S472&gt;75%, "High")</f>
        <v>High</v>
      </c>
      <c r="Y472" s="8">
        <f>Table1[[#This Row],[Quantity]]*(Table1[[#This Row],[UnitPrice]]*(1-Table1[[#This Row],[DiscountPct]]))</f>
        <v>18099.061211</v>
      </c>
      <c r="Z472" s="9">
        <f t="shared" si="91"/>
        <v>8357.9612109999998</v>
      </c>
      <c r="AA472">
        <f>COUNTIF($G$2:G473,G472)</f>
        <v>43</v>
      </c>
      <c r="AB472" s="21">
        <f t="shared" si="92"/>
        <v>44988</v>
      </c>
      <c r="AC472" s="21">
        <f t="shared" si="93"/>
        <v>45016</v>
      </c>
      <c r="AD472" s="5">
        <f>(Table1[[#This Row],[OrderDate]]-Table1[[#This Row],[Date of first order]])/30</f>
        <v>22.966666666666665</v>
      </c>
      <c r="AE472" t="str">
        <f t="shared" si="94"/>
        <v>Poor</v>
      </c>
      <c r="AF472">
        <f>COUNTIF(AE$2:AE473,AE472)</f>
        <v>336</v>
      </c>
      <c r="AG472" t="str">
        <f t="shared" si="95"/>
        <v>False</v>
      </c>
      <c r="AH472" s="7">
        <f>Table1[[#This Row],[UnitPrice]]*(1-Table1[[#This Row],[Disc Scenario]])*Table1[[#This Row],[Quantity]]</f>
        <v>18099.061211</v>
      </c>
      <c r="AI472">
        <f>ROUNDDOWN((Table1[[#This Row],[Quantity]]*(1+20%)),0)</f>
        <v>12</v>
      </c>
      <c r="AJ472" s="7">
        <f>Table1[[#This Row],[Quantity increase by 20%]]*Table1[[#This Row],[UnitPrice]]</f>
        <v>24430.678799999998</v>
      </c>
      <c r="AK472">
        <f>ROUNDDOWN(Table1[[#This Row],[Quantity]]*(1+20%),0)</f>
        <v>12</v>
      </c>
      <c r="AL472" s="7">
        <f>Table1[[#This Row],[UnitCost]]*(1+15%)</f>
        <v>1120.2265</v>
      </c>
      <c r="AM472" s="9">
        <f>Table1[[#This Row],[Quantity]]*Table1[[#This Row],[Cost of unit by inflation 15%]]</f>
        <v>11202.264999999999</v>
      </c>
      <c r="AN472" s="21" cm="1">
        <f t="array" ref="AN472">_xlfn.UNIQUE(AC472)</f>
        <v>45016</v>
      </c>
    </row>
    <row r="473" spans="1:40" x14ac:dyDescent="0.35">
      <c r="A473" t="s">
        <v>220</v>
      </c>
      <c r="B473" s="21">
        <v>45678</v>
      </c>
      <c r="C473" s="10">
        <v>45702</v>
      </c>
      <c r="D473" s="3">
        <f t="shared" si="84"/>
        <v>24</v>
      </c>
      <c r="E473" s="10" t="str">
        <f t="shared" si="85"/>
        <v>Q1-2025</v>
      </c>
      <c r="F473" t="s">
        <v>645</v>
      </c>
      <c r="G473" t="s">
        <v>649</v>
      </c>
      <c r="H473" t="s">
        <v>663</v>
      </c>
      <c r="I473" t="s">
        <v>704</v>
      </c>
      <c r="J473" t="s">
        <v>706</v>
      </c>
      <c r="K473" t="s">
        <v>712</v>
      </c>
      <c r="L473" t="s">
        <v>732</v>
      </c>
      <c r="M473" t="s">
        <v>938</v>
      </c>
      <c r="N473" s="3">
        <v>1030.44</v>
      </c>
      <c r="O473" s="3">
        <v>2562.84</v>
      </c>
      <c r="P473" s="6">
        <v>0.14799999999999999</v>
      </c>
      <c r="Q473" s="6">
        <f>IF(Table1[[#This Row],[DiscountPct]]&gt;25%,25%,Table1[[#This Row],[DiscountPct]])</f>
        <v>0.14799999999999999</v>
      </c>
      <c r="R473" s="5">
        <v>13</v>
      </c>
      <c r="S473" s="6">
        <f t="shared" si="86"/>
        <v>1.4871317107255153</v>
      </c>
      <c r="T473" s="8">
        <f t="shared" si="87"/>
        <v>28386.015839999996</v>
      </c>
      <c r="U473" s="8">
        <f t="shared" si="88"/>
        <v>13395.720000000001</v>
      </c>
      <c r="V473" s="9">
        <f t="shared" si="89"/>
        <v>14990.295839999995</v>
      </c>
      <c r="W473" s="6">
        <f t="shared" si="90"/>
        <v>0.52808734852027039</v>
      </c>
      <c r="X473" t="str" cm="1">
        <f t="array" ref="X473">_xlfn.IFS(S473&lt;=25%, "Low", S473&lt;=75%, "Medium", S473&gt;75%, "High")</f>
        <v>High</v>
      </c>
      <c r="Y473" s="8">
        <f>Table1[[#This Row],[Quantity]]*(Table1[[#This Row],[UnitPrice]]*(1-Table1[[#This Row],[DiscountPct]]))</f>
        <v>28386.01584</v>
      </c>
      <c r="Z473" s="9">
        <f t="shared" si="91"/>
        <v>14990.295839999999</v>
      </c>
      <c r="AA473">
        <f>COUNTIF($G$2:G474,G473)</f>
        <v>45</v>
      </c>
      <c r="AB473" s="21">
        <f t="shared" si="92"/>
        <v>44988</v>
      </c>
      <c r="AC473" s="21">
        <f t="shared" si="93"/>
        <v>45016</v>
      </c>
      <c r="AD473" s="5">
        <f>(Table1[[#This Row],[OrderDate]]-Table1[[#This Row],[Date of first order]])/30</f>
        <v>23</v>
      </c>
      <c r="AE473" t="str">
        <f t="shared" si="94"/>
        <v>Poor</v>
      </c>
      <c r="AF473">
        <f>COUNTIF(AE$2:AE474,AE473)</f>
        <v>337</v>
      </c>
      <c r="AG473" t="str">
        <f t="shared" si="95"/>
        <v>False</v>
      </c>
      <c r="AH473" s="7">
        <f>Table1[[#This Row],[UnitPrice]]*(1-Table1[[#This Row],[Disc Scenario]])*Table1[[#This Row],[Quantity]]</f>
        <v>28386.01584</v>
      </c>
      <c r="AI473">
        <f>ROUNDDOWN((Table1[[#This Row],[Quantity]]*(1+20%)),0)</f>
        <v>15</v>
      </c>
      <c r="AJ473" s="7">
        <f>Table1[[#This Row],[Quantity increase by 20%]]*Table1[[#This Row],[UnitPrice]]</f>
        <v>38442.600000000006</v>
      </c>
      <c r="AK473">
        <f>ROUNDDOWN(Table1[[#This Row],[Quantity]]*(1+20%),0)</f>
        <v>15</v>
      </c>
      <c r="AL473" s="7">
        <f>Table1[[#This Row],[UnitCost]]*(1+15%)</f>
        <v>1185.0059999999999</v>
      </c>
      <c r="AM473" s="9">
        <f>Table1[[#This Row],[Quantity]]*Table1[[#This Row],[Cost of unit by inflation 15%]]</f>
        <v>15405.077999999998</v>
      </c>
      <c r="AN473" s="21" cm="1">
        <f t="array" ref="AN473">_xlfn.UNIQUE(AC473)</f>
        <v>45016</v>
      </c>
    </row>
    <row r="474" spans="1:40" x14ac:dyDescent="0.35">
      <c r="A474" t="s">
        <v>68</v>
      </c>
      <c r="B474" s="21">
        <v>45678</v>
      </c>
      <c r="C474" s="10">
        <v>45704</v>
      </c>
      <c r="D474" s="3">
        <f t="shared" si="84"/>
        <v>26</v>
      </c>
      <c r="E474" s="10" t="str">
        <f t="shared" si="85"/>
        <v>Q1-2025</v>
      </c>
      <c r="F474" t="s">
        <v>648</v>
      </c>
      <c r="G474" t="s">
        <v>656</v>
      </c>
      <c r="H474" t="s">
        <v>678</v>
      </c>
      <c r="I474" t="s">
        <v>700</v>
      </c>
      <c r="J474" t="s">
        <v>709</v>
      </c>
      <c r="K474" t="s">
        <v>718</v>
      </c>
      <c r="L474" t="s">
        <v>730</v>
      </c>
      <c r="M474" t="s">
        <v>786</v>
      </c>
      <c r="N474" s="3">
        <v>204.11</v>
      </c>
      <c r="O474" s="3">
        <v>236.87</v>
      </c>
      <c r="P474" s="6">
        <v>0.182</v>
      </c>
      <c r="Q474" s="6">
        <f>IF(Table1[[#This Row],[DiscountPct]]&gt;25%,25%,Table1[[#This Row],[DiscountPct]])</f>
        <v>0.182</v>
      </c>
      <c r="R474" s="5">
        <v>13</v>
      </c>
      <c r="S474" s="6">
        <f t="shared" si="86"/>
        <v>0.16050169026505309</v>
      </c>
      <c r="T474" s="8">
        <f t="shared" si="87"/>
        <v>2518.8755800000004</v>
      </c>
      <c r="U474" s="8">
        <f t="shared" si="88"/>
        <v>2653.4300000000003</v>
      </c>
      <c r="V474" s="9">
        <f t="shared" si="89"/>
        <v>-134.55441999999994</v>
      </c>
      <c r="W474" s="6">
        <f t="shared" si="90"/>
        <v>-5.3418446337075494E-2</v>
      </c>
      <c r="X474" t="str" cm="1">
        <f t="array" ref="X474">_xlfn.IFS(S474&lt;=25%, "Low", S474&lt;=75%, "Medium", S474&gt;75%, "High")</f>
        <v>Low</v>
      </c>
      <c r="Y474" s="8">
        <f>Table1[[#This Row],[Quantity]]*(Table1[[#This Row],[UnitPrice]]*(1-Table1[[#This Row],[DiscountPct]]))</f>
        <v>2518.8755800000004</v>
      </c>
      <c r="Z474" s="9">
        <f t="shared" si="91"/>
        <v>-134.55441999999994</v>
      </c>
      <c r="AA474">
        <f>COUNTIF($G$2:G475,G474)</f>
        <v>41</v>
      </c>
      <c r="AB474" s="21">
        <f t="shared" si="92"/>
        <v>44988</v>
      </c>
      <c r="AC474" s="21">
        <f t="shared" si="93"/>
        <v>45016</v>
      </c>
      <c r="AD474" s="5">
        <f>(Table1[[#This Row],[OrderDate]]-Table1[[#This Row],[Date of first order]])/30</f>
        <v>23</v>
      </c>
      <c r="AE474" t="str">
        <f t="shared" si="94"/>
        <v>Poor</v>
      </c>
      <c r="AF474">
        <f>COUNTIF(AE$2:AE475,AE474)</f>
        <v>337</v>
      </c>
      <c r="AG474" t="str">
        <f t="shared" si="95"/>
        <v>False</v>
      </c>
      <c r="AH474" s="7">
        <f>Table1[[#This Row],[UnitPrice]]*(1-Table1[[#This Row],[Disc Scenario]])*Table1[[#This Row],[Quantity]]</f>
        <v>2518.8755800000004</v>
      </c>
      <c r="AI474">
        <f>ROUNDDOWN((Table1[[#This Row],[Quantity]]*(1+20%)),0)</f>
        <v>15</v>
      </c>
      <c r="AJ474" s="7">
        <f>Table1[[#This Row],[Quantity increase by 20%]]*Table1[[#This Row],[UnitPrice]]</f>
        <v>3553.05</v>
      </c>
      <c r="AK474">
        <f>ROUNDDOWN(Table1[[#This Row],[Quantity]]*(1+20%),0)</f>
        <v>15</v>
      </c>
      <c r="AL474" s="7">
        <f>Table1[[#This Row],[UnitCost]]*(1+15%)</f>
        <v>234.72649999999999</v>
      </c>
      <c r="AM474" s="9">
        <f>Table1[[#This Row],[Quantity]]*Table1[[#This Row],[Cost of unit by inflation 15%]]</f>
        <v>3051.4444999999996</v>
      </c>
      <c r="AN474" s="21" cm="1">
        <f t="array" ref="AN474">_xlfn.UNIQUE(AC474)</f>
        <v>45016</v>
      </c>
    </row>
    <row r="475" spans="1:40" x14ac:dyDescent="0.35">
      <c r="A475" t="s">
        <v>312</v>
      </c>
      <c r="B475" s="21">
        <v>45679</v>
      </c>
      <c r="C475" s="10">
        <v>45679</v>
      </c>
      <c r="D475" s="3">
        <f t="shared" si="84"/>
        <v>0</v>
      </c>
      <c r="E475" s="10" t="str">
        <f t="shared" si="85"/>
        <v>Q1-2025</v>
      </c>
      <c r="F475" t="s">
        <v>648</v>
      </c>
      <c r="G475" t="s">
        <v>656</v>
      </c>
      <c r="H475" t="s">
        <v>678</v>
      </c>
      <c r="I475" t="s">
        <v>704</v>
      </c>
      <c r="J475" t="s">
        <v>707</v>
      </c>
      <c r="K475" t="s">
        <v>716</v>
      </c>
      <c r="L475" t="s">
        <v>732</v>
      </c>
      <c r="M475" t="s">
        <v>1030</v>
      </c>
      <c r="N475" s="3">
        <v>591.72</v>
      </c>
      <c r="O475" s="3">
        <v>1029.5928000000001</v>
      </c>
      <c r="P475" s="6">
        <v>0</v>
      </c>
      <c r="Q475" s="6">
        <f>IF(Table1[[#This Row],[DiscountPct]]&gt;25%,25%,Table1[[#This Row],[DiscountPct]])</f>
        <v>0</v>
      </c>
      <c r="R475" s="5">
        <v>22</v>
      </c>
      <c r="S475" s="6">
        <f t="shared" si="86"/>
        <v>0.7400000000000001</v>
      </c>
      <c r="T475" s="8">
        <f t="shared" si="87"/>
        <v>22651.041600000004</v>
      </c>
      <c r="U475" s="8">
        <f t="shared" si="88"/>
        <v>13017.84</v>
      </c>
      <c r="V475" s="9">
        <f t="shared" si="89"/>
        <v>9633.201600000004</v>
      </c>
      <c r="W475" s="6">
        <f t="shared" si="90"/>
        <v>0.42528735632183917</v>
      </c>
      <c r="X475" t="str" cm="1">
        <f t="array" ref="X475">_xlfn.IFS(S475&lt;=25%, "Low", S475&lt;=75%, "Medium", S475&gt;75%, "High")</f>
        <v>Medium</v>
      </c>
      <c r="Y475" s="8">
        <f>Table1[[#This Row],[Quantity]]*(Table1[[#This Row],[UnitPrice]]*(1-Table1[[#This Row],[DiscountPct]]))</f>
        <v>22651.041600000004</v>
      </c>
      <c r="Z475" s="9">
        <f t="shared" si="91"/>
        <v>9633.201600000004</v>
      </c>
      <c r="AA475">
        <f>COUNTIF($G$2:G476,G475)</f>
        <v>41</v>
      </c>
      <c r="AB475" s="21">
        <f t="shared" si="92"/>
        <v>44988</v>
      </c>
      <c r="AC475" s="21">
        <f t="shared" si="93"/>
        <v>45016</v>
      </c>
      <c r="AD475" s="5">
        <f>(Table1[[#This Row],[OrderDate]]-Table1[[#This Row],[Date of first order]])/30</f>
        <v>23.033333333333335</v>
      </c>
      <c r="AE475" t="str">
        <f t="shared" si="94"/>
        <v>Good</v>
      </c>
      <c r="AF475">
        <f>COUNTIF(AE$2:AE476,AE475)</f>
        <v>137</v>
      </c>
      <c r="AG475" t="str">
        <f t="shared" si="95"/>
        <v>False</v>
      </c>
      <c r="AH475" s="7">
        <f>Table1[[#This Row],[UnitPrice]]*(1-Table1[[#This Row],[Disc Scenario]])*Table1[[#This Row],[Quantity]]</f>
        <v>22651.041600000004</v>
      </c>
      <c r="AI475">
        <f>ROUNDDOWN((Table1[[#This Row],[Quantity]]*(1+20%)),0)</f>
        <v>26</v>
      </c>
      <c r="AJ475" s="7">
        <f>Table1[[#This Row],[Quantity increase by 20%]]*Table1[[#This Row],[UnitPrice]]</f>
        <v>26769.412800000002</v>
      </c>
      <c r="AK475">
        <f>ROUNDDOWN(Table1[[#This Row],[Quantity]]*(1+20%),0)</f>
        <v>26</v>
      </c>
      <c r="AL475" s="7">
        <f>Table1[[#This Row],[UnitCost]]*(1+15%)</f>
        <v>680.47799999999995</v>
      </c>
      <c r="AM475" s="9">
        <f>Table1[[#This Row],[Quantity]]*Table1[[#This Row],[Cost of unit by inflation 15%]]</f>
        <v>14970.516</v>
      </c>
      <c r="AN475" s="21" cm="1">
        <f t="array" ref="AN475">_xlfn.UNIQUE(AC475)</f>
        <v>45016</v>
      </c>
    </row>
    <row r="476" spans="1:40" x14ac:dyDescent="0.35">
      <c r="A476" t="s">
        <v>321</v>
      </c>
      <c r="B476" s="21">
        <v>45679</v>
      </c>
      <c r="C476" s="10">
        <v>45692</v>
      </c>
      <c r="D476" s="3">
        <f t="shared" si="84"/>
        <v>13</v>
      </c>
      <c r="E476" s="10" t="str">
        <f t="shared" si="85"/>
        <v>Q1-2025</v>
      </c>
      <c r="F476" t="s">
        <v>646</v>
      </c>
      <c r="G476" t="s">
        <v>651</v>
      </c>
      <c r="H476" t="s">
        <v>688</v>
      </c>
      <c r="I476" t="s">
        <v>704</v>
      </c>
      <c r="J476" t="s">
        <v>709</v>
      </c>
      <c r="K476" t="s">
        <v>715</v>
      </c>
      <c r="L476" t="s">
        <v>727</v>
      </c>
      <c r="M476" t="s">
        <v>1039</v>
      </c>
      <c r="N476" s="3">
        <v>122.29</v>
      </c>
      <c r="O476" s="3">
        <v>224.95</v>
      </c>
      <c r="P476" s="6">
        <v>0.153</v>
      </c>
      <c r="Q476" s="6">
        <f>IF(Table1[[#This Row],[DiscountPct]]&gt;25%,25%,Table1[[#This Row],[DiscountPct]])</f>
        <v>0.153</v>
      </c>
      <c r="R476" s="5">
        <v>28</v>
      </c>
      <c r="S476" s="6">
        <f t="shared" si="86"/>
        <v>0.83947992476899158</v>
      </c>
      <c r="T476" s="8">
        <f t="shared" si="87"/>
        <v>5334.9141999999993</v>
      </c>
      <c r="U476" s="8">
        <f t="shared" si="88"/>
        <v>3424.1200000000003</v>
      </c>
      <c r="V476" s="9">
        <f t="shared" si="89"/>
        <v>1910.7941999999989</v>
      </c>
      <c r="W476" s="6">
        <f t="shared" si="90"/>
        <v>0.3581677471026618</v>
      </c>
      <c r="X476" t="str" cm="1">
        <f t="array" ref="X476">_xlfn.IFS(S476&lt;=25%, "Low", S476&lt;=75%, "Medium", S476&gt;75%, "High")</f>
        <v>High</v>
      </c>
      <c r="Y476" s="8">
        <f>Table1[[#This Row],[Quantity]]*(Table1[[#This Row],[UnitPrice]]*(1-Table1[[#This Row],[DiscountPct]]))</f>
        <v>5334.9141999999993</v>
      </c>
      <c r="Z476" s="9">
        <f t="shared" si="91"/>
        <v>1910.7941999999989</v>
      </c>
      <c r="AA476">
        <f>COUNTIF($G$2:G477,G476)</f>
        <v>40</v>
      </c>
      <c r="AB476" s="21">
        <f t="shared" si="92"/>
        <v>44988</v>
      </c>
      <c r="AC476" s="21">
        <f t="shared" si="93"/>
        <v>45016</v>
      </c>
      <c r="AD476" s="5">
        <f>(Table1[[#This Row],[OrderDate]]-Table1[[#This Row],[Date of first order]])/30</f>
        <v>23.033333333333335</v>
      </c>
      <c r="AE476" t="str">
        <f t="shared" si="94"/>
        <v>Poor</v>
      </c>
      <c r="AF476">
        <f>COUNTIF(AE$2:AE477,AE476)</f>
        <v>339</v>
      </c>
      <c r="AG476" t="str">
        <f t="shared" si="95"/>
        <v>False</v>
      </c>
      <c r="AH476" s="7">
        <f>Table1[[#This Row],[UnitPrice]]*(1-Table1[[#This Row],[Disc Scenario]])*Table1[[#This Row],[Quantity]]</f>
        <v>5334.9141999999993</v>
      </c>
      <c r="AI476">
        <f>ROUNDDOWN((Table1[[#This Row],[Quantity]]*(1+20%)),0)</f>
        <v>33</v>
      </c>
      <c r="AJ476" s="7">
        <f>Table1[[#This Row],[Quantity increase by 20%]]*Table1[[#This Row],[UnitPrice]]</f>
        <v>7423.3499999999995</v>
      </c>
      <c r="AK476">
        <f>ROUNDDOWN(Table1[[#This Row],[Quantity]]*(1+20%),0)</f>
        <v>33</v>
      </c>
      <c r="AL476" s="7">
        <f>Table1[[#This Row],[UnitCost]]*(1+15%)</f>
        <v>140.6335</v>
      </c>
      <c r="AM476" s="9">
        <f>Table1[[#This Row],[Quantity]]*Table1[[#This Row],[Cost of unit by inflation 15%]]</f>
        <v>3937.7379999999998</v>
      </c>
      <c r="AN476" s="21" cm="1">
        <f t="array" ref="AN476">_xlfn.UNIQUE(AC476)</f>
        <v>45016</v>
      </c>
    </row>
    <row r="477" spans="1:40" x14ac:dyDescent="0.35">
      <c r="A477" t="s">
        <v>115</v>
      </c>
      <c r="B477" s="21">
        <v>45684</v>
      </c>
      <c r="C477" s="10">
        <v>45703</v>
      </c>
      <c r="D477" s="3">
        <f t="shared" si="84"/>
        <v>19</v>
      </c>
      <c r="E477" s="10" t="str">
        <f t="shared" si="85"/>
        <v>Q1-2025</v>
      </c>
      <c r="F477" t="s">
        <v>646</v>
      </c>
      <c r="G477" t="s">
        <v>658</v>
      </c>
      <c r="H477" t="s">
        <v>675</v>
      </c>
      <c r="I477" t="s">
        <v>702</v>
      </c>
      <c r="J477" t="s">
        <v>710</v>
      </c>
      <c r="K477" t="s">
        <v>715</v>
      </c>
      <c r="L477" t="s">
        <v>729</v>
      </c>
      <c r="M477" t="s">
        <v>833</v>
      </c>
      <c r="N477" s="3">
        <v>1253.22</v>
      </c>
      <c r="O477" s="3">
        <v>3104.71</v>
      </c>
      <c r="P477" s="6">
        <v>0</v>
      </c>
      <c r="Q477" s="6">
        <f>IF(Table1[[#This Row],[DiscountPct]]&gt;25%,25%,Table1[[#This Row],[DiscountPct]])</f>
        <v>0</v>
      </c>
      <c r="R477" s="5">
        <v>17</v>
      </c>
      <c r="S477" s="6">
        <f t="shared" si="86"/>
        <v>1.4773862530122404</v>
      </c>
      <c r="T477" s="8">
        <f t="shared" si="87"/>
        <v>52780.07</v>
      </c>
      <c r="U477" s="8">
        <f t="shared" si="88"/>
        <v>21304.74</v>
      </c>
      <c r="V477" s="9">
        <f t="shared" si="89"/>
        <v>31475.329999999998</v>
      </c>
      <c r="W477" s="6">
        <f t="shared" si="90"/>
        <v>0.59634877331538205</v>
      </c>
      <c r="X477" t="str" cm="1">
        <f t="array" ref="X477">_xlfn.IFS(S477&lt;=25%, "Low", S477&lt;=75%, "Medium", S477&gt;75%, "High")</f>
        <v>High</v>
      </c>
      <c r="Y477" s="8">
        <f>Table1[[#This Row],[Quantity]]*(Table1[[#This Row],[UnitPrice]]*(1-Table1[[#This Row],[DiscountPct]]))</f>
        <v>52780.07</v>
      </c>
      <c r="Z477" s="9">
        <f t="shared" si="91"/>
        <v>31475.329999999998</v>
      </c>
      <c r="AA477">
        <f>COUNTIF($G$2:G478,G477)</f>
        <v>42</v>
      </c>
      <c r="AB477" s="21">
        <f t="shared" si="92"/>
        <v>44988</v>
      </c>
      <c r="AC477" s="21">
        <f t="shared" si="93"/>
        <v>45016</v>
      </c>
      <c r="AD477" s="5">
        <f>(Table1[[#This Row],[OrderDate]]-Table1[[#This Row],[Date of first order]])/30</f>
        <v>23.2</v>
      </c>
      <c r="AE477" t="str">
        <f t="shared" si="94"/>
        <v>Poor</v>
      </c>
      <c r="AF477">
        <f>COUNTIF(AE$2:AE478,AE477)</f>
        <v>340</v>
      </c>
      <c r="AG477" t="str">
        <f t="shared" si="95"/>
        <v>False</v>
      </c>
      <c r="AH477" s="7">
        <f>Table1[[#This Row],[UnitPrice]]*(1-Table1[[#This Row],[Disc Scenario]])*Table1[[#This Row],[Quantity]]</f>
        <v>52780.07</v>
      </c>
      <c r="AI477">
        <f>ROUNDDOWN((Table1[[#This Row],[Quantity]]*(1+20%)),0)</f>
        <v>20</v>
      </c>
      <c r="AJ477" s="7">
        <f>Table1[[#This Row],[Quantity increase by 20%]]*Table1[[#This Row],[UnitPrice]]</f>
        <v>62094.2</v>
      </c>
      <c r="AK477">
        <f>ROUNDDOWN(Table1[[#This Row],[Quantity]]*(1+20%),0)</f>
        <v>20</v>
      </c>
      <c r="AL477" s="7">
        <f>Table1[[#This Row],[UnitCost]]*(1+15%)</f>
        <v>1441.203</v>
      </c>
      <c r="AM477" s="9">
        <f>Table1[[#This Row],[Quantity]]*Table1[[#This Row],[Cost of unit by inflation 15%]]</f>
        <v>24500.451000000001</v>
      </c>
      <c r="AN477" s="21" cm="1">
        <f t="array" ref="AN477">_xlfn.UNIQUE(AC477)</f>
        <v>45016</v>
      </c>
    </row>
    <row r="478" spans="1:40" x14ac:dyDescent="0.35">
      <c r="A478" t="s">
        <v>226</v>
      </c>
      <c r="B478" s="21">
        <v>45686</v>
      </c>
      <c r="C478" s="10">
        <v>45694</v>
      </c>
      <c r="D478" s="3">
        <f t="shared" si="84"/>
        <v>8</v>
      </c>
      <c r="E478" s="10" t="str">
        <f t="shared" si="85"/>
        <v>Q1-2025</v>
      </c>
      <c r="F478" t="s">
        <v>645</v>
      </c>
      <c r="G478" t="s">
        <v>649</v>
      </c>
      <c r="H478" t="s">
        <v>661</v>
      </c>
      <c r="I478" t="s">
        <v>701</v>
      </c>
      <c r="J478" t="s">
        <v>706</v>
      </c>
      <c r="K478" t="s">
        <v>716</v>
      </c>
      <c r="L478" t="s">
        <v>729</v>
      </c>
      <c r="M478" t="s">
        <v>944</v>
      </c>
      <c r="N478" s="3">
        <v>1445.27</v>
      </c>
      <c r="O478" s="3">
        <v>2691.45</v>
      </c>
      <c r="P478" s="6">
        <v>0</v>
      </c>
      <c r="Q478" s="6">
        <f>IF(Table1[[#This Row],[DiscountPct]]&gt;25%,25%,Table1[[#This Row],[DiscountPct]])</f>
        <v>0</v>
      </c>
      <c r="R478" s="5">
        <v>9</v>
      </c>
      <c r="S478" s="6">
        <f t="shared" si="86"/>
        <v>0.86224719256609483</v>
      </c>
      <c r="T478" s="8">
        <f t="shared" si="87"/>
        <v>24223.05</v>
      </c>
      <c r="U478" s="8">
        <f t="shared" si="88"/>
        <v>13007.43</v>
      </c>
      <c r="V478" s="9">
        <f t="shared" si="89"/>
        <v>11215.619999999999</v>
      </c>
      <c r="W478" s="6">
        <f t="shared" si="90"/>
        <v>0.46301436028906351</v>
      </c>
      <c r="X478" t="str" cm="1">
        <f t="array" ref="X478">_xlfn.IFS(S478&lt;=25%, "Low", S478&lt;=75%, "Medium", S478&gt;75%, "High")</f>
        <v>High</v>
      </c>
      <c r="Y478" s="8">
        <f>Table1[[#This Row],[Quantity]]*(Table1[[#This Row],[UnitPrice]]*(1-Table1[[#This Row],[DiscountPct]]))</f>
        <v>24223.05</v>
      </c>
      <c r="Z478" s="9">
        <f t="shared" si="91"/>
        <v>11215.619999999999</v>
      </c>
      <c r="AA478">
        <f>COUNTIF($G$2:G479,G478)</f>
        <v>46</v>
      </c>
      <c r="AB478" s="21">
        <f t="shared" si="92"/>
        <v>44988</v>
      </c>
      <c r="AC478" s="21">
        <f t="shared" si="93"/>
        <v>45016</v>
      </c>
      <c r="AD478" s="5">
        <f>(Table1[[#This Row],[OrderDate]]-Table1[[#This Row],[Date of first order]])/30</f>
        <v>23.266666666666666</v>
      </c>
      <c r="AE478" t="str">
        <f t="shared" si="94"/>
        <v>Poor</v>
      </c>
      <c r="AF478">
        <f>COUNTIF(AE$2:AE479,AE478)</f>
        <v>341</v>
      </c>
      <c r="AG478" t="str">
        <f t="shared" si="95"/>
        <v>False</v>
      </c>
      <c r="AH478" s="7">
        <f>Table1[[#This Row],[UnitPrice]]*(1-Table1[[#This Row],[Disc Scenario]])*Table1[[#This Row],[Quantity]]</f>
        <v>24223.05</v>
      </c>
      <c r="AI478">
        <f>ROUNDDOWN((Table1[[#This Row],[Quantity]]*(1+20%)),0)</f>
        <v>10</v>
      </c>
      <c r="AJ478" s="7">
        <f>Table1[[#This Row],[Quantity increase by 20%]]*Table1[[#This Row],[UnitPrice]]</f>
        <v>26914.5</v>
      </c>
      <c r="AK478">
        <f>ROUNDDOWN(Table1[[#This Row],[Quantity]]*(1+20%),0)</f>
        <v>10</v>
      </c>
      <c r="AL478" s="7">
        <f>Table1[[#This Row],[UnitCost]]*(1+15%)</f>
        <v>1662.0604999999998</v>
      </c>
      <c r="AM478" s="9">
        <f>Table1[[#This Row],[Quantity]]*Table1[[#This Row],[Cost of unit by inflation 15%]]</f>
        <v>14958.544499999998</v>
      </c>
      <c r="AN478" s="21" cm="1">
        <f t="array" ref="AN478">_xlfn.UNIQUE(AC478)</f>
        <v>45016</v>
      </c>
    </row>
    <row r="479" spans="1:40" x14ac:dyDescent="0.35">
      <c r="A479" t="s">
        <v>393</v>
      </c>
      <c r="B479" s="21">
        <v>45688</v>
      </c>
      <c r="C479" s="10">
        <v>45705</v>
      </c>
      <c r="D479" s="3">
        <f t="shared" si="84"/>
        <v>17</v>
      </c>
      <c r="E479" s="10" t="str">
        <f t="shared" si="85"/>
        <v>Q1-2025</v>
      </c>
      <c r="F479" t="s">
        <v>648</v>
      </c>
      <c r="G479" t="s">
        <v>657</v>
      </c>
      <c r="H479" t="s">
        <v>682</v>
      </c>
      <c r="I479" t="s">
        <v>705</v>
      </c>
      <c r="J479" t="s">
        <v>706</v>
      </c>
      <c r="K479" t="s">
        <v>721</v>
      </c>
      <c r="L479" t="s">
        <v>726</v>
      </c>
      <c r="M479" t="s">
        <v>811</v>
      </c>
      <c r="N479" s="3">
        <v>378.26</v>
      </c>
      <c r="O479" s="3">
        <v>541.55999999999995</v>
      </c>
      <c r="P479" s="6">
        <v>0.16300000000000001</v>
      </c>
      <c r="Q479" s="6">
        <f>IF(Table1[[#This Row],[DiscountPct]]&gt;25%,25%,Table1[[#This Row],[DiscountPct]])</f>
        <v>0.16300000000000001</v>
      </c>
      <c r="R479" s="5">
        <v>25</v>
      </c>
      <c r="S479" s="6">
        <f t="shared" si="86"/>
        <v>0.43171363612330133</v>
      </c>
      <c r="T479" s="8">
        <f t="shared" si="87"/>
        <v>11332.142999999998</v>
      </c>
      <c r="U479" s="8">
        <f t="shared" si="88"/>
        <v>9456.5</v>
      </c>
      <c r="V479" s="9">
        <f t="shared" si="89"/>
        <v>1875.6429999999982</v>
      </c>
      <c r="W479" s="6">
        <f t="shared" si="90"/>
        <v>0.16551529573885526</v>
      </c>
      <c r="X479" t="str" cm="1">
        <f t="array" ref="X479">_xlfn.IFS(S479&lt;=25%, "Low", S479&lt;=75%, "Medium", S479&gt;75%, "High")</f>
        <v>Medium</v>
      </c>
      <c r="Y479" s="8">
        <f>Table1[[#This Row],[Quantity]]*(Table1[[#This Row],[UnitPrice]]*(1-Table1[[#This Row],[DiscountPct]]))</f>
        <v>11332.142999999998</v>
      </c>
      <c r="Z479" s="9">
        <f t="shared" si="91"/>
        <v>1875.6429999999982</v>
      </c>
      <c r="AA479">
        <f>COUNTIF($G$2:G480,G479)</f>
        <v>41</v>
      </c>
      <c r="AB479" s="21">
        <f t="shared" si="92"/>
        <v>44988</v>
      </c>
      <c r="AC479" s="21">
        <f t="shared" si="93"/>
        <v>45016</v>
      </c>
      <c r="AD479" s="5">
        <f>(Table1[[#This Row],[OrderDate]]-Table1[[#This Row],[Date of first order]])/30</f>
        <v>23.333333333333332</v>
      </c>
      <c r="AE479" t="str">
        <f t="shared" si="94"/>
        <v>Poor</v>
      </c>
      <c r="AF479">
        <f>COUNTIF(AE$2:AE480,AE479)</f>
        <v>342</v>
      </c>
      <c r="AG479" t="str">
        <f t="shared" si="95"/>
        <v>False</v>
      </c>
      <c r="AH479" s="7">
        <f>Table1[[#This Row],[UnitPrice]]*(1-Table1[[#This Row],[Disc Scenario]])*Table1[[#This Row],[Quantity]]</f>
        <v>11332.142999999998</v>
      </c>
      <c r="AI479">
        <f>ROUNDDOWN((Table1[[#This Row],[Quantity]]*(1+20%)),0)</f>
        <v>30</v>
      </c>
      <c r="AJ479" s="7">
        <f>Table1[[#This Row],[Quantity increase by 20%]]*Table1[[#This Row],[UnitPrice]]</f>
        <v>16246.8</v>
      </c>
      <c r="AK479">
        <f>ROUNDDOWN(Table1[[#This Row],[Quantity]]*(1+20%),0)</f>
        <v>30</v>
      </c>
      <c r="AL479" s="7">
        <f>Table1[[#This Row],[UnitCost]]*(1+15%)</f>
        <v>434.99899999999997</v>
      </c>
      <c r="AM479" s="9">
        <f>Table1[[#This Row],[Quantity]]*Table1[[#This Row],[Cost of unit by inflation 15%]]</f>
        <v>10874.974999999999</v>
      </c>
      <c r="AN479" s="21" cm="1">
        <f t="array" ref="AN479">_xlfn.UNIQUE(AC479)</f>
        <v>45016</v>
      </c>
    </row>
    <row r="480" spans="1:40" x14ac:dyDescent="0.35">
      <c r="A480" t="s">
        <v>196</v>
      </c>
      <c r="B480" s="21">
        <v>45690</v>
      </c>
      <c r="C480" s="10">
        <v>45720</v>
      </c>
      <c r="D480" s="3">
        <f t="shared" si="84"/>
        <v>30</v>
      </c>
      <c r="E480" s="10" t="str">
        <f t="shared" si="85"/>
        <v>Q1-2025</v>
      </c>
      <c r="F480" t="s">
        <v>646</v>
      </c>
      <c r="G480" t="s">
        <v>651</v>
      </c>
      <c r="H480" t="s">
        <v>665</v>
      </c>
      <c r="I480" t="s">
        <v>701</v>
      </c>
      <c r="J480" t="s">
        <v>709</v>
      </c>
      <c r="K480" t="s">
        <v>715</v>
      </c>
      <c r="L480" t="s">
        <v>732</v>
      </c>
      <c r="M480" t="s">
        <v>914</v>
      </c>
      <c r="N480" s="3">
        <v>766.59</v>
      </c>
      <c r="O480" s="3">
        <v>1912.8</v>
      </c>
      <c r="P480" s="6">
        <v>0.19600000000000001</v>
      </c>
      <c r="Q480" s="6">
        <f>IF(Table1[[#This Row],[DiscountPct]]&gt;25%,25%,Table1[[#This Row],[DiscountPct]])</f>
        <v>0.19600000000000001</v>
      </c>
      <c r="R480" s="5">
        <v>5</v>
      </c>
      <c r="S480" s="6">
        <f t="shared" si="86"/>
        <v>1.4952060423433648</v>
      </c>
      <c r="T480" s="8">
        <f t="shared" si="87"/>
        <v>7689.4560000000001</v>
      </c>
      <c r="U480" s="8">
        <f t="shared" si="88"/>
        <v>3832.9500000000003</v>
      </c>
      <c r="V480" s="9">
        <f t="shared" si="89"/>
        <v>3856.5059999999999</v>
      </c>
      <c r="W480" s="6">
        <f t="shared" si="90"/>
        <v>0.50153170783472845</v>
      </c>
      <c r="X480" t="str" cm="1">
        <f t="array" ref="X480">_xlfn.IFS(S480&lt;=25%, "Low", S480&lt;=75%, "Medium", S480&gt;75%, "High")</f>
        <v>High</v>
      </c>
      <c r="Y480" s="8">
        <f>Table1[[#This Row],[Quantity]]*(Table1[[#This Row],[UnitPrice]]*(1-Table1[[#This Row],[DiscountPct]]))</f>
        <v>7689.4560000000001</v>
      </c>
      <c r="Z480" s="9">
        <f t="shared" si="91"/>
        <v>3856.5059999999999</v>
      </c>
      <c r="AA480">
        <f>COUNTIF($G$2:G481,G480)</f>
        <v>41</v>
      </c>
      <c r="AB480" s="21">
        <f t="shared" si="92"/>
        <v>44988</v>
      </c>
      <c r="AC480" s="21">
        <f t="shared" si="93"/>
        <v>45016</v>
      </c>
      <c r="AD480" s="5">
        <f>(Table1[[#This Row],[OrderDate]]-Table1[[#This Row],[Date of first order]])/30</f>
        <v>23.4</v>
      </c>
      <c r="AE480" t="str">
        <f t="shared" si="94"/>
        <v>Poor</v>
      </c>
      <c r="AF480">
        <f>COUNTIF(AE$2:AE481,AE480)</f>
        <v>343</v>
      </c>
      <c r="AG480" t="str">
        <f t="shared" si="95"/>
        <v>False</v>
      </c>
      <c r="AH480" s="7">
        <f>Table1[[#This Row],[UnitPrice]]*(1-Table1[[#This Row],[Disc Scenario]])*Table1[[#This Row],[Quantity]]</f>
        <v>7689.4560000000001</v>
      </c>
      <c r="AI480">
        <f>ROUNDDOWN((Table1[[#This Row],[Quantity]]*(1+20%)),0)</f>
        <v>6</v>
      </c>
      <c r="AJ480" s="7">
        <f>Table1[[#This Row],[Quantity increase by 20%]]*Table1[[#This Row],[UnitPrice]]</f>
        <v>11476.8</v>
      </c>
      <c r="AK480">
        <f>ROUNDDOWN(Table1[[#This Row],[Quantity]]*(1+20%),0)</f>
        <v>6</v>
      </c>
      <c r="AL480" s="7">
        <f>Table1[[#This Row],[UnitCost]]*(1+15%)</f>
        <v>881.57849999999996</v>
      </c>
      <c r="AM480" s="9">
        <f>Table1[[#This Row],[Quantity]]*Table1[[#This Row],[Cost of unit by inflation 15%]]</f>
        <v>4407.8924999999999</v>
      </c>
      <c r="AN480" s="21" cm="1">
        <f t="array" ref="AN480">_xlfn.UNIQUE(AC480)</f>
        <v>45016</v>
      </c>
    </row>
    <row r="481" spans="1:40" x14ac:dyDescent="0.35">
      <c r="A481" t="s">
        <v>217</v>
      </c>
      <c r="B481" s="21">
        <v>45692</v>
      </c>
      <c r="C481" s="10">
        <v>45713</v>
      </c>
      <c r="D481" s="3">
        <f t="shared" si="84"/>
        <v>21</v>
      </c>
      <c r="E481" s="10" t="str">
        <f t="shared" si="85"/>
        <v>Q1-2025</v>
      </c>
      <c r="F481" t="s">
        <v>648</v>
      </c>
      <c r="G481" t="s">
        <v>657</v>
      </c>
      <c r="H481" t="s">
        <v>673</v>
      </c>
      <c r="I481" t="s">
        <v>700</v>
      </c>
      <c r="J481" t="s">
        <v>708</v>
      </c>
      <c r="K481" t="s">
        <v>725</v>
      </c>
      <c r="L481" t="s">
        <v>731</v>
      </c>
      <c r="M481" t="s">
        <v>935</v>
      </c>
      <c r="N481" s="3">
        <v>1016.32</v>
      </c>
      <c r="O481" s="3">
        <v>2253.42</v>
      </c>
      <c r="P481" s="6">
        <v>5.5E-2</v>
      </c>
      <c r="Q481" s="6">
        <f>IF(Table1[[#This Row],[DiscountPct]]&gt;25%,25%,Table1[[#This Row],[DiscountPct]])</f>
        <v>5.5E-2</v>
      </c>
      <c r="R481" s="5">
        <v>12</v>
      </c>
      <c r="S481" s="6">
        <f t="shared" si="86"/>
        <v>1.2172347292191434</v>
      </c>
      <c r="T481" s="8">
        <f t="shared" si="87"/>
        <v>25553.782800000001</v>
      </c>
      <c r="U481" s="8">
        <f t="shared" si="88"/>
        <v>12195.84</v>
      </c>
      <c r="V481" s="9">
        <f t="shared" si="89"/>
        <v>13357.942800000001</v>
      </c>
      <c r="W481" s="6">
        <f t="shared" si="90"/>
        <v>0.52273837124419797</v>
      </c>
      <c r="X481" t="str" cm="1">
        <f t="array" ref="X481">_xlfn.IFS(S481&lt;=25%, "Low", S481&lt;=75%, "Medium", S481&gt;75%, "High")</f>
        <v>High</v>
      </c>
      <c r="Y481" s="8">
        <f>Table1[[#This Row],[Quantity]]*(Table1[[#This Row],[UnitPrice]]*(1-Table1[[#This Row],[DiscountPct]]))</f>
        <v>25553.782799999997</v>
      </c>
      <c r="Z481" s="9">
        <f t="shared" si="91"/>
        <v>13357.942799999997</v>
      </c>
      <c r="AA481">
        <f>COUNTIF($G$2:G482,G481)</f>
        <v>43</v>
      </c>
      <c r="AB481" s="21">
        <f t="shared" si="92"/>
        <v>44988</v>
      </c>
      <c r="AC481" s="21">
        <f t="shared" si="93"/>
        <v>45016</v>
      </c>
      <c r="AD481" s="5">
        <f>(Table1[[#This Row],[OrderDate]]-Table1[[#This Row],[Date of first order]])/30</f>
        <v>23.466666666666665</v>
      </c>
      <c r="AE481" t="str">
        <f t="shared" si="94"/>
        <v>Poor</v>
      </c>
      <c r="AF481">
        <f>COUNTIF(AE$2:AE482,AE481)</f>
        <v>343</v>
      </c>
      <c r="AG481" t="str">
        <f t="shared" si="95"/>
        <v>False</v>
      </c>
      <c r="AH481" s="7">
        <f>Table1[[#This Row],[UnitPrice]]*(1-Table1[[#This Row],[Disc Scenario]])*Table1[[#This Row],[Quantity]]</f>
        <v>25553.782799999997</v>
      </c>
      <c r="AI481">
        <f>ROUNDDOWN((Table1[[#This Row],[Quantity]]*(1+20%)),0)</f>
        <v>14</v>
      </c>
      <c r="AJ481" s="7">
        <f>Table1[[#This Row],[Quantity increase by 20%]]*Table1[[#This Row],[UnitPrice]]</f>
        <v>31547.88</v>
      </c>
      <c r="AK481">
        <f>ROUNDDOWN(Table1[[#This Row],[Quantity]]*(1+20%),0)</f>
        <v>14</v>
      </c>
      <c r="AL481" s="7">
        <f>Table1[[#This Row],[UnitCost]]*(1+15%)</f>
        <v>1168.768</v>
      </c>
      <c r="AM481" s="9">
        <f>Table1[[#This Row],[Quantity]]*Table1[[#This Row],[Cost of unit by inflation 15%]]</f>
        <v>14025.216</v>
      </c>
      <c r="AN481" s="21" cm="1">
        <f t="array" ref="AN481">_xlfn.UNIQUE(AC481)</f>
        <v>45016</v>
      </c>
    </row>
    <row r="482" spans="1:40" x14ac:dyDescent="0.35">
      <c r="A482" t="s">
        <v>577</v>
      </c>
      <c r="B482" s="21">
        <v>45692</v>
      </c>
      <c r="C482" s="10">
        <v>45696</v>
      </c>
      <c r="D482" s="3">
        <f t="shared" si="84"/>
        <v>4</v>
      </c>
      <c r="E482" s="10" t="str">
        <f t="shared" si="85"/>
        <v>Q1-2025</v>
      </c>
      <c r="F482" t="s">
        <v>648</v>
      </c>
      <c r="G482" t="s">
        <v>657</v>
      </c>
      <c r="H482" t="s">
        <v>692</v>
      </c>
      <c r="I482" t="s">
        <v>705</v>
      </c>
      <c r="J482" t="s">
        <v>708</v>
      </c>
      <c r="K482" t="s">
        <v>715</v>
      </c>
      <c r="L482" t="s">
        <v>728</v>
      </c>
      <c r="M482" t="s">
        <v>1293</v>
      </c>
      <c r="N482" s="3">
        <v>586.21</v>
      </c>
      <c r="O482" s="3">
        <v>727.22</v>
      </c>
      <c r="P482" s="6">
        <v>6.8000000000000005E-2</v>
      </c>
      <c r="Q482" s="6">
        <f>IF(Table1[[#This Row],[DiscountPct]]&gt;25%,25%,Table1[[#This Row],[DiscountPct]])</f>
        <v>6.8000000000000005E-2</v>
      </c>
      <c r="R482" s="5">
        <v>15</v>
      </c>
      <c r="S482" s="6">
        <f t="shared" si="86"/>
        <v>0.24054519711366232</v>
      </c>
      <c r="T482" s="8">
        <f t="shared" si="87"/>
        <v>10166.535600000001</v>
      </c>
      <c r="U482" s="8">
        <f t="shared" si="88"/>
        <v>8793.1500000000015</v>
      </c>
      <c r="V482" s="9">
        <f t="shared" si="89"/>
        <v>1373.3855999999996</v>
      </c>
      <c r="W482" s="6">
        <f t="shared" si="90"/>
        <v>0.13508884973559721</v>
      </c>
      <c r="X482" t="str" cm="1">
        <f t="array" ref="X482">_xlfn.IFS(S482&lt;=25%, "Low", S482&lt;=75%, "Medium", S482&gt;75%, "High")</f>
        <v>Low</v>
      </c>
      <c r="Y482" s="8">
        <f>Table1[[#This Row],[Quantity]]*(Table1[[#This Row],[UnitPrice]]*(1-Table1[[#This Row],[DiscountPct]]))</f>
        <v>10166.535600000001</v>
      </c>
      <c r="Z482" s="9">
        <f t="shared" si="91"/>
        <v>1373.3855999999996</v>
      </c>
      <c r="AA482">
        <f>COUNTIF($G$2:G483,G482)</f>
        <v>43</v>
      </c>
      <c r="AB482" s="21">
        <f t="shared" si="92"/>
        <v>44988</v>
      </c>
      <c r="AC482" s="21">
        <f t="shared" si="93"/>
        <v>45016</v>
      </c>
      <c r="AD482" s="5">
        <f>(Table1[[#This Row],[OrderDate]]-Table1[[#This Row],[Date of first order]])/30</f>
        <v>23.466666666666665</v>
      </c>
      <c r="AE482" t="str">
        <f t="shared" si="94"/>
        <v>Good</v>
      </c>
      <c r="AF482">
        <f>COUNTIF(AE$2:AE483,AE482)</f>
        <v>138</v>
      </c>
      <c r="AG482" t="str">
        <f t="shared" si="95"/>
        <v>False</v>
      </c>
      <c r="AH482" s="7">
        <f>Table1[[#This Row],[UnitPrice]]*(1-Table1[[#This Row],[Disc Scenario]])*Table1[[#This Row],[Quantity]]</f>
        <v>10166.535600000001</v>
      </c>
      <c r="AI482">
        <f>ROUNDDOWN((Table1[[#This Row],[Quantity]]*(1+20%)),0)</f>
        <v>18</v>
      </c>
      <c r="AJ482" s="7">
        <f>Table1[[#This Row],[Quantity increase by 20%]]*Table1[[#This Row],[UnitPrice]]</f>
        <v>13089.960000000001</v>
      </c>
      <c r="AK482">
        <f>ROUNDDOWN(Table1[[#This Row],[Quantity]]*(1+20%),0)</f>
        <v>18</v>
      </c>
      <c r="AL482" s="7">
        <f>Table1[[#This Row],[UnitCost]]*(1+15%)</f>
        <v>674.14149999999995</v>
      </c>
      <c r="AM482" s="9">
        <f>Table1[[#This Row],[Quantity]]*Table1[[#This Row],[Cost of unit by inflation 15%]]</f>
        <v>10112.122499999999</v>
      </c>
      <c r="AN482" s="21" cm="1">
        <f t="array" ref="AN482">_xlfn.UNIQUE(AC482)</f>
        <v>45016</v>
      </c>
    </row>
    <row r="483" spans="1:40" x14ac:dyDescent="0.35">
      <c r="A483" t="s">
        <v>392</v>
      </c>
      <c r="B483" s="21">
        <v>45694</v>
      </c>
      <c r="C483" s="10">
        <v>45703</v>
      </c>
      <c r="D483" s="3">
        <f t="shared" si="84"/>
        <v>9</v>
      </c>
      <c r="E483" s="10" t="str">
        <f t="shared" si="85"/>
        <v>Q1-2025</v>
      </c>
      <c r="F483" t="s">
        <v>647</v>
      </c>
      <c r="G483" t="s">
        <v>654</v>
      </c>
      <c r="H483" t="s">
        <v>669</v>
      </c>
      <c r="I483" t="s">
        <v>702</v>
      </c>
      <c r="J483" t="s">
        <v>709</v>
      </c>
      <c r="K483" t="s">
        <v>720</v>
      </c>
      <c r="L483" t="s">
        <v>728</v>
      </c>
      <c r="M483" t="s">
        <v>1110</v>
      </c>
      <c r="N483" s="3">
        <v>837.39</v>
      </c>
      <c r="O483" s="3">
        <v>1905.42</v>
      </c>
      <c r="P483" s="6">
        <v>3.2000000000000001E-2</v>
      </c>
      <c r="Q483" s="6">
        <f>IF(Table1[[#This Row],[DiscountPct]]&gt;25%,25%,Table1[[#This Row],[DiscountPct]])</f>
        <v>3.2000000000000001E-2</v>
      </c>
      <c r="R483" s="5">
        <v>18</v>
      </c>
      <c r="S483" s="6">
        <f t="shared" si="86"/>
        <v>1.2754272202916206</v>
      </c>
      <c r="T483" s="8">
        <f t="shared" si="87"/>
        <v>33200.038079999998</v>
      </c>
      <c r="U483" s="8">
        <f t="shared" si="88"/>
        <v>15073.02</v>
      </c>
      <c r="V483" s="9">
        <f t="shared" si="89"/>
        <v>18127.018079999998</v>
      </c>
      <c r="W483" s="6">
        <f t="shared" si="90"/>
        <v>0.54599389423350919</v>
      </c>
      <c r="X483" t="str" cm="1">
        <f t="array" ref="X483">_xlfn.IFS(S483&lt;=25%, "Low", S483&lt;=75%, "Medium", S483&gt;75%, "High")</f>
        <v>High</v>
      </c>
      <c r="Y483" s="8">
        <f>Table1[[#This Row],[Quantity]]*(Table1[[#This Row],[UnitPrice]]*(1-Table1[[#This Row],[DiscountPct]]))</f>
        <v>33200.038079999998</v>
      </c>
      <c r="Z483" s="9">
        <f t="shared" si="91"/>
        <v>18127.018079999998</v>
      </c>
      <c r="AA483">
        <f>COUNTIF($G$2:G484,G483)</f>
        <v>44</v>
      </c>
      <c r="AB483" s="21">
        <f t="shared" si="92"/>
        <v>44988</v>
      </c>
      <c r="AC483" s="21">
        <f t="shared" si="93"/>
        <v>45016</v>
      </c>
      <c r="AD483" s="5">
        <f>(Table1[[#This Row],[OrderDate]]-Table1[[#This Row],[Date of first order]])/30</f>
        <v>23.533333333333335</v>
      </c>
      <c r="AE483" t="str">
        <f t="shared" si="94"/>
        <v>Poor</v>
      </c>
      <c r="AF483">
        <f>COUNTIF(AE$2:AE484,AE483)</f>
        <v>345</v>
      </c>
      <c r="AG483" t="str">
        <f t="shared" si="95"/>
        <v>False</v>
      </c>
      <c r="AH483" s="7">
        <f>Table1[[#This Row],[UnitPrice]]*(1-Table1[[#This Row],[Disc Scenario]])*Table1[[#This Row],[Quantity]]</f>
        <v>33200.038079999998</v>
      </c>
      <c r="AI483">
        <f>ROUNDDOWN((Table1[[#This Row],[Quantity]]*(1+20%)),0)</f>
        <v>21</v>
      </c>
      <c r="AJ483" s="7">
        <f>Table1[[#This Row],[Quantity increase by 20%]]*Table1[[#This Row],[UnitPrice]]</f>
        <v>40013.82</v>
      </c>
      <c r="AK483">
        <f>ROUNDDOWN(Table1[[#This Row],[Quantity]]*(1+20%),0)</f>
        <v>21</v>
      </c>
      <c r="AL483" s="7">
        <f>Table1[[#This Row],[UnitCost]]*(1+15%)</f>
        <v>962.99849999999992</v>
      </c>
      <c r="AM483" s="9">
        <f>Table1[[#This Row],[Quantity]]*Table1[[#This Row],[Cost of unit by inflation 15%]]</f>
        <v>17333.972999999998</v>
      </c>
      <c r="AN483" s="21" cm="1">
        <f t="array" ref="AN483">_xlfn.UNIQUE(AC483)</f>
        <v>45016</v>
      </c>
    </row>
    <row r="484" spans="1:40" x14ac:dyDescent="0.35">
      <c r="A484" t="s">
        <v>539</v>
      </c>
      <c r="B484" s="21">
        <v>45695</v>
      </c>
      <c r="C484" s="10">
        <v>45704</v>
      </c>
      <c r="D484" s="3">
        <f t="shared" si="84"/>
        <v>9</v>
      </c>
      <c r="E484" s="10" t="str">
        <f t="shared" si="85"/>
        <v>Q1-2025</v>
      </c>
      <c r="F484" t="s">
        <v>645</v>
      </c>
      <c r="G484" t="s">
        <v>650</v>
      </c>
      <c r="H484" t="s">
        <v>664</v>
      </c>
      <c r="I484" t="s">
        <v>704</v>
      </c>
      <c r="J484" t="s">
        <v>709</v>
      </c>
      <c r="K484" t="s">
        <v>711</v>
      </c>
      <c r="L484" t="s">
        <v>727</v>
      </c>
      <c r="M484" t="s">
        <v>1256</v>
      </c>
      <c r="N484" s="3">
        <v>90.68</v>
      </c>
      <c r="O484" s="3">
        <v>118.17</v>
      </c>
      <c r="P484" s="6">
        <v>0.13500000000000001</v>
      </c>
      <c r="Q484" s="6">
        <f>IF(Table1[[#This Row],[DiscountPct]]&gt;25%,25%,Table1[[#This Row],[DiscountPct]])</f>
        <v>0.13500000000000001</v>
      </c>
      <c r="R484" s="5">
        <v>21</v>
      </c>
      <c r="S484" s="6">
        <f t="shared" si="86"/>
        <v>0.30315394794883099</v>
      </c>
      <c r="T484" s="8">
        <f t="shared" si="87"/>
        <v>2146.5580500000001</v>
      </c>
      <c r="U484" s="8">
        <f t="shared" si="88"/>
        <v>1904.2800000000002</v>
      </c>
      <c r="V484" s="9">
        <f t="shared" si="89"/>
        <v>242.27804999999989</v>
      </c>
      <c r="W484" s="6">
        <f t="shared" si="90"/>
        <v>0.11286815653552899</v>
      </c>
      <c r="X484" t="str" cm="1">
        <f t="array" ref="X484">_xlfn.IFS(S484&lt;=25%, "Low", S484&lt;=75%, "Medium", S484&gt;75%, "High")</f>
        <v>Medium</v>
      </c>
      <c r="Y484" s="8">
        <f>Table1[[#This Row],[Quantity]]*(Table1[[#This Row],[UnitPrice]]*(1-Table1[[#This Row],[DiscountPct]]))</f>
        <v>2146.5580500000001</v>
      </c>
      <c r="Z484" s="9">
        <f t="shared" si="91"/>
        <v>242.27804999999989</v>
      </c>
      <c r="AA484">
        <f>COUNTIF($G$2:G485,G484)</f>
        <v>32</v>
      </c>
      <c r="AB484" s="21">
        <f t="shared" si="92"/>
        <v>44988</v>
      </c>
      <c r="AC484" s="21">
        <f t="shared" si="93"/>
        <v>45016</v>
      </c>
      <c r="AD484" s="5">
        <f>(Table1[[#This Row],[OrderDate]]-Table1[[#This Row],[Date of first order]])/30</f>
        <v>23.566666666666666</v>
      </c>
      <c r="AE484" t="str">
        <f t="shared" si="94"/>
        <v>Poor</v>
      </c>
      <c r="AF484">
        <f>COUNTIF(AE$2:AE485,AE484)</f>
        <v>346</v>
      </c>
      <c r="AG484" t="str">
        <f t="shared" si="95"/>
        <v>False</v>
      </c>
      <c r="AH484" s="7">
        <f>Table1[[#This Row],[UnitPrice]]*(1-Table1[[#This Row],[Disc Scenario]])*Table1[[#This Row],[Quantity]]</f>
        <v>2146.5580500000001</v>
      </c>
      <c r="AI484">
        <f>ROUNDDOWN((Table1[[#This Row],[Quantity]]*(1+20%)),0)</f>
        <v>25</v>
      </c>
      <c r="AJ484" s="7">
        <f>Table1[[#This Row],[Quantity increase by 20%]]*Table1[[#This Row],[UnitPrice]]</f>
        <v>2954.25</v>
      </c>
      <c r="AK484">
        <f>ROUNDDOWN(Table1[[#This Row],[Quantity]]*(1+20%),0)</f>
        <v>25</v>
      </c>
      <c r="AL484" s="7">
        <f>Table1[[#This Row],[UnitCost]]*(1+15%)</f>
        <v>104.282</v>
      </c>
      <c r="AM484" s="9">
        <f>Table1[[#This Row],[Quantity]]*Table1[[#This Row],[Cost of unit by inflation 15%]]</f>
        <v>2189.922</v>
      </c>
      <c r="AN484" s="21" cm="1">
        <f t="array" ref="AN484">_xlfn.UNIQUE(AC484)</f>
        <v>45016</v>
      </c>
    </row>
    <row r="485" spans="1:40" x14ac:dyDescent="0.35">
      <c r="A485" t="s">
        <v>71</v>
      </c>
      <c r="B485" s="21">
        <v>45697</v>
      </c>
      <c r="C485" s="10">
        <v>45717</v>
      </c>
      <c r="D485" s="3">
        <f t="shared" si="84"/>
        <v>20</v>
      </c>
      <c r="E485" s="10" t="str">
        <f t="shared" si="85"/>
        <v>Q1-2025</v>
      </c>
      <c r="F485" t="s">
        <v>647</v>
      </c>
      <c r="G485" t="s">
        <v>654</v>
      </c>
      <c r="H485" t="s">
        <v>669</v>
      </c>
      <c r="I485" t="s">
        <v>700</v>
      </c>
      <c r="J485" t="s">
        <v>709</v>
      </c>
      <c r="K485" t="s">
        <v>716</v>
      </c>
      <c r="L485" t="s">
        <v>730</v>
      </c>
      <c r="M485" t="s">
        <v>789</v>
      </c>
      <c r="N485" s="3">
        <v>1154.6400000000001</v>
      </c>
      <c r="O485" s="3">
        <v>2794.13</v>
      </c>
      <c r="P485" s="6">
        <v>3.5000000000000003E-2</v>
      </c>
      <c r="Q485" s="6">
        <f>IF(Table1[[#This Row],[DiscountPct]]&gt;25%,25%,Table1[[#This Row],[DiscountPct]])</f>
        <v>3.5000000000000003E-2</v>
      </c>
      <c r="R485" s="5">
        <v>11</v>
      </c>
      <c r="S485" s="6">
        <f t="shared" si="86"/>
        <v>1.419914432203977</v>
      </c>
      <c r="T485" s="8">
        <f t="shared" si="87"/>
        <v>29659.68995</v>
      </c>
      <c r="U485" s="8">
        <f t="shared" si="88"/>
        <v>12701.04</v>
      </c>
      <c r="V485" s="9">
        <f t="shared" si="89"/>
        <v>16958.649949999999</v>
      </c>
      <c r="W485" s="6">
        <f t="shared" si="90"/>
        <v>0.57177435025749479</v>
      </c>
      <c r="X485" t="str" cm="1">
        <f t="array" ref="X485">_xlfn.IFS(S485&lt;=25%, "Low", S485&lt;=75%, "Medium", S485&gt;75%, "High")</f>
        <v>High</v>
      </c>
      <c r="Y485" s="8">
        <f>Table1[[#This Row],[Quantity]]*(Table1[[#This Row],[UnitPrice]]*(1-Table1[[#This Row],[DiscountPct]]))</f>
        <v>29659.68995</v>
      </c>
      <c r="Z485" s="9">
        <f t="shared" si="91"/>
        <v>16958.649949999999</v>
      </c>
      <c r="AA485">
        <f>COUNTIF($G$2:G486,G485)</f>
        <v>46</v>
      </c>
      <c r="AB485" s="21">
        <f t="shared" si="92"/>
        <v>44988</v>
      </c>
      <c r="AC485" s="21">
        <f t="shared" si="93"/>
        <v>45016</v>
      </c>
      <c r="AD485" s="5">
        <f>(Table1[[#This Row],[OrderDate]]-Table1[[#This Row],[Date of first order]])/30</f>
        <v>23.633333333333333</v>
      </c>
      <c r="AE485" t="str">
        <f t="shared" si="94"/>
        <v>Poor</v>
      </c>
      <c r="AF485">
        <f>COUNTIF(AE$2:AE486,AE485)</f>
        <v>347</v>
      </c>
      <c r="AG485" t="str">
        <f t="shared" si="95"/>
        <v>False</v>
      </c>
      <c r="AH485" s="7">
        <f>Table1[[#This Row],[UnitPrice]]*(1-Table1[[#This Row],[Disc Scenario]])*Table1[[#This Row],[Quantity]]</f>
        <v>29659.68995</v>
      </c>
      <c r="AI485">
        <f>ROUNDDOWN((Table1[[#This Row],[Quantity]]*(1+20%)),0)</f>
        <v>13</v>
      </c>
      <c r="AJ485" s="7">
        <f>Table1[[#This Row],[Quantity increase by 20%]]*Table1[[#This Row],[UnitPrice]]</f>
        <v>36323.69</v>
      </c>
      <c r="AK485">
        <f>ROUNDDOWN(Table1[[#This Row],[Quantity]]*(1+20%),0)</f>
        <v>13</v>
      </c>
      <c r="AL485" s="7">
        <f>Table1[[#This Row],[UnitCost]]*(1+15%)</f>
        <v>1327.836</v>
      </c>
      <c r="AM485" s="9">
        <f>Table1[[#This Row],[Quantity]]*Table1[[#This Row],[Cost of unit by inflation 15%]]</f>
        <v>14606.196</v>
      </c>
      <c r="AN485" s="21" cm="1">
        <f t="array" ref="AN485">_xlfn.UNIQUE(AC485)</f>
        <v>45016</v>
      </c>
    </row>
    <row r="486" spans="1:40" x14ac:dyDescent="0.35">
      <c r="A486" t="s">
        <v>144</v>
      </c>
      <c r="B486" s="21">
        <v>45700</v>
      </c>
      <c r="C486" s="10">
        <v>45716</v>
      </c>
      <c r="D486" s="3">
        <f t="shared" si="84"/>
        <v>16</v>
      </c>
      <c r="E486" s="10" t="str">
        <f t="shared" si="85"/>
        <v>Q1-2025</v>
      </c>
      <c r="F486" t="s">
        <v>647</v>
      </c>
      <c r="G486" t="s">
        <v>654</v>
      </c>
      <c r="H486" t="s">
        <v>669</v>
      </c>
      <c r="I486" t="s">
        <v>702</v>
      </c>
      <c r="J486" t="s">
        <v>710</v>
      </c>
      <c r="K486" t="s">
        <v>716</v>
      </c>
      <c r="L486" t="s">
        <v>731</v>
      </c>
      <c r="M486" t="s">
        <v>862</v>
      </c>
      <c r="N486" s="3">
        <v>414.95</v>
      </c>
      <c r="O486" s="3">
        <v>1027.73</v>
      </c>
      <c r="P486" s="6">
        <v>6.3E-2</v>
      </c>
      <c r="Q486" s="6">
        <f>IF(Table1[[#This Row],[DiscountPct]]&gt;25%,25%,Table1[[#This Row],[DiscountPct]])</f>
        <v>6.3E-2</v>
      </c>
      <c r="R486" s="5">
        <v>8</v>
      </c>
      <c r="S486" s="6">
        <f t="shared" si="86"/>
        <v>1.4767562356910471</v>
      </c>
      <c r="T486" s="8">
        <f t="shared" si="87"/>
        <v>7703.8640800000003</v>
      </c>
      <c r="U486" s="8">
        <f t="shared" si="88"/>
        <v>3319.6</v>
      </c>
      <c r="V486" s="9">
        <f t="shared" si="89"/>
        <v>4384.2640800000008</v>
      </c>
      <c r="W486" s="6">
        <f t="shared" si="90"/>
        <v>0.56909935513815568</v>
      </c>
      <c r="X486" t="str" cm="1">
        <f t="array" ref="X486">_xlfn.IFS(S486&lt;=25%, "Low", S486&lt;=75%, "Medium", S486&gt;75%, "High")</f>
        <v>High</v>
      </c>
      <c r="Y486" s="8">
        <f>Table1[[#This Row],[Quantity]]*(Table1[[#This Row],[UnitPrice]]*(1-Table1[[#This Row],[DiscountPct]]))</f>
        <v>7703.8640800000003</v>
      </c>
      <c r="Z486" s="9">
        <f t="shared" si="91"/>
        <v>4384.2640800000008</v>
      </c>
      <c r="AA486">
        <f>COUNTIF($G$2:G487,G486)</f>
        <v>46</v>
      </c>
      <c r="AB486" s="21">
        <f t="shared" si="92"/>
        <v>44988</v>
      </c>
      <c r="AC486" s="21">
        <f t="shared" si="93"/>
        <v>45016</v>
      </c>
      <c r="AD486" s="5">
        <f>(Table1[[#This Row],[OrderDate]]-Table1[[#This Row],[Date of first order]])/30</f>
        <v>23.733333333333334</v>
      </c>
      <c r="AE486" t="str">
        <f t="shared" si="94"/>
        <v>Poor</v>
      </c>
      <c r="AF486">
        <f>COUNTIF(AE$2:AE487,AE486)</f>
        <v>348</v>
      </c>
      <c r="AG486" t="str">
        <f t="shared" si="95"/>
        <v>False</v>
      </c>
      <c r="AH486" s="7">
        <f>Table1[[#This Row],[UnitPrice]]*(1-Table1[[#This Row],[Disc Scenario]])*Table1[[#This Row],[Quantity]]</f>
        <v>7703.8640800000003</v>
      </c>
      <c r="AI486">
        <f>ROUNDDOWN((Table1[[#This Row],[Quantity]]*(1+20%)),0)</f>
        <v>9</v>
      </c>
      <c r="AJ486" s="7">
        <f>Table1[[#This Row],[Quantity increase by 20%]]*Table1[[#This Row],[UnitPrice]]</f>
        <v>9249.57</v>
      </c>
      <c r="AK486">
        <f>ROUNDDOWN(Table1[[#This Row],[Quantity]]*(1+20%),0)</f>
        <v>9</v>
      </c>
      <c r="AL486" s="7">
        <f>Table1[[#This Row],[UnitCost]]*(1+15%)</f>
        <v>477.19249999999994</v>
      </c>
      <c r="AM486" s="9">
        <f>Table1[[#This Row],[Quantity]]*Table1[[#This Row],[Cost of unit by inflation 15%]]</f>
        <v>3817.5399999999995</v>
      </c>
      <c r="AN486" s="21" cm="1">
        <f t="array" ref="AN486">_xlfn.UNIQUE(AC486)</f>
        <v>45016</v>
      </c>
    </row>
    <row r="487" spans="1:40" x14ac:dyDescent="0.35">
      <c r="A487" t="s">
        <v>567</v>
      </c>
      <c r="B487" s="21">
        <v>45703</v>
      </c>
      <c r="C487" s="10">
        <v>45717</v>
      </c>
      <c r="D487" s="3">
        <f t="shared" si="84"/>
        <v>14</v>
      </c>
      <c r="E487" s="10" t="str">
        <f t="shared" si="85"/>
        <v>Q1-2025</v>
      </c>
      <c r="F487" t="s">
        <v>645</v>
      </c>
      <c r="G487" t="s">
        <v>649</v>
      </c>
      <c r="H487" t="s">
        <v>674</v>
      </c>
      <c r="I487" t="s">
        <v>701</v>
      </c>
      <c r="J487" t="s">
        <v>710</v>
      </c>
      <c r="K487" t="s">
        <v>715</v>
      </c>
      <c r="L487" t="s">
        <v>732</v>
      </c>
      <c r="M487" t="s">
        <v>1283</v>
      </c>
      <c r="N487" s="3">
        <v>1162.8599999999999</v>
      </c>
      <c r="O487" s="3">
        <v>1447.68</v>
      </c>
      <c r="P487" s="6">
        <v>8.6999999999999994E-2</v>
      </c>
      <c r="Q487" s="6">
        <f>IF(Table1[[#This Row],[DiscountPct]]&gt;25%,25%,Table1[[#This Row],[DiscountPct]])</f>
        <v>8.6999999999999994E-2</v>
      </c>
      <c r="R487" s="5">
        <v>12</v>
      </c>
      <c r="S487" s="6">
        <f t="shared" si="86"/>
        <v>0.24493060213611284</v>
      </c>
      <c r="T487" s="8">
        <f t="shared" si="87"/>
        <v>15860.782080000001</v>
      </c>
      <c r="U487" s="8">
        <f t="shared" si="88"/>
        <v>13954.32</v>
      </c>
      <c r="V487" s="9">
        <f t="shared" si="89"/>
        <v>1906.4620800000012</v>
      </c>
      <c r="W487" s="6">
        <f t="shared" si="90"/>
        <v>0.12019975247021369</v>
      </c>
      <c r="X487" t="str" cm="1">
        <f t="array" ref="X487">_xlfn.IFS(S487&lt;=25%, "Low", S487&lt;=75%, "Medium", S487&gt;75%, "High")</f>
        <v>Low</v>
      </c>
      <c r="Y487" s="8">
        <f>Table1[[#This Row],[Quantity]]*(Table1[[#This Row],[UnitPrice]]*(1-Table1[[#This Row],[DiscountPct]]))</f>
        <v>15860.782080000001</v>
      </c>
      <c r="Z487" s="9">
        <f t="shared" si="91"/>
        <v>1906.4620800000012</v>
      </c>
      <c r="AA487">
        <f>COUNTIF($G$2:G488,G487)</f>
        <v>47</v>
      </c>
      <c r="AB487" s="21">
        <f t="shared" si="92"/>
        <v>44988</v>
      </c>
      <c r="AC487" s="21">
        <f t="shared" si="93"/>
        <v>45016</v>
      </c>
      <c r="AD487" s="5">
        <f>(Table1[[#This Row],[OrderDate]]-Table1[[#This Row],[Date of first order]])/30</f>
        <v>23.833333333333332</v>
      </c>
      <c r="AE487" t="str">
        <f t="shared" si="94"/>
        <v>Poor</v>
      </c>
      <c r="AF487">
        <f>COUNTIF(AE$2:AE488,AE487)</f>
        <v>349</v>
      </c>
      <c r="AG487" t="str">
        <f t="shared" si="95"/>
        <v>False</v>
      </c>
      <c r="AH487" s="7">
        <f>Table1[[#This Row],[UnitPrice]]*(1-Table1[[#This Row],[Disc Scenario]])*Table1[[#This Row],[Quantity]]</f>
        <v>15860.782080000001</v>
      </c>
      <c r="AI487">
        <f>ROUNDDOWN((Table1[[#This Row],[Quantity]]*(1+20%)),0)</f>
        <v>14</v>
      </c>
      <c r="AJ487" s="7">
        <f>Table1[[#This Row],[Quantity increase by 20%]]*Table1[[#This Row],[UnitPrice]]</f>
        <v>20267.52</v>
      </c>
      <c r="AK487">
        <f>ROUNDDOWN(Table1[[#This Row],[Quantity]]*(1+20%),0)</f>
        <v>14</v>
      </c>
      <c r="AL487" s="7">
        <f>Table1[[#This Row],[UnitCost]]*(1+15%)</f>
        <v>1337.2889999999998</v>
      </c>
      <c r="AM487" s="9">
        <f>Table1[[#This Row],[Quantity]]*Table1[[#This Row],[Cost of unit by inflation 15%]]</f>
        <v>16047.467999999997</v>
      </c>
      <c r="AN487" s="21" cm="1">
        <f t="array" ref="AN487">_xlfn.UNIQUE(AC487)</f>
        <v>45016</v>
      </c>
    </row>
    <row r="488" spans="1:40" x14ac:dyDescent="0.35">
      <c r="A488" t="s">
        <v>602</v>
      </c>
      <c r="B488" s="21">
        <v>45703</v>
      </c>
      <c r="C488" s="10">
        <v>45715</v>
      </c>
      <c r="D488" s="3">
        <f t="shared" si="84"/>
        <v>12</v>
      </c>
      <c r="E488" s="10" t="str">
        <f t="shared" si="85"/>
        <v>Q1-2025</v>
      </c>
      <c r="F488" t="s">
        <v>648</v>
      </c>
      <c r="G488" t="s">
        <v>656</v>
      </c>
      <c r="H488" t="s">
        <v>678</v>
      </c>
      <c r="I488" t="s">
        <v>702</v>
      </c>
      <c r="J488" t="s">
        <v>710</v>
      </c>
      <c r="K488" t="s">
        <v>722</v>
      </c>
      <c r="L488" t="s">
        <v>732</v>
      </c>
      <c r="M488" t="s">
        <v>1318</v>
      </c>
      <c r="N488" s="3">
        <v>1027.26</v>
      </c>
      <c r="O488" s="3">
        <v>2200.41</v>
      </c>
      <c r="P488" s="6">
        <v>8.7999999999999995E-2</v>
      </c>
      <c r="Q488" s="6">
        <f>IF(Table1[[#This Row],[DiscountPct]]&gt;25%,25%,Table1[[#This Row],[DiscountPct]])</f>
        <v>8.7999999999999995E-2</v>
      </c>
      <c r="R488" s="5">
        <v>6</v>
      </c>
      <c r="S488" s="6">
        <f t="shared" si="86"/>
        <v>1.1420185736814437</v>
      </c>
      <c r="T488" s="8">
        <f t="shared" si="87"/>
        <v>12040.64352</v>
      </c>
      <c r="U488" s="8">
        <f t="shared" si="88"/>
        <v>6163.5599999999995</v>
      </c>
      <c r="V488" s="9">
        <f t="shared" si="89"/>
        <v>5877.0835200000001</v>
      </c>
      <c r="W488" s="6">
        <f t="shared" si="90"/>
        <v>0.48810377204822358</v>
      </c>
      <c r="X488" t="str" cm="1">
        <f t="array" ref="X488">_xlfn.IFS(S488&lt;=25%, "Low", S488&lt;=75%, "Medium", S488&gt;75%, "High")</f>
        <v>High</v>
      </c>
      <c r="Y488" s="8">
        <f>Table1[[#This Row],[Quantity]]*(Table1[[#This Row],[UnitPrice]]*(1-Table1[[#This Row],[DiscountPct]]))</f>
        <v>12040.64352</v>
      </c>
      <c r="Z488" s="9">
        <f t="shared" si="91"/>
        <v>5877.0835200000001</v>
      </c>
      <c r="AA488">
        <f>COUNTIF($G$2:G489,G488)</f>
        <v>42</v>
      </c>
      <c r="AB488" s="21">
        <f t="shared" si="92"/>
        <v>44988</v>
      </c>
      <c r="AC488" s="21">
        <f t="shared" si="93"/>
        <v>45016</v>
      </c>
      <c r="AD488" s="5">
        <f>(Table1[[#This Row],[OrderDate]]-Table1[[#This Row],[Date of first order]])/30</f>
        <v>23.833333333333332</v>
      </c>
      <c r="AE488" t="str">
        <f t="shared" si="94"/>
        <v>Poor</v>
      </c>
      <c r="AF488">
        <f>COUNTIF(AE$2:AE489,AE488)</f>
        <v>349</v>
      </c>
      <c r="AG488" t="str">
        <f t="shared" si="95"/>
        <v>False</v>
      </c>
      <c r="AH488" s="7">
        <f>Table1[[#This Row],[UnitPrice]]*(1-Table1[[#This Row],[Disc Scenario]])*Table1[[#This Row],[Quantity]]</f>
        <v>12040.64352</v>
      </c>
      <c r="AI488">
        <f>ROUNDDOWN((Table1[[#This Row],[Quantity]]*(1+20%)),0)</f>
        <v>7</v>
      </c>
      <c r="AJ488" s="7">
        <f>Table1[[#This Row],[Quantity increase by 20%]]*Table1[[#This Row],[UnitPrice]]</f>
        <v>15402.869999999999</v>
      </c>
      <c r="AK488">
        <f>ROUNDDOWN(Table1[[#This Row],[Quantity]]*(1+20%),0)</f>
        <v>7</v>
      </c>
      <c r="AL488" s="7">
        <f>Table1[[#This Row],[UnitCost]]*(1+15%)</f>
        <v>1181.3489999999999</v>
      </c>
      <c r="AM488" s="9">
        <f>Table1[[#This Row],[Quantity]]*Table1[[#This Row],[Cost of unit by inflation 15%]]</f>
        <v>7088.0939999999991</v>
      </c>
      <c r="AN488" s="21" cm="1">
        <f t="array" ref="AN488">_xlfn.UNIQUE(AC488)</f>
        <v>45016</v>
      </c>
    </row>
    <row r="489" spans="1:40" x14ac:dyDescent="0.35">
      <c r="A489" t="s">
        <v>172</v>
      </c>
      <c r="B489" s="21">
        <v>45703</v>
      </c>
      <c r="C489" s="10">
        <v>45703</v>
      </c>
      <c r="D489" s="3">
        <f t="shared" si="84"/>
        <v>0</v>
      </c>
      <c r="E489" s="10" t="str">
        <f t="shared" si="85"/>
        <v>Q1-2025</v>
      </c>
      <c r="F489" t="s">
        <v>648</v>
      </c>
      <c r="G489" t="s">
        <v>655</v>
      </c>
      <c r="H489" t="s">
        <v>697</v>
      </c>
      <c r="I489" t="s">
        <v>704</v>
      </c>
      <c r="J489" t="s">
        <v>708</v>
      </c>
      <c r="K489" t="s">
        <v>715</v>
      </c>
      <c r="L489" t="s">
        <v>732</v>
      </c>
      <c r="M489" t="s">
        <v>890</v>
      </c>
      <c r="N489" s="3">
        <v>815.83</v>
      </c>
      <c r="O489" s="3">
        <v>1982.18</v>
      </c>
      <c r="P489" s="6">
        <v>0.127</v>
      </c>
      <c r="Q489" s="6">
        <f>IF(Table1[[#This Row],[DiscountPct]]&gt;25%,25%,Table1[[#This Row],[DiscountPct]])</f>
        <v>0.127</v>
      </c>
      <c r="R489" s="5">
        <v>6</v>
      </c>
      <c r="S489" s="6">
        <f t="shared" si="86"/>
        <v>1.4296483335989114</v>
      </c>
      <c r="T489" s="8">
        <f t="shared" si="87"/>
        <v>10382.65884</v>
      </c>
      <c r="U489" s="8">
        <f t="shared" si="88"/>
        <v>4894.9800000000005</v>
      </c>
      <c r="V489" s="9">
        <f t="shared" si="89"/>
        <v>5487.6788399999996</v>
      </c>
      <c r="W489" s="6">
        <f t="shared" si="90"/>
        <v>0.52854272923408507</v>
      </c>
      <c r="X489" t="str" cm="1">
        <f t="array" ref="X489">_xlfn.IFS(S489&lt;=25%, "Low", S489&lt;=75%, "Medium", S489&gt;75%, "High")</f>
        <v>High</v>
      </c>
      <c r="Y489" s="8">
        <f>Table1[[#This Row],[Quantity]]*(Table1[[#This Row],[UnitPrice]]*(1-Table1[[#This Row],[DiscountPct]]))</f>
        <v>10382.65884</v>
      </c>
      <c r="Z489" s="9">
        <f t="shared" si="91"/>
        <v>5487.6788399999996</v>
      </c>
      <c r="AA489">
        <f>COUNTIF($G$2:G490,G489)</f>
        <v>39</v>
      </c>
      <c r="AB489" s="21">
        <f t="shared" si="92"/>
        <v>44988</v>
      </c>
      <c r="AC489" s="21">
        <f t="shared" si="93"/>
        <v>45016</v>
      </c>
      <c r="AD489" s="5">
        <f>(Table1[[#This Row],[OrderDate]]-Table1[[#This Row],[Date of first order]])/30</f>
        <v>23.833333333333332</v>
      </c>
      <c r="AE489" t="str">
        <f t="shared" si="94"/>
        <v>Good</v>
      </c>
      <c r="AF489">
        <f>COUNTIF(AE$2:AE490,AE489)</f>
        <v>140</v>
      </c>
      <c r="AG489" t="str">
        <f t="shared" si="95"/>
        <v>False</v>
      </c>
      <c r="AH489" s="7">
        <f>Table1[[#This Row],[UnitPrice]]*(1-Table1[[#This Row],[Disc Scenario]])*Table1[[#This Row],[Quantity]]</f>
        <v>10382.65884</v>
      </c>
      <c r="AI489">
        <f>ROUNDDOWN((Table1[[#This Row],[Quantity]]*(1+20%)),0)</f>
        <v>7</v>
      </c>
      <c r="AJ489" s="7">
        <f>Table1[[#This Row],[Quantity increase by 20%]]*Table1[[#This Row],[UnitPrice]]</f>
        <v>13875.26</v>
      </c>
      <c r="AK489">
        <f>ROUNDDOWN(Table1[[#This Row],[Quantity]]*(1+20%),0)</f>
        <v>7</v>
      </c>
      <c r="AL489" s="7">
        <f>Table1[[#This Row],[UnitCost]]*(1+15%)</f>
        <v>938.20449999999994</v>
      </c>
      <c r="AM489" s="9">
        <f>Table1[[#This Row],[Quantity]]*Table1[[#This Row],[Cost of unit by inflation 15%]]</f>
        <v>5629.2269999999999</v>
      </c>
      <c r="AN489" s="21" cm="1">
        <f t="array" ref="AN489">_xlfn.UNIQUE(AC489)</f>
        <v>45016</v>
      </c>
    </row>
    <row r="490" spans="1:40" x14ac:dyDescent="0.35">
      <c r="A490" t="s">
        <v>609</v>
      </c>
      <c r="B490" s="21">
        <v>45703</v>
      </c>
      <c r="C490" s="10">
        <v>45705</v>
      </c>
      <c r="D490" s="3">
        <f t="shared" si="84"/>
        <v>2</v>
      </c>
      <c r="E490" s="10" t="str">
        <f t="shared" si="85"/>
        <v>Q1-2025</v>
      </c>
      <c r="F490" t="s">
        <v>647</v>
      </c>
      <c r="G490" t="s">
        <v>652</v>
      </c>
      <c r="H490" t="s">
        <v>666</v>
      </c>
      <c r="I490" t="s">
        <v>704</v>
      </c>
      <c r="J490" t="s">
        <v>706</v>
      </c>
      <c r="K490" t="s">
        <v>725</v>
      </c>
      <c r="L490" t="s">
        <v>726</v>
      </c>
      <c r="M490" t="s">
        <v>1325</v>
      </c>
      <c r="N490" s="3">
        <v>1133.47</v>
      </c>
      <c r="O490" s="3">
        <v>1698.75</v>
      </c>
      <c r="P490" s="6">
        <v>4.2999999999999997E-2</v>
      </c>
      <c r="Q490" s="6">
        <f>IF(Table1[[#This Row],[DiscountPct]]&gt;25%,25%,Table1[[#This Row],[DiscountPct]])</f>
        <v>4.2999999999999997E-2</v>
      </c>
      <c r="R490" s="5">
        <v>5</v>
      </c>
      <c r="S490" s="6">
        <f t="shared" si="86"/>
        <v>0.49871633126593556</v>
      </c>
      <c r="T490" s="8">
        <f t="shared" si="87"/>
        <v>8128.5187499999993</v>
      </c>
      <c r="U490" s="8">
        <f t="shared" si="88"/>
        <v>5667.35</v>
      </c>
      <c r="V490" s="9">
        <f t="shared" si="89"/>
        <v>2461.1687499999989</v>
      </c>
      <c r="W490" s="6">
        <f t="shared" si="90"/>
        <v>0.30278194904821976</v>
      </c>
      <c r="X490" t="str" cm="1">
        <f t="array" ref="X490">_xlfn.IFS(S490&lt;=25%, "Low", S490&lt;=75%, "Medium", S490&gt;75%, "High")</f>
        <v>Medium</v>
      </c>
      <c r="Y490" s="8">
        <f>Table1[[#This Row],[Quantity]]*(Table1[[#This Row],[UnitPrice]]*(1-Table1[[#This Row],[DiscountPct]]))</f>
        <v>8128.5187499999993</v>
      </c>
      <c r="Z490" s="9">
        <f t="shared" si="91"/>
        <v>2461.1687499999989</v>
      </c>
      <c r="AA490">
        <f>COUNTIF($G$2:G491,G490)</f>
        <v>33</v>
      </c>
      <c r="AB490" s="21">
        <f t="shared" si="92"/>
        <v>44988</v>
      </c>
      <c r="AC490" s="21">
        <f t="shared" si="93"/>
        <v>45016</v>
      </c>
      <c r="AD490" s="5">
        <f>(Table1[[#This Row],[OrderDate]]-Table1[[#This Row],[Date of first order]])/30</f>
        <v>23.833333333333332</v>
      </c>
      <c r="AE490" t="str">
        <f t="shared" si="94"/>
        <v>Good</v>
      </c>
      <c r="AF490">
        <f>COUNTIF(AE$2:AE491,AE490)</f>
        <v>140</v>
      </c>
      <c r="AG490" t="str">
        <f t="shared" si="95"/>
        <v>False</v>
      </c>
      <c r="AH490" s="7">
        <f>Table1[[#This Row],[UnitPrice]]*(1-Table1[[#This Row],[Disc Scenario]])*Table1[[#This Row],[Quantity]]</f>
        <v>8128.5187499999993</v>
      </c>
      <c r="AI490">
        <f>ROUNDDOWN((Table1[[#This Row],[Quantity]]*(1+20%)),0)</f>
        <v>6</v>
      </c>
      <c r="AJ490" s="7">
        <f>Table1[[#This Row],[Quantity increase by 20%]]*Table1[[#This Row],[UnitPrice]]</f>
        <v>10192.5</v>
      </c>
      <c r="AK490">
        <f>ROUNDDOWN(Table1[[#This Row],[Quantity]]*(1+20%),0)</f>
        <v>6</v>
      </c>
      <c r="AL490" s="7">
        <f>Table1[[#This Row],[UnitCost]]*(1+15%)</f>
        <v>1303.4904999999999</v>
      </c>
      <c r="AM490" s="9">
        <f>Table1[[#This Row],[Quantity]]*Table1[[#This Row],[Cost of unit by inflation 15%]]</f>
        <v>6517.4524999999994</v>
      </c>
      <c r="AN490" s="21" cm="1">
        <f t="array" ref="AN490">_xlfn.UNIQUE(AC490)</f>
        <v>45016</v>
      </c>
    </row>
    <row r="491" spans="1:40" x14ac:dyDescent="0.35">
      <c r="A491" t="s">
        <v>566</v>
      </c>
      <c r="B491" s="21">
        <v>45704</v>
      </c>
      <c r="C491" s="10">
        <v>45733</v>
      </c>
      <c r="D491" s="3">
        <f t="shared" si="84"/>
        <v>29</v>
      </c>
      <c r="E491" s="10" t="str">
        <f t="shared" si="85"/>
        <v>Q1-2025</v>
      </c>
      <c r="F491" t="s">
        <v>648</v>
      </c>
      <c r="G491" t="s">
        <v>655</v>
      </c>
      <c r="H491" t="s">
        <v>683</v>
      </c>
      <c r="I491" t="s">
        <v>703</v>
      </c>
      <c r="J491" t="s">
        <v>706</v>
      </c>
      <c r="K491" t="s">
        <v>715</v>
      </c>
      <c r="L491" t="s">
        <v>732</v>
      </c>
      <c r="M491" t="s">
        <v>1282</v>
      </c>
      <c r="N491" s="3">
        <v>730.42</v>
      </c>
      <c r="O491" s="3">
        <v>956.7</v>
      </c>
      <c r="P491" s="6">
        <v>4.2000000000000003E-2</v>
      </c>
      <c r="Q491" s="6">
        <f>IF(Table1[[#This Row],[DiscountPct]]&gt;25%,25%,Table1[[#This Row],[DiscountPct]])</f>
        <v>4.2000000000000003E-2</v>
      </c>
      <c r="R491" s="5">
        <v>22</v>
      </c>
      <c r="S491" s="6">
        <f t="shared" si="86"/>
        <v>0.30979436488595619</v>
      </c>
      <c r="T491" s="8">
        <f t="shared" si="87"/>
        <v>20163.409200000002</v>
      </c>
      <c r="U491" s="8">
        <f t="shared" si="88"/>
        <v>16069.24</v>
      </c>
      <c r="V491" s="9">
        <f t="shared" si="89"/>
        <v>4094.1692000000021</v>
      </c>
      <c r="W491" s="6">
        <f t="shared" si="90"/>
        <v>0.20304945256975698</v>
      </c>
      <c r="X491" t="str" cm="1">
        <f t="array" ref="X491">_xlfn.IFS(S491&lt;=25%, "Low", S491&lt;=75%, "Medium", S491&gt;75%, "High")</f>
        <v>Medium</v>
      </c>
      <c r="Y491" s="8">
        <f>Table1[[#This Row],[Quantity]]*(Table1[[#This Row],[UnitPrice]]*(1-Table1[[#This Row],[DiscountPct]]))</f>
        <v>20163.409199999998</v>
      </c>
      <c r="Z491" s="9">
        <f t="shared" si="91"/>
        <v>4094.1691999999985</v>
      </c>
      <c r="AA491">
        <f>COUNTIF($G$2:G492,G491)</f>
        <v>40</v>
      </c>
      <c r="AB491" s="21">
        <f t="shared" si="92"/>
        <v>44988</v>
      </c>
      <c r="AC491" s="21">
        <f t="shared" si="93"/>
        <v>45016</v>
      </c>
      <c r="AD491" s="5">
        <f>(Table1[[#This Row],[OrderDate]]-Table1[[#This Row],[Date of first order]])/30</f>
        <v>23.866666666666667</v>
      </c>
      <c r="AE491" t="str">
        <f t="shared" si="94"/>
        <v>Poor</v>
      </c>
      <c r="AF491">
        <f>COUNTIF(AE$2:AE492,AE491)</f>
        <v>351</v>
      </c>
      <c r="AG491" t="str">
        <f t="shared" si="95"/>
        <v>False</v>
      </c>
      <c r="AH491" s="7">
        <f>Table1[[#This Row],[UnitPrice]]*(1-Table1[[#This Row],[Disc Scenario]])*Table1[[#This Row],[Quantity]]</f>
        <v>20163.409199999998</v>
      </c>
      <c r="AI491">
        <f>ROUNDDOWN((Table1[[#This Row],[Quantity]]*(1+20%)),0)</f>
        <v>26</v>
      </c>
      <c r="AJ491" s="7">
        <f>Table1[[#This Row],[Quantity increase by 20%]]*Table1[[#This Row],[UnitPrice]]</f>
        <v>24874.2</v>
      </c>
      <c r="AK491">
        <f>ROUNDDOWN(Table1[[#This Row],[Quantity]]*(1+20%),0)</f>
        <v>26</v>
      </c>
      <c r="AL491" s="7">
        <f>Table1[[#This Row],[UnitCost]]*(1+15%)</f>
        <v>839.98299999999983</v>
      </c>
      <c r="AM491" s="9">
        <f>Table1[[#This Row],[Quantity]]*Table1[[#This Row],[Cost of unit by inflation 15%]]</f>
        <v>18479.625999999997</v>
      </c>
      <c r="AN491" s="21" cm="1">
        <f t="array" ref="AN491">_xlfn.UNIQUE(AC491)</f>
        <v>45016</v>
      </c>
    </row>
    <row r="492" spans="1:40" x14ac:dyDescent="0.35">
      <c r="A492" t="s">
        <v>284</v>
      </c>
      <c r="B492" s="21">
        <v>45707</v>
      </c>
      <c r="C492" s="10">
        <v>45725</v>
      </c>
      <c r="D492" s="3">
        <f t="shared" si="84"/>
        <v>18</v>
      </c>
      <c r="E492" s="10" t="str">
        <f t="shared" si="85"/>
        <v>Q1-2025</v>
      </c>
      <c r="F492" t="s">
        <v>646</v>
      </c>
      <c r="G492" t="s">
        <v>653</v>
      </c>
      <c r="H492" t="s">
        <v>679</v>
      </c>
      <c r="I492" t="s">
        <v>704</v>
      </c>
      <c r="J492" t="s">
        <v>710</v>
      </c>
      <c r="K492" t="s">
        <v>718</v>
      </c>
      <c r="L492" t="s">
        <v>731</v>
      </c>
      <c r="M492" t="s">
        <v>1002</v>
      </c>
      <c r="N492" s="3">
        <v>325.87</v>
      </c>
      <c r="O492" s="3">
        <v>538.79</v>
      </c>
      <c r="P492" s="6">
        <v>0.17399999999999999</v>
      </c>
      <c r="Q492" s="6">
        <f>IF(Table1[[#This Row],[DiscountPct]]&gt;25%,25%,Table1[[#This Row],[DiscountPct]])</f>
        <v>0.17399999999999999</v>
      </c>
      <c r="R492" s="5">
        <v>16</v>
      </c>
      <c r="S492" s="6">
        <f t="shared" si="86"/>
        <v>0.65338938840641958</v>
      </c>
      <c r="T492" s="8">
        <f t="shared" si="87"/>
        <v>7120.6486400000003</v>
      </c>
      <c r="U492" s="8">
        <f t="shared" si="88"/>
        <v>5213.92</v>
      </c>
      <c r="V492" s="9">
        <f t="shared" si="89"/>
        <v>1906.7286400000003</v>
      </c>
      <c r="W492" s="6">
        <f t="shared" si="90"/>
        <v>0.26777457172778013</v>
      </c>
      <c r="X492" t="str" cm="1">
        <f t="array" ref="X492">_xlfn.IFS(S492&lt;=25%, "Low", S492&lt;=75%, "Medium", S492&gt;75%, "High")</f>
        <v>Medium</v>
      </c>
      <c r="Y492" s="8">
        <f>Table1[[#This Row],[Quantity]]*(Table1[[#This Row],[UnitPrice]]*(1-Table1[[#This Row],[DiscountPct]]))</f>
        <v>7120.6486400000003</v>
      </c>
      <c r="Z492" s="9">
        <f t="shared" si="91"/>
        <v>1906.7286400000003</v>
      </c>
      <c r="AA492">
        <f>COUNTIF($G$2:G493,G492)</f>
        <v>47</v>
      </c>
      <c r="AB492" s="21">
        <f t="shared" si="92"/>
        <v>44988</v>
      </c>
      <c r="AC492" s="21">
        <f t="shared" si="93"/>
        <v>45016</v>
      </c>
      <c r="AD492" s="5">
        <f>(Table1[[#This Row],[OrderDate]]-Table1[[#This Row],[Date of first order]])/30</f>
        <v>23.966666666666665</v>
      </c>
      <c r="AE492" t="str">
        <f t="shared" si="94"/>
        <v>Poor</v>
      </c>
      <c r="AF492">
        <f>COUNTIF(AE$2:AE493,AE492)</f>
        <v>352</v>
      </c>
      <c r="AG492" t="str">
        <f t="shared" si="95"/>
        <v>False</v>
      </c>
      <c r="AH492" s="7">
        <f>Table1[[#This Row],[UnitPrice]]*(1-Table1[[#This Row],[Disc Scenario]])*Table1[[#This Row],[Quantity]]</f>
        <v>7120.6486400000003</v>
      </c>
      <c r="AI492">
        <f>ROUNDDOWN((Table1[[#This Row],[Quantity]]*(1+20%)),0)</f>
        <v>19</v>
      </c>
      <c r="AJ492" s="7">
        <f>Table1[[#This Row],[Quantity increase by 20%]]*Table1[[#This Row],[UnitPrice]]</f>
        <v>10237.009999999998</v>
      </c>
      <c r="AK492">
        <f>ROUNDDOWN(Table1[[#This Row],[Quantity]]*(1+20%),0)</f>
        <v>19</v>
      </c>
      <c r="AL492" s="7">
        <f>Table1[[#This Row],[UnitCost]]*(1+15%)</f>
        <v>374.75049999999999</v>
      </c>
      <c r="AM492" s="9">
        <f>Table1[[#This Row],[Quantity]]*Table1[[#This Row],[Cost of unit by inflation 15%]]</f>
        <v>5996.0079999999998</v>
      </c>
      <c r="AN492" s="21" cm="1">
        <f t="array" ref="AN492">_xlfn.UNIQUE(AC492)</f>
        <v>45016</v>
      </c>
    </row>
    <row r="493" spans="1:40" x14ac:dyDescent="0.35">
      <c r="A493" t="s">
        <v>420</v>
      </c>
      <c r="B493" s="21">
        <v>45709</v>
      </c>
      <c r="C493" s="10">
        <v>45737</v>
      </c>
      <c r="D493" s="3">
        <f t="shared" si="84"/>
        <v>28</v>
      </c>
      <c r="E493" s="10" t="str">
        <f t="shared" si="85"/>
        <v>Q1-2025</v>
      </c>
      <c r="F493" t="s">
        <v>645</v>
      </c>
      <c r="G493" t="s">
        <v>650</v>
      </c>
      <c r="H493" t="s">
        <v>668</v>
      </c>
      <c r="I493" t="s">
        <v>705</v>
      </c>
      <c r="J493" t="s">
        <v>708</v>
      </c>
      <c r="K493" t="s">
        <v>713</v>
      </c>
      <c r="L493" t="s">
        <v>729</v>
      </c>
      <c r="M493" t="s">
        <v>1137</v>
      </c>
      <c r="N493" s="3">
        <v>1437.39</v>
      </c>
      <c r="O493" s="3">
        <v>2687.9193000000005</v>
      </c>
      <c r="P493" s="6">
        <v>0.13800000000000001</v>
      </c>
      <c r="Q493" s="6">
        <f>IF(Table1[[#This Row],[DiscountPct]]&gt;25%,25%,Table1[[#This Row],[DiscountPct]])</f>
        <v>0.13800000000000001</v>
      </c>
      <c r="R493" s="5">
        <v>18</v>
      </c>
      <c r="S493" s="6">
        <f t="shared" si="86"/>
        <v>0.87000000000000022</v>
      </c>
      <c r="T493" s="8">
        <f t="shared" si="87"/>
        <v>41705.75585880001</v>
      </c>
      <c r="U493" s="8">
        <f t="shared" si="88"/>
        <v>25873.02</v>
      </c>
      <c r="V493" s="9">
        <f t="shared" si="89"/>
        <v>15832.73585880001</v>
      </c>
      <c r="W493" s="6">
        <f t="shared" si="90"/>
        <v>0.3796295147462066</v>
      </c>
      <c r="X493" t="str" cm="1">
        <f t="array" ref="X493">_xlfn.IFS(S493&lt;=25%, "Low", S493&lt;=75%, "Medium", S493&gt;75%, "High")</f>
        <v>High</v>
      </c>
      <c r="Y493" s="8">
        <f>Table1[[#This Row],[Quantity]]*(Table1[[#This Row],[UnitPrice]]*(1-Table1[[#This Row],[DiscountPct]]))</f>
        <v>41705.755858800003</v>
      </c>
      <c r="Z493" s="9">
        <f t="shared" si="91"/>
        <v>15832.735858800002</v>
      </c>
      <c r="AA493">
        <f>COUNTIF($G$2:G494,G493)</f>
        <v>33</v>
      </c>
      <c r="AB493" s="21">
        <f t="shared" si="92"/>
        <v>44988</v>
      </c>
      <c r="AC493" s="21">
        <f t="shared" si="93"/>
        <v>45016</v>
      </c>
      <c r="AD493" s="5">
        <f>(Table1[[#This Row],[OrderDate]]-Table1[[#This Row],[Date of first order]])/30</f>
        <v>24.033333333333335</v>
      </c>
      <c r="AE493" t="str">
        <f t="shared" si="94"/>
        <v>Poor</v>
      </c>
      <c r="AF493">
        <f>COUNTIF(AE$2:AE494,AE493)</f>
        <v>353</v>
      </c>
      <c r="AG493" t="str">
        <f t="shared" si="95"/>
        <v>False</v>
      </c>
      <c r="AH493" s="7">
        <f>Table1[[#This Row],[UnitPrice]]*(1-Table1[[#This Row],[Disc Scenario]])*Table1[[#This Row],[Quantity]]</f>
        <v>41705.755858800003</v>
      </c>
      <c r="AI493">
        <f>ROUNDDOWN((Table1[[#This Row],[Quantity]]*(1+20%)),0)</f>
        <v>21</v>
      </c>
      <c r="AJ493" s="7">
        <f>Table1[[#This Row],[Quantity increase by 20%]]*Table1[[#This Row],[UnitPrice]]</f>
        <v>56446.305300000007</v>
      </c>
      <c r="AK493">
        <f>ROUNDDOWN(Table1[[#This Row],[Quantity]]*(1+20%),0)</f>
        <v>21</v>
      </c>
      <c r="AL493" s="7">
        <f>Table1[[#This Row],[UnitCost]]*(1+15%)</f>
        <v>1652.9984999999999</v>
      </c>
      <c r="AM493" s="9">
        <f>Table1[[#This Row],[Quantity]]*Table1[[#This Row],[Cost of unit by inflation 15%]]</f>
        <v>29753.972999999998</v>
      </c>
      <c r="AN493" s="21" cm="1">
        <f t="array" ref="AN493">_xlfn.UNIQUE(AC493)</f>
        <v>45016</v>
      </c>
    </row>
    <row r="494" spans="1:40" x14ac:dyDescent="0.35">
      <c r="A494" t="s">
        <v>434</v>
      </c>
      <c r="B494" s="21">
        <v>45713</v>
      </c>
      <c r="C494" s="10">
        <v>45733</v>
      </c>
      <c r="D494" s="3">
        <f t="shared" si="84"/>
        <v>20</v>
      </c>
      <c r="E494" s="10" t="str">
        <f t="shared" si="85"/>
        <v>Q1-2025</v>
      </c>
      <c r="F494" t="s">
        <v>647</v>
      </c>
      <c r="G494" t="s">
        <v>659</v>
      </c>
      <c r="H494" t="s">
        <v>685</v>
      </c>
      <c r="I494" t="s">
        <v>702</v>
      </c>
      <c r="J494" t="s">
        <v>708</v>
      </c>
      <c r="K494" t="s">
        <v>721</v>
      </c>
      <c r="L494" t="s">
        <v>729</v>
      </c>
      <c r="M494" t="s">
        <v>1151</v>
      </c>
      <c r="N494" s="3">
        <v>1205.26</v>
      </c>
      <c r="O494" s="3">
        <v>1696.35</v>
      </c>
      <c r="P494" s="6">
        <v>1.9E-2</v>
      </c>
      <c r="Q494" s="6">
        <f>IF(Table1[[#This Row],[DiscountPct]]&gt;25%,25%,Table1[[#This Row],[DiscountPct]])</f>
        <v>1.9E-2</v>
      </c>
      <c r="R494" s="5">
        <v>6</v>
      </c>
      <c r="S494" s="6">
        <f t="shared" si="86"/>
        <v>0.40745565272223416</v>
      </c>
      <c r="T494" s="8">
        <f t="shared" si="87"/>
        <v>9984.7160999999978</v>
      </c>
      <c r="U494" s="8">
        <f t="shared" si="88"/>
        <v>7231.5599999999995</v>
      </c>
      <c r="V494" s="9">
        <f t="shared" si="89"/>
        <v>2753.1560999999983</v>
      </c>
      <c r="W494" s="6">
        <f t="shared" si="90"/>
        <v>0.27573704374028213</v>
      </c>
      <c r="X494" t="str" cm="1">
        <f t="array" ref="X494">_xlfn.IFS(S494&lt;=25%, "Low", S494&lt;=75%, "Medium", S494&gt;75%, "High")</f>
        <v>Medium</v>
      </c>
      <c r="Y494" s="8">
        <f>Table1[[#This Row],[Quantity]]*(Table1[[#This Row],[UnitPrice]]*(1-Table1[[#This Row],[DiscountPct]]))</f>
        <v>9984.7160999999996</v>
      </c>
      <c r="Z494" s="9">
        <f t="shared" si="91"/>
        <v>2753.1561000000002</v>
      </c>
      <c r="AA494">
        <f>COUNTIF($G$2:G495,G494)</f>
        <v>44</v>
      </c>
      <c r="AB494" s="21">
        <f t="shared" si="92"/>
        <v>44988</v>
      </c>
      <c r="AC494" s="21">
        <f t="shared" si="93"/>
        <v>45016</v>
      </c>
      <c r="AD494" s="5">
        <f>(Table1[[#This Row],[OrderDate]]-Table1[[#This Row],[Date of first order]])/30</f>
        <v>24.166666666666668</v>
      </c>
      <c r="AE494" t="str">
        <f t="shared" si="94"/>
        <v>Poor</v>
      </c>
      <c r="AF494">
        <f>COUNTIF(AE$2:AE495,AE494)</f>
        <v>354</v>
      </c>
      <c r="AG494" t="str">
        <f t="shared" si="95"/>
        <v>False</v>
      </c>
      <c r="AH494" s="7">
        <f>Table1[[#This Row],[UnitPrice]]*(1-Table1[[#This Row],[Disc Scenario]])*Table1[[#This Row],[Quantity]]</f>
        <v>9984.7160999999996</v>
      </c>
      <c r="AI494">
        <f>ROUNDDOWN((Table1[[#This Row],[Quantity]]*(1+20%)),0)</f>
        <v>7</v>
      </c>
      <c r="AJ494" s="7">
        <f>Table1[[#This Row],[Quantity increase by 20%]]*Table1[[#This Row],[UnitPrice]]</f>
        <v>11874.449999999999</v>
      </c>
      <c r="AK494">
        <f>ROUNDDOWN(Table1[[#This Row],[Quantity]]*(1+20%),0)</f>
        <v>7</v>
      </c>
      <c r="AL494" s="7">
        <f>Table1[[#This Row],[UnitCost]]*(1+15%)</f>
        <v>1386.049</v>
      </c>
      <c r="AM494" s="9">
        <f>Table1[[#This Row],[Quantity]]*Table1[[#This Row],[Cost of unit by inflation 15%]]</f>
        <v>8316.2939999999999</v>
      </c>
      <c r="AN494" s="21" cm="1">
        <f t="array" ref="AN494">_xlfn.UNIQUE(AC494)</f>
        <v>45016</v>
      </c>
    </row>
    <row r="495" spans="1:40" x14ac:dyDescent="0.35">
      <c r="A495" t="s">
        <v>644</v>
      </c>
      <c r="B495" s="21">
        <v>45716</v>
      </c>
      <c r="C495" s="10">
        <v>45726</v>
      </c>
      <c r="D495" s="3">
        <f t="shared" si="84"/>
        <v>10</v>
      </c>
      <c r="E495" s="10" t="str">
        <f t="shared" si="85"/>
        <v>Q1-2025</v>
      </c>
      <c r="F495" t="s">
        <v>646</v>
      </c>
      <c r="G495" t="s">
        <v>651</v>
      </c>
      <c r="H495" t="s">
        <v>665</v>
      </c>
      <c r="I495" t="s">
        <v>701</v>
      </c>
      <c r="J495" t="s">
        <v>709</v>
      </c>
      <c r="K495" t="s">
        <v>724</v>
      </c>
      <c r="L495" t="s">
        <v>730</v>
      </c>
      <c r="M495" t="s">
        <v>1360</v>
      </c>
      <c r="N495" s="3">
        <v>51.86</v>
      </c>
      <c r="O495" s="3">
        <v>88.161999999999992</v>
      </c>
      <c r="P495" s="6">
        <v>0.17299999999999999</v>
      </c>
      <c r="Q495" s="6">
        <f>IF(Table1[[#This Row],[DiscountPct]]&gt;25%,25%,Table1[[#This Row],[DiscountPct]])</f>
        <v>0.17299999999999999</v>
      </c>
      <c r="R495" s="5">
        <v>7</v>
      </c>
      <c r="S495" s="6">
        <f t="shared" si="86"/>
        <v>0.69999999999999984</v>
      </c>
      <c r="T495" s="8">
        <f t="shared" si="87"/>
        <v>510.3698179999999</v>
      </c>
      <c r="U495" s="8">
        <f t="shared" si="88"/>
        <v>363.02</v>
      </c>
      <c r="V495" s="9">
        <f t="shared" si="89"/>
        <v>147.34981799999991</v>
      </c>
      <c r="W495" s="6">
        <f t="shared" si="90"/>
        <v>0.2887118571733408</v>
      </c>
      <c r="X495" t="str" cm="1">
        <f t="array" ref="X495">_xlfn.IFS(S495&lt;=25%, "Low", S495&lt;=75%, "Medium", S495&gt;75%, "High")</f>
        <v>Medium</v>
      </c>
      <c r="Y495" s="8">
        <f>Table1[[#This Row],[Quantity]]*(Table1[[#This Row],[UnitPrice]]*(1-Table1[[#This Row],[DiscountPct]]))</f>
        <v>510.36981799999995</v>
      </c>
      <c r="Z495" s="9">
        <f t="shared" si="91"/>
        <v>147.34981799999997</v>
      </c>
      <c r="AA495">
        <f>COUNTIF($G$2:G496,G495)</f>
        <v>42</v>
      </c>
      <c r="AB495" s="21">
        <f t="shared" si="92"/>
        <v>44988</v>
      </c>
      <c r="AC495" s="21">
        <f t="shared" si="93"/>
        <v>45016</v>
      </c>
      <c r="AD495" s="5">
        <f>(Table1[[#This Row],[OrderDate]]-Table1[[#This Row],[Date of first order]])/30</f>
        <v>24.266666666666666</v>
      </c>
      <c r="AE495" t="str">
        <f t="shared" si="94"/>
        <v>Poor</v>
      </c>
      <c r="AF495">
        <f>COUNTIF(AE$2:AE496,AE495)</f>
        <v>355</v>
      </c>
      <c r="AG495" t="str">
        <f t="shared" si="95"/>
        <v>False</v>
      </c>
      <c r="AH495" s="7">
        <f>Table1[[#This Row],[UnitPrice]]*(1-Table1[[#This Row],[Disc Scenario]])*Table1[[#This Row],[Quantity]]</f>
        <v>510.36981799999995</v>
      </c>
      <c r="AI495">
        <f>ROUNDDOWN((Table1[[#This Row],[Quantity]]*(1+20%)),0)</f>
        <v>8</v>
      </c>
      <c r="AJ495" s="7">
        <f>Table1[[#This Row],[Quantity increase by 20%]]*Table1[[#This Row],[UnitPrice]]</f>
        <v>705.29599999999994</v>
      </c>
      <c r="AK495">
        <f>ROUNDDOWN(Table1[[#This Row],[Quantity]]*(1+20%),0)</f>
        <v>8</v>
      </c>
      <c r="AL495" s="7">
        <f>Table1[[#This Row],[UnitCost]]*(1+15%)</f>
        <v>59.638999999999996</v>
      </c>
      <c r="AM495" s="9">
        <f>Table1[[#This Row],[Quantity]]*Table1[[#This Row],[Cost of unit by inflation 15%]]</f>
        <v>417.47299999999996</v>
      </c>
      <c r="AN495" s="21" cm="1">
        <f t="array" ref="AN495">_xlfn.UNIQUE(AC495)</f>
        <v>45016</v>
      </c>
    </row>
    <row r="496" spans="1:40" x14ac:dyDescent="0.35">
      <c r="A496" t="s">
        <v>145</v>
      </c>
      <c r="B496" s="21">
        <v>45719</v>
      </c>
      <c r="C496" s="10">
        <v>45740</v>
      </c>
      <c r="D496" s="3">
        <f t="shared" si="84"/>
        <v>21</v>
      </c>
      <c r="E496" s="10" t="str">
        <f t="shared" si="85"/>
        <v>Q1-2025</v>
      </c>
      <c r="F496" t="s">
        <v>645</v>
      </c>
      <c r="G496" t="s">
        <v>650</v>
      </c>
      <c r="H496" t="s">
        <v>668</v>
      </c>
      <c r="I496" t="s">
        <v>705</v>
      </c>
      <c r="J496" t="s">
        <v>710</v>
      </c>
      <c r="K496" t="s">
        <v>721</v>
      </c>
      <c r="L496" t="s">
        <v>732</v>
      </c>
      <c r="M496" t="s">
        <v>863</v>
      </c>
      <c r="N496" s="3">
        <v>555.95000000000005</v>
      </c>
      <c r="O496" s="3">
        <v>1045.1859999999999</v>
      </c>
      <c r="P496" s="6">
        <v>0.14199999999999999</v>
      </c>
      <c r="Q496" s="6">
        <f>IF(Table1[[#This Row],[DiscountPct]]&gt;25%,25%,Table1[[#This Row],[DiscountPct]])</f>
        <v>0.14199999999999999</v>
      </c>
      <c r="R496" s="5">
        <v>11</v>
      </c>
      <c r="S496" s="6">
        <f t="shared" si="86"/>
        <v>0.87999999999999967</v>
      </c>
      <c r="T496" s="8">
        <f t="shared" si="87"/>
        <v>9864.4654679999985</v>
      </c>
      <c r="U496" s="8">
        <f t="shared" si="88"/>
        <v>6115.4500000000007</v>
      </c>
      <c r="V496" s="9">
        <f t="shared" si="89"/>
        <v>3749.0154679999978</v>
      </c>
      <c r="W496" s="6">
        <f t="shared" si="90"/>
        <v>0.38005257154193306</v>
      </c>
      <c r="X496" t="str" cm="1">
        <f t="array" ref="X496">_xlfn.IFS(S496&lt;=25%, "Low", S496&lt;=75%, "Medium", S496&gt;75%, "High")</f>
        <v>High</v>
      </c>
      <c r="Y496" s="8">
        <f>Table1[[#This Row],[Quantity]]*(Table1[[#This Row],[UnitPrice]]*(1-Table1[[#This Row],[DiscountPct]]))</f>
        <v>9864.4654679999985</v>
      </c>
      <c r="Z496" s="9">
        <f t="shared" si="91"/>
        <v>3749.0154679999978</v>
      </c>
      <c r="AA496">
        <f>COUNTIF($G$2:G497,G496)</f>
        <v>34</v>
      </c>
      <c r="AB496" s="21">
        <f t="shared" si="92"/>
        <v>44988</v>
      </c>
      <c r="AC496" s="21">
        <f t="shared" si="93"/>
        <v>45016</v>
      </c>
      <c r="AD496" s="5">
        <f>(Table1[[#This Row],[OrderDate]]-Table1[[#This Row],[Date of first order]])/30</f>
        <v>24.366666666666667</v>
      </c>
      <c r="AE496" t="str">
        <f t="shared" si="94"/>
        <v>Poor</v>
      </c>
      <c r="AF496">
        <f>COUNTIF(AE$2:AE497,AE496)</f>
        <v>356</v>
      </c>
      <c r="AG496" t="str">
        <f t="shared" si="95"/>
        <v>False</v>
      </c>
      <c r="AH496" s="7">
        <f>Table1[[#This Row],[UnitPrice]]*(1-Table1[[#This Row],[Disc Scenario]])*Table1[[#This Row],[Quantity]]</f>
        <v>9864.4654679999985</v>
      </c>
      <c r="AI496">
        <f>ROUNDDOWN((Table1[[#This Row],[Quantity]]*(1+20%)),0)</f>
        <v>13</v>
      </c>
      <c r="AJ496" s="7">
        <f>Table1[[#This Row],[Quantity increase by 20%]]*Table1[[#This Row],[UnitPrice]]</f>
        <v>13587.418</v>
      </c>
      <c r="AK496">
        <f>ROUNDDOWN(Table1[[#This Row],[Quantity]]*(1+20%),0)</f>
        <v>13</v>
      </c>
      <c r="AL496" s="7">
        <f>Table1[[#This Row],[UnitCost]]*(1+15%)</f>
        <v>639.34249999999997</v>
      </c>
      <c r="AM496" s="9">
        <f>Table1[[#This Row],[Quantity]]*Table1[[#This Row],[Cost of unit by inflation 15%]]</f>
        <v>7032.7674999999999</v>
      </c>
      <c r="AN496" s="21" cm="1">
        <f t="array" ref="AN496">_xlfn.UNIQUE(AC496)</f>
        <v>45016</v>
      </c>
    </row>
    <row r="497" spans="1:40" x14ac:dyDescent="0.35">
      <c r="A497" t="s">
        <v>27</v>
      </c>
      <c r="B497" s="21">
        <v>45722</v>
      </c>
      <c r="C497" s="10">
        <v>45747</v>
      </c>
      <c r="D497" s="3">
        <f t="shared" si="84"/>
        <v>25</v>
      </c>
      <c r="E497" s="10" t="str">
        <f t="shared" si="85"/>
        <v>Q1-2025</v>
      </c>
      <c r="F497" t="s">
        <v>647</v>
      </c>
      <c r="G497" t="s">
        <v>654</v>
      </c>
      <c r="H497" t="s">
        <v>671</v>
      </c>
      <c r="I497" t="s">
        <v>702</v>
      </c>
      <c r="J497" t="s">
        <v>707</v>
      </c>
      <c r="K497" t="s">
        <v>712</v>
      </c>
      <c r="L497" t="s">
        <v>726</v>
      </c>
      <c r="M497" t="s">
        <v>745</v>
      </c>
      <c r="N497" s="3">
        <v>331.57</v>
      </c>
      <c r="O497" s="3">
        <v>548.4</v>
      </c>
      <c r="P497" s="6">
        <v>9.4E-2</v>
      </c>
      <c r="Q497" s="6">
        <f>IF(Table1[[#This Row],[DiscountPct]]&gt;25%,25%,Table1[[#This Row],[DiscountPct]])</f>
        <v>9.4E-2</v>
      </c>
      <c r="R497" s="5">
        <v>10</v>
      </c>
      <c r="S497" s="6">
        <f t="shared" si="86"/>
        <v>0.65394939228518867</v>
      </c>
      <c r="T497" s="8">
        <f t="shared" si="87"/>
        <v>4968.5039999999999</v>
      </c>
      <c r="U497" s="8">
        <f t="shared" si="88"/>
        <v>3315.7</v>
      </c>
      <c r="V497" s="9">
        <f t="shared" si="89"/>
        <v>1652.8040000000001</v>
      </c>
      <c r="W497" s="6">
        <f t="shared" si="90"/>
        <v>0.33265626836568918</v>
      </c>
      <c r="X497" t="str" cm="1">
        <f t="array" ref="X497">_xlfn.IFS(S497&lt;=25%, "Low", S497&lt;=75%, "Medium", S497&gt;75%, "High")</f>
        <v>Medium</v>
      </c>
      <c r="Y497" s="8">
        <f>Table1[[#This Row],[Quantity]]*(Table1[[#This Row],[UnitPrice]]*(1-Table1[[#This Row],[DiscountPct]]))</f>
        <v>4968.5039999999999</v>
      </c>
      <c r="Z497" s="9">
        <f t="shared" si="91"/>
        <v>1652.8040000000001</v>
      </c>
      <c r="AA497">
        <f>COUNTIF($G$2:G498,G497)</f>
        <v>47</v>
      </c>
      <c r="AB497" s="21">
        <f t="shared" si="92"/>
        <v>44988</v>
      </c>
      <c r="AC497" s="21">
        <f t="shared" si="93"/>
        <v>45016</v>
      </c>
      <c r="AD497" s="5">
        <f>(Table1[[#This Row],[OrderDate]]-Table1[[#This Row],[Date of first order]])/30</f>
        <v>24.466666666666665</v>
      </c>
      <c r="AE497" t="str">
        <f t="shared" si="94"/>
        <v>Poor</v>
      </c>
      <c r="AF497">
        <f>COUNTIF(AE$2:AE498,AE497)</f>
        <v>356</v>
      </c>
      <c r="AG497" t="str">
        <f t="shared" si="95"/>
        <v>False</v>
      </c>
      <c r="AH497" s="7">
        <f>Table1[[#This Row],[UnitPrice]]*(1-Table1[[#This Row],[Disc Scenario]])*Table1[[#This Row],[Quantity]]</f>
        <v>4968.5039999999999</v>
      </c>
      <c r="AI497">
        <f>ROUNDDOWN((Table1[[#This Row],[Quantity]]*(1+20%)),0)</f>
        <v>12</v>
      </c>
      <c r="AJ497" s="7">
        <f>Table1[[#This Row],[Quantity increase by 20%]]*Table1[[#This Row],[UnitPrice]]</f>
        <v>6580.7999999999993</v>
      </c>
      <c r="AK497">
        <f>ROUNDDOWN(Table1[[#This Row],[Quantity]]*(1+20%),0)</f>
        <v>12</v>
      </c>
      <c r="AL497" s="7">
        <f>Table1[[#This Row],[UnitCost]]*(1+15%)</f>
        <v>381.30549999999994</v>
      </c>
      <c r="AM497" s="9">
        <f>Table1[[#This Row],[Quantity]]*Table1[[#This Row],[Cost of unit by inflation 15%]]</f>
        <v>3813.0549999999994</v>
      </c>
      <c r="AN497" s="21" cm="1">
        <f t="array" ref="AN497">_xlfn.UNIQUE(AC497)</f>
        <v>45016</v>
      </c>
    </row>
    <row r="498" spans="1:40" x14ac:dyDescent="0.35">
      <c r="A498" t="s">
        <v>421</v>
      </c>
      <c r="B498" s="21">
        <v>45724</v>
      </c>
      <c r="C498" s="10">
        <v>45731</v>
      </c>
      <c r="D498" s="3">
        <f t="shared" si="84"/>
        <v>7</v>
      </c>
      <c r="E498" s="10" t="str">
        <f t="shared" si="85"/>
        <v>Q1-2025</v>
      </c>
      <c r="F498" t="s">
        <v>646</v>
      </c>
      <c r="G498" t="s">
        <v>653</v>
      </c>
      <c r="H498" t="s">
        <v>667</v>
      </c>
      <c r="I498" t="s">
        <v>700</v>
      </c>
      <c r="J498" t="s">
        <v>709</v>
      </c>
      <c r="K498" t="s">
        <v>722</v>
      </c>
      <c r="L498" t="s">
        <v>730</v>
      </c>
      <c r="M498" t="s">
        <v>1138</v>
      </c>
      <c r="N498" s="3">
        <v>475.66</v>
      </c>
      <c r="O498" s="3">
        <v>529.14</v>
      </c>
      <c r="P498" s="6">
        <v>0.19600000000000001</v>
      </c>
      <c r="Q498" s="6">
        <f>IF(Table1[[#This Row],[DiscountPct]]&gt;25%,25%,Table1[[#This Row],[DiscountPct]])</f>
        <v>0.19600000000000001</v>
      </c>
      <c r="R498" s="5">
        <v>11</v>
      </c>
      <c r="S498" s="6">
        <f t="shared" si="86"/>
        <v>0.11243325064121422</v>
      </c>
      <c r="T498" s="8">
        <f t="shared" si="87"/>
        <v>4679.7141600000004</v>
      </c>
      <c r="U498" s="8">
        <f t="shared" si="88"/>
        <v>5232.26</v>
      </c>
      <c r="V498" s="9">
        <f t="shared" si="89"/>
        <v>-552.54583999999977</v>
      </c>
      <c r="W498" s="6">
        <f t="shared" si="90"/>
        <v>-0.11807256193613323</v>
      </c>
      <c r="X498" t="str" cm="1">
        <f t="array" ref="X498">_xlfn.IFS(S498&lt;=25%, "Low", S498&lt;=75%, "Medium", S498&gt;75%, "High")</f>
        <v>Low</v>
      </c>
      <c r="Y498" s="8">
        <f>Table1[[#This Row],[Quantity]]*(Table1[[#This Row],[UnitPrice]]*(1-Table1[[#This Row],[DiscountPct]]))</f>
        <v>4679.7141600000004</v>
      </c>
      <c r="Z498" s="9">
        <f t="shared" si="91"/>
        <v>-552.54583999999977</v>
      </c>
      <c r="AA498">
        <f>COUNTIF($G$2:G499,G498)</f>
        <v>48</v>
      </c>
      <c r="AB498" s="21">
        <f t="shared" si="92"/>
        <v>44988</v>
      </c>
      <c r="AC498" s="21">
        <f t="shared" si="93"/>
        <v>45016</v>
      </c>
      <c r="AD498" s="5">
        <f>(Table1[[#This Row],[OrderDate]]-Table1[[#This Row],[Date of first order]])/30</f>
        <v>24.533333333333335</v>
      </c>
      <c r="AE498" t="str">
        <f t="shared" si="94"/>
        <v>Good</v>
      </c>
      <c r="AF498">
        <f>COUNTIF(AE$2:AE499,AE498)</f>
        <v>141</v>
      </c>
      <c r="AG498" t="str">
        <f t="shared" si="95"/>
        <v>False</v>
      </c>
      <c r="AH498" s="7">
        <f>Table1[[#This Row],[UnitPrice]]*(1-Table1[[#This Row],[Disc Scenario]])*Table1[[#This Row],[Quantity]]</f>
        <v>4679.7141600000004</v>
      </c>
      <c r="AI498">
        <f>ROUNDDOWN((Table1[[#This Row],[Quantity]]*(1+20%)),0)</f>
        <v>13</v>
      </c>
      <c r="AJ498" s="7">
        <f>Table1[[#This Row],[Quantity increase by 20%]]*Table1[[#This Row],[UnitPrice]]</f>
        <v>6878.82</v>
      </c>
      <c r="AK498">
        <f>ROUNDDOWN(Table1[[#This Row],[Quantity]]*(1+20%),0)</f>
        <v>13</v>
      </c>
      <c r="AL498" s="7">
        <f>Table1[[#This Row],[UnitCost]]*(1+15%)</f>
        <v>547.00900000000001</v>
      </c>
      <c r="AM498" s="9">
        <f>Table1[[#This Row],[Quantity]]*Table1[[#This Row],[Cost of unit by inflation 15%]]</f>
        <v>6017.0990000000002</v>
      </c>
      <c r="AN498" s="21" cm="1">
        <f t="array" ref="AN498">_xlfn.UNIQUE(AC498)</f>
        <v>45016</v>
      </c>
    </row>
    <row r="499" spans="1:40" x14ac:dyDescent="0.35">
      <c r="A499" t="s">
        <v>517</v>
      </c>
      <c r="B499" s="21">
        <v>45726</v>
      </c>
      <c r="C499" s="10">
        <v>45743</v>
      </c>
      <c r="D499" s="3">
        <f t="shared" si="84"/>
        <v>17</v>
      </c>
      <c r="E499" s="10" t="str">
        <f t="shared" si="85"/>
        <v>Q1-2025</v>
      </c>
      <c r="F499" t="s">
        <v>647</v>
      </c>
      <c r="G499" t="s">
        <v>654</v>
      </c>
      <c r="H499" t="s">
        <v>691</v>
      </c>
      <c r="I499" t="s">
        <v>705</v>
      </c>
      <c r="J499" t="s">
        <v>710</v>
      </c>
      <c r="K499" t="s">
        <v>720</v>
      </c>
      <c r="L499" t="s">
        <v>728</v>
      </c>
      <c r="M499" t="s">
        <v>1234</v>
      </c>
      <c r="N499" s="3">
        <v>996.73</v>
      </c>
      <c r="O499" s="3">
        <v>1217.43</v>
      </c>
      <c r="P499" s="6">
        <v>7.0000000000000007E-2</v>
      </c>
      <c r="Q499" s="6">
        <f>IF(Table1[[#This Row],[DiscountPct]]&gt;25%,25%,Table1[[#This Row],[DiscountPct]])</f>
        <v>7.0000000000000007E-2</v>
      </c>
      <c r="R499" s="5">
        <v>9</v>
      </c>
      <c r="S499" s="6">
        <f t="shared" si="86"/>
        <v>0.22142405666529555</v>
      </c>
      <c r="T499" s="8">
        <f t="shared" si="87"/>
        <v>10189.8891</v>
      </c>
      <c r="U499" s="8">
        <f t="shared" si="88"/>
        <v>8970.57</v>
      </c>
      <c r="V499" s="9">
        <f t="shared" si="89"/>
        <v>1219.3191000000006</v>
      </c>
      <c r="W499" s="6">
        <f t="shared" si="90"/>
        <v>0.11965970267527255</v>
      </c>
      <c r="X499" t="str" cm="1">
        <f t="array" ref="X499">_xlfn.IFS(S499&lt;=25%, "Low", S499&lt;=75%, "Medium", S499&gt;75%, "High")</f>
        <v>Low</v>
      </c>
      <c r="Y499" s="8">
        <f>Table1[[#This Row],[Quantity]]*(Table1[[#This Row],[UnitPrice]]*(1-Table1[[#This Row],[DiscountPct]]))</f>
        <v>10189.8891</v>
      </c>
      <c r="Z499" s="9">
        <f t="shared" si="91"/>
        <v>1219.3191000000006</v>
      </c>
      <c r="AA499">
        <f>COUNTIF($G$2:G500,G499)</f>
        <v>48</v>
      </c>
      <c r="AB499" s="21">
        <f t="shared" si="92"/>
        <v>44988</v>
      </c>
      <c r="AC499" s="21">
        <f t="shared" si="93"/>
        <v>45016</v>
      </c>
      <c r="AD499" s="5">
        <f>(Table1[[#This Row],[OrderDate]]-Table1[[#This Row],[Date of first order]])/30</f>
        <v>24.6</v>
      </c>
      <c r="AE499" t="str">
        <f t="shared" si="94"/>
        <v>Poor</v>
      </c>
      <c r="AF499">
        <f>COUNTIF(AE$2:AE500,AE499)</f>
        <v>358</v>
      </c>
      <c r="AG499" t="str">
        <f t="shared" si="95"/>
        <v>False</v>
      </c>
      <c r="AH499" s="7">
        <f>Table1[[#This Row],[UnitPrice]]*(1-Table1[[#This Row],[Disc Scenario]])*Table1[[#This Row],[Quantity]]</f>
        <v>10189.8891</v>
      </c>
      <c r="AI499">
        <f>ROUNDDOWN((Table1[[#This Row],[Quantity]]*(1+20%)),0)</f>
        <v>10</v>
      </c>
      <c r="AJ499" s="7">
        <f>Table1[[#This Row],[Quantity increase by 20%]]*Table1[[#This Row],[UnitPrice]]</f>
        <v>12174.300000000001</v>
      </c>
      <c r="AK499">
        <f>ROUNDDOWN(Table1[[#This Row],[Quantity]]*(1+20%),0)</f>
        <v>10</v>
      </c>
      <c r="AL499" s="7">
        <f>Table1[[#This Row],[UnitCost]]*(1+15%)</f>
        <v>1146.2394999999999</v>
      </c>
      <c r="AM499" s="9">
        <f>Table1[[#This Row],[Quantity]]*Table1[[#This Row],[Cost of unit by inflation 15%]]</f>
        <v>10316.155499999999</v>
      </c>
      <c r="AN499" s="21" cm="1">
        <f t="array" ref="AN499">_xlfn.UNIQUE(AC499)</f>
        <v>45016</v>
      </c>
    </row>
    <row r="500" spans="1:40" x14ac:dyDescent="0.35">
      <c r="A500" t="s">
        <v>611</v>
      </c>
      <c r="B500" s="21">
        <v>45726</v>
      </c>
      <c r="C500" s="10">
        <v>45751</v>
      </c>
      <c r="D500" s="3">
        <f t="shared" si="84"/>
        <v>25</v>
      </c>
      <c r="E500" s="10" t="str">
        <f t="shared" si="85"/>
        <v>Q1-2025</v>
      </c>
      <c r="F500" t="s">
        <v>646</v>
      </c>
      <c r="G500" t="s">
        <v>651</v>
      </c>
      <c r="H500" t="s">
        <v>665</v>
      </c>
      <c r="I500" t="s">
        <v>700</v>
      </c>
      <c r="J500" t="s">
        <v>710</v>
      </c>
      <c r="K500" t="s">
        <v>721</v>
      </c>
      <c r="L500" t="s">
        <v>727</v>
      </c>
      <c r="M500" t="s">
        <v>1327</v>
      </c>
      <c r="N500" s="3">
        <v>783.72</v>
      </c>
      <c r="O500" s="3">
        <v>1355.94</v>
      </c>
      <c r="P500" s="6">
        <v>0.187</v>
      </c>
      <c r="Q500" s="6">
        <f>IF(Table1[[#This Row],[DiscountPct]]&gt;25%,25%,Table1[[#This Row],[DiscountPct]])</f>
        <v>0.187</v>
      </c>
      <c r="R500" s="5">
        <v>4</v>
      </c>
      <c r="S500" s="6">
        <f t="shared" si="86"/>
        <v>0.73013321084060634</v>
      </c>
      <c r="T500" s="8">
        <f t="shared" si="87"/>
        <v>4409.5168800000001</v>
      </c>
      <c r="U500" s="8">
        <f t="shared" si="88"/>
        <v>3134.88</v>
      </c>
      <c r="V500" s="9">
        <f t="shared" si="89"/>
        <v>1274.63688</v>
      </c>
      <c r="W500" s="6">
        <f t="shared" si="90"/>
        <v>0.28906497348525856</v>
      </c>
      <c r="X500" t="str" cm="1">
        <f t="array" ref="X500">_xlfn.IFS(S500&lt;=25%, "Low", S500&lt;=75%, "Medium", S500&gt;75%, "High")</f>
        <v>Medium</v>
      </c>
      <c r="Y500" s="8">
        <f>Table1[[#This Row],[Quantity]]*(Table1[[#This Row],[UnitPrice]]*(1-Table1[[#This Row],[DiscountPct]]))</f>
        <v>4409.5168800000001</v>
      </c>
      <c r="Z500" s="9">
        <f t="shared" si="91"/>
        <v>1274.63688</v>
      </c>
      <c r="AA500">
        <f>COUNTIF($G$2:G501,G500)</f>
        <v>44</v>
      </c>
      <c r="AB500" s="21">
        <f t="shared" si="92"/>
        <v>44988</v>
      </c>
      <c r="AC500" s="21">
        <f t="shared" si="93"/>
        <v>45016</v>
      </c>
      <c r="AD500" s="5">
        <f>(Table1[[#This Row],[OrderDate]]-Table1[[#This Row],[Date of first order]])/30</f>
        <v>24.6</v>
      </c>
      <c r="AE500" t="str">
        <f t="shared" si="94"/>
        <v>Poor</v>
      </c>
      <c r="AF500">
        <f>COUNTIF(AE$2:AE501,AE500)</f>
        <v>359</v>
      </c>
      <c r="AG500" t="str">
        <f t="shared" si="95"/>
        <v>False</v>
      </c>
      <c r="AH500" s="7">
        <f>Table1[[#This Row],[UnitPrice]]*(1-Table1[[#This Row],[Disc Scenario]])*Table1[[#This Row],[Quantity]]</f>
        <v>4409.5168800000001</v>
      </c>
      <c r="AI500">
        <f>ROUNDDOWN((Table1[[#This Row],[Quantity]]*(1+20%)),0)</f>
        <v>4</v>
      </c>
      <c r="AJ500" s="7">
        <f>Table1[[#This Row],[Quantity increase by 20%]]*Table1[[#This Row],[UnitPrice]]</f>
        <v>5423.76</v>
      </c>
      <c r="AK500">
        <f>ROUNDDOWN(Table1[[#This Row],[Quantity]]*(1+20%),0)</f>
        <v>4</v>
      </c>
      <c r="AL500" s="7">
        <f>Table1[[#This Row],[UnitCost]]*(1+15%)</f>
        <v>901.27799999999991</v>
      </c>
      <c r="AM500" s="9">
        <f>Table1[[#This Row],[Quantity]]*Table1[[#This Row],[Cost of unit by inflation 15%]]</f>
        <v>3605.1119999999996</v>
      </c>
      <c r="AN500" s="21" cm="1">
        <f t="array" ref="AN500">_xlfn.UNIQUE(AC500)</f>
        <v>45016</v>
      </c>
    </row>
    <row r="501" spans="1:40" x14ac:dyDescent="0.35">
      <c r="A501" t="s">
        <v>628</v>
      </c>
      <c r="B501" s="21">
        <v>45727</v>
      </c>
      <c r="C501" s="10">
        <v>45743</v>
      </c>
      <c r="D501" s="3">
        <f t="shared" si="84"/>
        <v>16</v>
      </c>
      <c r="E501" s="10" t="str">
        <f t="shared" si="85"/>
        <v>Q1-2025</v>
      </c>
      <c r="F501" t="s">
        <v>646</v>
      </c>
      <c r="G501" t="s">
        <v>651</v>
      </c>
      <c r="H501" t="s">
        <v>688</v>
      </c>
      <c r="I501" t="s">
        <v>705</v>
      </c>
      <c r="J501" t="s">
        <v>709</v>
      </c>
      <c r="K501" t="s">
        <v>716</v>
      </c>
      <c r="L501" t="s">
        <v>727</v>
      </c>
      <c r="M501" t="s">
        <v>1344</v>
      </c>
      <c r="N501" s="3">
        <v>1317.58</v>
      </c>
      <c r="O501" s="3">
        <v>1897.74</v>
      </c>
      <c r="P501" s="6">
        <v>8.1000000000000003E-2</v>
      </c>
      <c r="Q501" s="6">
        <f>IF(Table1[[#This Row],[DiscountPct]]&gt;25%,25%,Table1[[#This Row],[DiscountPct]])</f>
        <v>8.1000000000000003E-2</v>
      </c>
      <c r="R501" s="5">
        <v>6</v>
      </c>
      <c r="S501" s="6">
        <f t="shared" si="86"/>
        <v>0.44032240926547161</v>
      </c>
      <c r="T501" s="8">
        <f t="shared" si="87"/>
        <v>10464.138360000001</v>
      </c>
      <c r="U501" s="8">
        <f t="shared" si="88"/>
        <v>7905.48</v>
      </c>
      <c r="V501" s="9">
        <f t="shared" si="89"/>
        <v>2558.6583600000013</v>
      </c>
      <c r="W501" s="6">
        <f t="shared" si="90"/>
        <v>0.24451687009230266</v>
      </c>
      <c r="X501" t="str" cm="1">
        <f t="array" ref="X501">_xlfn.IFS(S501&lt;=25%, "Low", S501&lt;=75%, "Medium", S501&gt;75%, "High")</f>
        <v>Medium</v>
      </c>
      <c r="Y501" s="8">
        <f>Table1[[#This Row],[Quantity]]*(Table1[[#This Row],[UnitPrice]]*(1-Table1[[#This Row],[DiscountPct]]))</f>
        <v>10464.138360000001</v>
      </c>
      <c r="Z501" s="9">
        <f t="shared" si="91"/>
        <v>2558.6583600000013</v>
      </c>
      <c r="AA501">
        <f>COUNTIF($G$2:G502,G501)</f>
        <v>44</v>
      </c>
      <c r="AB501" s="21">
        <f t="shared" si="92"/>
        <v>44988</v>
      </c>
      <c r="AC501" s="21">
        <f t="shared" si="93"/>
        <v>45016</v>
      </c>
      <c r="AD501" s="5">
        <f>(Table1[[#This Row],[OrderDate]]-Table1[[#This Row],[Date of first order]])/30</f>
        <v>24.633333333333333</v>
      </c>
      <c r="AE501" t="str">
        <f t="shared" si="94"/>
        <v>Poor</v>
      </c>
      <c r="AF501">
        <f>COUNTIF(AE$2:AE502,AE501)</f>
        <v>360</v>
      </c>
      <c r="AG501" t="str">
        <f t="shared" si="95"/>
        <v>False</v>
      </c>
      <c r="AH501" s="7">
        <f>Table1[[#This Row],[UnitPrice]]*(1-Table1[[#This Row],[Disc Scenario]])*Table1[[#This Row],[Quantity]]</f>
        <v>10464.138360000001</v>
      </c>
      <c r="AI501">
        <f>ROUNDDOWN((Table1[[#This Row],[Quantity]]*(1+20%)),0)</f>
        <v>7</v>
      </c>
      <c r="AJ501" s="7">
        <f>Table1[[#This Row],[Quantity increase by 20%]]*Table1[[#This Row],[UnitPrice]]</f>
        <v>13284.18</v>
      </c>
      <c r="AK501">
        <f>ROUNDDOWN(Table1[[#This Row],[Quantity]]*(1+20%),0)</f>
        <v>7</v>
      </c>
      <c r="AL501" s="7">
        <f>Table1[[#This Row],[UnitCost]]*(1+15%)</f>
        <v>1515.2169999999999</v>
      </c>
      <c r="AM501" s="9">
        <f>Table1[[#This Row],[Quantity]]*Table1[[#This Row],[Cost of unit by inflation 15%]]</f>
        <v>9091.3019999999997</v>
      </c>
      <c r="AN501" s="21" cm="1">
        <f t="array" ref="AN501">_xlfn.UNIQUE(AC501)</f>
        <v>45016</v>
      </c>
    </row>
    <row r="502" spans="1:40" x14ac:dyDescent="0.35">
      <c r="A502" t="s">
        <v>544</v>
      </c>
      <c r="B502" s="21">
        <v>45727</v>
      </c>
      <c r="C502" s="10">
        <v>45742</v>
      </c>
      <c r="D502" s="3">
        <f t="shared" si="84"/>
        <v>15</v>
      </c>
      <c r="E502" s="10" t="str">
        <f t="shared" si="85"/>
        <v>Q1-2025</v>
      </c>
      <c r="F502" t="s">
        <v>648</v>
      </c>
      <c r="G502" t="s">
        <v>655</v>
      </c>
      <c r="H502" t="s">
        <v>670</v>
      </c>
      <c r="I502" t="s">
        <v>704</v>
      </c>
      <c r="J502" t="s">
        <v>707</v>
      </c>
      <c r="K502" t="s">
        <v>713</v>
      </c>
      <c r="L502" t="s">
        <v>729</v>
      </c>
      <c r="M502" t="s">
        <v>1261</v>
      </c>
      <c r="N502" s="3">
        <v>116.97</v>
      </c>
      <c r="O502" s="3">
        <v>140.82</v>
      </c>
      <c r="P502" s="6">
        <v>0.122</v>
      </c>
      <c r="Q502" s="6">
        <f>IF(Table1[[#This Row],[DiscountPct]]&gt;25%,25%,Table1[[#This Row],[DiscountPct]])</f>
        <v>0.122</v>
      </c>
      <c r="R502" s="5">
        <v>5</v>
      </c>
      <c r="S502" s="6">
        <f t="shared" si="86"/>
        <v>0.20389843549628106</v>
      </c>
      <c r="T502" s="8">
        <f t="shared" si="87"/>
        <v>618.19979999999987</v>
      </c>
      <c r="U502" s="8">
        <f t="shared" si="88"/>
        <v>584.85</v>
      </c>
      <c r="V502" s="9">
        <f t="shared" si="89"/>
        <v>33.349799999999846</v>
      </c>
      <c r="W502" s="6">
        <f t="shared" si="90"/>
        <v>5.3946636669891926E-2</v>
      </c>
      <c r="X502" t="str" cm="1">
        <f t="array" ref="X502">_xlfn.IFS(S502&lt;=25%, "Low", S502&lt;=75%, "Medium", S502&gt;75%, "High")</f>
        <v>Low</v>
      </c>
      <c r="Y502" s="8">
        <f>Table1[[#This Row],[Quantity]]*(Table1[[#This Row],[UnitPrice]]*(1-Table1[[#This Row],[DiscountPct]]))</f>
        <v>618.19979999999998</v>
      </c>
      <c r="Z502" s="9">
        <f t="shared" si="91"/>
        <v>33.349799999999959</v>
      </c>
      <c r="AA502">
        <f>COUNTIF($G$2:G503,G502)</f>
        <v>41</v>
      </c>
      <c r="AB502" s="21">
        <f t="shared" si="92"/>
        <v>44988</v>
      </c>
      <c r="AC502" s="21">
        <f t="shared" si="93"/>
        <v>45016</v>
      </c>
      <c r="AD502" s="5">
        <f>(Table1[[#This Row],[OrderDate]]-Table1[[#This Row],[Date of first order]])/30</f>
        <v>24.633333333333333</v>
      </c>
      <c r="AE502" t="str">
        <f t="shared" si="94"/>
        <v>Poor</v>
      </c>
      <c r="AF502">
        <f>COUNTIF(AE$2:AE503,AE502)</f>
        <v>361</v>
      </c>
      <c r="AG502" t="str">
        <f t="shared" si="95"/>
        <v>False</v>
      </c>
      <c r="AH502" s="7">
        <f>Table1[[#This Row],[UnitPrice]]*(1-Table1[[#This Row],[Disc Scenario]])*Table1[[#This Row],[Quantity]]</f>
        <v>618.19979999999998</v>
      </c>
      <c r="AI502">
        <f>ROUNDDOWN((Table1[[#This Row],[Quantity]]*(1+20%)),0)</f>
        <v>6</v>
      </c>
      <c r="AJ502" s="7">
        <f>Table1[[#This Row],[Quantity increase by 20%]]*Table1[[#This Row],[UnitPrice]]</f>
        <v>844.92</v>
      </c>
      <c r="AK502">
        <f>ROUNDDOWN(Table1[[#This Row],[Quantity]]*(1+20%),0)</f>
        <v>6</v>
      </c>
      <c r="AL502" s="7">
        <f>Table1[[#This Row],[UnitCost]]*(1+15%)</f>
        <v>134.51549999999997</v>
      </c>
      <c r="AM502" s="9">
        <f>Table1[[#This Row],[Quantity]]*Table1[[#This Row],[Cost of unit by inflation 15%]]</f>
        <v>672.57749999999987</v>
      </c>
      <c r="AN502" s="21" cm="1">
        <f t="array" ref="AN502">_xlfn.UNIQUE(AC502)</f>
        <v>45016</v>
      </c>
    </row>
    <row r="503" spans="1:40" x14ac:dyDescent="0.35">
      <c r="A503" t="s">
        <v>294</v>
      </c>
      <c r="B503" s="21">
        <v>45730</v>
      </c>
      <c r="C503" s="10">
        <v>45745</v>
      </c>
      <c r="D503" s="3">
        <f t="shared" si="84"/>
        <v>15</v>
      </c>
      <c r="E503" s="10" t="str">
        <f t="shared" si="85"/>
        <v>Q1-2025</v>
      </c>
      <c r="F503" t="s">
        <v>646</v>
      </c>
      <c r="G503" t="s">
        <v>651</v>
      </c>
      <c r="H503" t="s">
        <v>688</v>
      </c>
      <c r="I503" t="s">
        <v>702</v>
      </c>
      <c r="J503" t="s">
        <v>710</v>
      </c>
      <c r="K503" t="s">
        <v>721</v>
      </c>
      <c r="L503" t="s">
        <v>728</v>
      </c>
      <c r="M503" t="s">
        <v>1012</v>
      </c>
      <c r="N503" s="3">
        <v>1106.96</v>
      </c>
      <c r="O503" s="3">
        <v>2726.62</v>
      </c>
      <c r="P503" s="6">
        <v>0.09</v>
      </c>
      <c r="Q503" s="6">
        <f>IF(Table1[[#This Row],[DiscountPct]]&gt;25%,25%,Table1[[#This Row],[DiscountPct]])</f>
        <v>0.09</v>
      </c>
      <c r="R503" s="5">
        <v>7</v>
      </c>
      <c r="S503" s="6">
        <f t="shared" si="86"/>
        <v>1.4631603671316036</v>
      </c>
      <c r="T503" s="8">
        <f t="shared" si="87"/>
        <v>17368.5694</v>
      </c>
      <c r="U503" s="8">
        <f t="shared" si="88"/>
        <v>7748.72</v>
      </c>
      <c r="V503" s="9">
        <f t="shared" si="89"/>
        <v>9619.8493999999992</v>
      </c>
      <c r="W503" s="6">
        <f t="shared" si="90"/>
        <v>0.55386538628794602</v>
      </c>
      <c r="X503" t="str" cm="1">
        <f t="array" ref="X503">_xlfn.IFS(S503&lt;=25%, "Low", S503&lt;=75%, "Medium", S503&gt;75%, "High")</f>
        <v>High</v>
      </c>
      <c r="Y503" s="8">
        <f>Table1[[#This Row],[Quantity]]*(Table1[[#This Row],[UnitPrice]]*(1-Table1[[#This Row],[DiscountPct]]))</f>
        <v>17368.5694</v>
      </c>
      <c r="Z503" s="9">
        <f t="shared" si="91"/>
        <v>9619.8493999999992</v>
      </c>
      <c r="AA503">
        <f>COUNTIF($G$2:G504,G503)</f>
        <v>45</v>
      </c>
      <c r="AB503" s="21">
        <f t="shared" si="92"/>
        <v>44988</v>
      </c>
      <c r="AC503" s="21">
        <f t="shared" si="93"/>
        <v>45016</v>
      </c>
      <c r="AD503" s="5">
        <f>(Table1[[#This Row],[OrderDate]]-Table1[[#This Row],[Date of first order]])/30</f>
        <v>24.733333333333334</v>
      </c>
      <c r="AE503" t="str">
        <f t="shared" si="94"/>
        <v>Poor</v>
      </c>
      <c r="AF503">
        <f>COUNTIF(AE$2:AE504,AE503)</f>
        <v>362</v>
      </c>
      <c r="AG503" t="str">
        <f t="shared" si="95"/>
        <v>False</v>
      </c>
      <c r="AH503" s="7">
        <f>Table1[[#This Row],[UnitPrice]]*(1-Table1[[#This Row],[Disc Scenario]])*Table1[[#This Row],[Quantity]]</f>
        <v>17368.5694</v>
      </c>
      <c r="AI503">
        <f>ROUNDDOWN((Table1[[#This Row],[Quantity]]*(1+20%)),0)</f>
        <v>8</v>
      </c>
      <c r="AJ503" s="7">
        <f>Table1[[#This Row],[Quantity increase by 20%]]*Table1[[#This Row],[UnitPrice]]</f>
        <v>21812.959999999999</v>
      </c>
      <c r="AK503">
        <f>ROUNDDOWN(Table1[[#This Row],[Quantity]]*(1+20%),0)</f>
        <v>8</v>
      </c>
      <c r="AL503" s="7">
        <f>Table1[[#This Row],[UnitCost]]*(1+15%)</f>
        <v>1273.0039999999999</v>
      </c>
      <c r="AM503" s="9">
        <f>Table1[[#This Row],[Quantity]]*Table1[[#This Row],[Cost of unit by inflation 15%]]</f>
        <v>8911.0279999999984</v>
      </c>
      <c r="AN503" s="21" cm="1">
        <f t="array" ref="AN503">_xlfn.UNIQUE(AC503)</f>
        <v>45016</v>
      </c>
    </row>
    <row r="504" spans="1:40" x14ac:dyDescent="0.35">
      <c r="A504" t="s">
        <v>431</v>
      </c>
      <c r="B504" s="21">
        <v>45730</v>
      </c>
      <c r="C504" s="10">
        <v>45755</v>
      </c>
      <c r="D504" s="3">
        <f t="shared" si="84"/>
        <v>25</v>
      </c>
      <c r="E504" s="10" t="str">
        <f t="shared" si="85"/>
        <v>Q1-2025</v>
      </c>
      <c r="F504" t="s">
        <v>646</v>
      </c>
      <c r="G504" t="s">
        <v>658</v>
      </c>
      <c r="H504" t="s">
        <v>684</v>
      </c>
      <c r="I504" t="s">
        <v>700</v>
      </c>
      <c r="J504" t="s">
        <v>709</v>
      </c>
      <c r="K504" t="s">
        <v>725</v>
      </c>
      <c r="L504" t="s">
        <v>727</v>
      </c>
      <c r="M504" t="s">
        <v>1148</v>
      </c>
      <c r="N504" s="3">
        <v>80.59</v>
      </c>
      <c r="O504" s="3">
        <v>157.82</v>
      </c>
      <c r="P504" s="6">
        <v>0.217</v>
      </c>
      <c r="Q504" s="6">
        <f>IF(Table1[[#This Row],[DiscountPct]]&gt;25%,25%,Table1[[#This Row],[DiscountPct]])</f>
        <v>0.217</v>
      </c>
      <c r="R504" s="5">
        <v>6</v>
      </c>
      <c r="S504" s="6">
        <f t="shared" si="86"/>
        <v>0.9583074823179053</v>
      </c>
      <c r="T504" s="8">
        <f t="shared" si="87"/>
        <v>741.43835999999999</v>
      </c>
      <c r="U504" s="8">
        <f t="shared" si="88"/>
        <v>483.54</v>
      </c>
      <c r="V504" s="9">
        <f t="shared" si="89"/>
        <v>257.89835999999997</v>
      </c>
      <c r="W504" s="6">
        <f t="shared" si="90"/>
        <v>0.34783519967863541</v>
      </c>
      <c r="X504" t="str" cm="1">
        <f t="array" ref="X504">_xlfn.IFS(S504&lt;=25%, "Low", S504&lt;=75%, "Medium", S504&gt;75%, "High")</f>
        <v>High</v>
      </c>
      <c r="Y504" s="8">
        <f>Table1[[#This Row],[Quantity]]*(Table1[[#This Row],[UnitPrice]]*(1-Table1[[#This Row],[DiscountPct]]))</f>
        <v>741.43835999999999</v>
      </c>
      <c r="Z504" s="9">
        <f t="shared" si="91"/>
        <v>257.89835999999997</v>
      </c>
      <c r="AA504">
        <f>COUNTIF($G$2:G505,G504)</f>
        <v>43</v>
      </c>
      <c r="AB504" s="21">
        <f t="shared" si="92"/>
        <v>44988</v>
      </c>
      <c r="AC504" s="21">
        <f t="shared" si="93"/>
        <v>45016</v>
      </c>
      <c r="AD504" s="5">
        <f>(Table1[[#This Row],[OrderDate]]-Table1[[#This Row],[Date of first order]])/30</f>
        <v>24.733333333333334</v>
      </c>
      <c r="AE504" t="str">
        <f t="shared" si="94"/>
        <v>Poor</v>
      </c>
      <c r="AF504">
        <f>COUNTIF(AE$2:AE505,AE504)</f>
        <v>363</v>
      </c>
      <c r="AG504" t="str">
        <f t="shared" si="95"/>
        <v>True</v>
      </c>
      <c r="AH504" s="7">
        <f>Table1[[#This Row],[UnitPrice]]*(1-Table1[[#This Row],[Disc Scenario]])*Table1[[#This Row],[Quantity]]</f>
        <v>741.43835999999999</v>
      </c>
      <c r="AI504">
        <f>ROUNDDOWN((Table1[[#This Row],[Quantity]]*(1+20%)),0)</f>
        <v>7</v>
      </c>
      <c r="AJ504" s="7">
        <f>Table1[[#This Row],[Quantity increase by 20%]]*Table1[[#This Row],[UnitPrice]]</f>
        <v>1104.74</v>
      </c>
      <c r="AK504">
        <f>ROUNDDOWN(Table1[[#This Row],[Quantity]]*(1+20%),0)</f>
        <v>7</v>
      </c>
      <c r="AL504" s="7">
        <f>Table1[[#This Row],[UnitCost]]*(1+15%)</f>
        <v>92.6785</v>
      </c>
      <c r="AM504" s="9">
        <f>Table1[[#This Row],[Quantity]]*Table1[[#This Row],[Cost of unit by inflation 15%]]</f>
        <v>556.07100000000003</v>
      </c>
      <c r="AN504" s="21" cm="1">
        <f t="array" ref="AN504">_xlfn.UNIQUE(AC504)</f>
        <v>45016</v>
      </c>
    </row>
    <row r="505" spans="1:40" x14ac:dyDescent="0.35">
      <c r="A505" t="s">
        <v>380</v>
      </c>
      <c r="B505" s="21">
        <v>45731</v>
      </c>
      <c r="C505" s="10">
        <v>45745</v>
      </c>
      <c r="D505" s="3">
        <f t="shared" si="84"/>
        <v>14</v>
      </c>
      <c r="E505" s="10" t="str">
        <f t="shared" si="85"/>
        <v>Q1-2025</v>
      </c>
      <c r="F505" t="s">
        <v>646</v>
      </c>
      <c r="G505" t="s">
        <v>653</v>
      </c>
      <c r="H505" t="s">
        <v>690</v>
      </c>
      <c r="I505" t="s">
        <v>705</v>
      </c>
      <c r="J505" t="s">
        <v>710</v>
      </c>
      <c r="K505" t="s">
        <v>711</v>
      </c>
      <c r="L505" t="s">
        <v>726</v>
      </c>
      <c r="M505" t="s">
        <v>1098</v>
      </c>
      <c r="N505" s="3">
        <v>935.83</v>
      </c>
      <c r="O505" s="3">
        <v>2303.46</v>
      </c>
      <c r="P505" s="6">
        <v>0.105</v>
      </c>
      <c r="Q505" s="6">
        <f>IF(Table1[[#This Row],[DiscountPct]]&gt;25%,25%,Table1[[#This Row],[DiscountPct]])</f>
        <v>0.105</v>
      </c>
      <c r="R505" s="5">
        <v>9</v>
      </c>
      <c r="S505" s="6">
        <f t="shared" si="86"/>
        <v>1.4614085891668358</v>
      </c>
      <c r="T505" s="8">
        <f t="shared" si="87"/>
        <v>18554.370299999999</v>
      </c>
      <c r="U505" s="8">
        <f t="shared" si="88"/>
        <v>8422.4700000000012</v>
      </c>
      <c r="V505" s="9">
        <f t="shared" si="89"/>
        <v>10131.900299999998</v>
      </c>
      <c r="W505" s="6">
        <f t="shared" si="90"/>
        <v>0.54606543559174292</v>
      </c>
      <c r="X505" t="str" cm="1">
        <f t="array" ref="X505">_xlfn.IFS(S505&lt;=25%, "Low", S505&lt;=75%, "Medium", S505&gt;75%, "High")</f>
        <v>High</v>
      </c>
      <c r="Y505" s="8">
        <f>Table1[[#This Row],[Quantity]]*(Table1[[#This Row],[UnitPrice]]*(1-Table1[[#This Row],[DiscountPct]]))</f>
        <v>18554.370300000002</v>
      </c>
      <c r="Z505" s="9">
        <f t="shared" si="91"/>
        <v>10131.900300000001</v>
      </c>
      <c r="AA505">
        <f>COUNTIF($G$2:G506,G505)</f>
        <v>49</v>
      </c>
      <c r="AB505" s="21">
        <f t="shared" si="92"/>
        <v>44988</v>
      </c>
      <c r="AC505" s="21">
        <f t="shared" si="93"/>
        <v>45016</v>
      </c>
      <c r="AD505" s="5">
        <f>(Table1[[#This Row],[OrderDate]]-Table1[[#This Row],[Date of first order]])/30</f>
        <v>24.766666666666666</v>
      </c>
      <c r="AE505" t="str">
        <f t="shared" si="94"/>
        <v>Poor</v>
      </c>
      <c r="AF505">
        <f>COUNTIF(AE$2:AE506,AE505)</f>
        <v>364</v>
      </c>
      <c r="AG505" t="str">
        <f t="shared" si="95"/>
        <v>False</v>
      </c>
      <c r="AH505" s="7">
        <f>Table1[[#This Row],[UnitPrice]]*(1-Table1[[#This Row],[Disc Scenario]])*Table1[[#This Row],[Quantity]]</f>
        <v>18554.370300000002</v>
      </c>
      <c r="AI505">
        <f>ROUNDDOWN((Table1[[#This Row],[Quantity]]*(1+20%)),0)</f>
        <v>10</v>
      </c>
      <c r="AJ505" s="7">
        <f>Table1[[#This Row],[Quantity increase by 20%]]*Table1[[#This Row],[UnitPrice]]</f>
        <v>23034.6</v>
      </c>
      <c r="AK505">
        <f>ROUNDDOWN(Table1[[#This Row],[Quantity]]*(1+20%),0)</f>
        <v>10</v>
      </c>
      <c r="AL505" s="7">
        <f>Table1[[#This Row],[UnitCost]]*(1+15%)</f>
        <v>1076.2045000000001</v>
      </c>
      <c r="AM505" s="9">
        <f>Table1[[#This Row],[Quantity]]*Table1[[#This Row],[Cost of unit by inflation 15%]]</f>
        <v>9685.8405000000002</v>
      </c>
      <c r="AN505" s="21" cm="1">
        <f t="array" ref="AN505">_xlfn.UNIQUE(AC505)</f>
        <v>45016</v>
      </c>
    </row>
    <row r="506" spans="1:40" x14ac:dyDescent="0.35">
      <c r="A506" t="s">
        <v>378</v>
      </c>
      <c r="B506" s="21">
        <v>45737</v>
      </c>
      <c r="C506" s="10">
        <v>45756</v>
      </c>
      <c r="D506" s="3">
        <f t="shared" si="84"/>
        <v>19</v>
      </c>
      <c r="E506" s="10" t="str">
        <f t="shared" si="85"/>
        <v>Q1-2025</v>
      </c>
      <c r="F506" t="s">
        <v>646</v>
      </c>
      <c r="G506" t="s">
        <v>651</v>
      </c>
      <c r="H506" t="s">
        <v>688</v>
      </c>
      <c r="I506" t="s">
        <v>704</v>
      </c>
      <c r="J506" t="s">
        <v>709</v>
      </c>
      <c r="K506" t="s">
        <v>717</v>
      </c>
      <c r="L506" t="s">
        <v>726</v>
      </c>
      <c r="M506" t="s">
        <v>1096</v>
      </c>
      <c r="N506" s="3">
        <v>1055.45</v>
      </c>
      <c r="O506" s="3">
        <v>1210.04</v>
      </c>
      <c r="P506" s="6">
        <v>8.9999999999999993E-3</v>
      </c>
      <c r="Q506" s="6">
        <f>IF(Table1[[#This Row],[DiscountPct]]&gt;25%,25%,Table1[[#This Row],[DiscountPct]])</f>
        <v>8.9999999999999993E-3</v>
      </c>
      <c r="R506" s="5">
        <v>18</v>
      </c>
      <c r="S506" s="6">
        <f t="shared" si="86"/>
        <v>0.14646833104363061</v>
      </c>
      <c r="T506" s="8">
        <f t="shared" si="87"/>
        <v>21584.693520000001</v>
      </c>
      <c r="U506" s="8">
        <f t="shared" si="88"/>
        <v>18998.100000000002</v>
      </c>
      <c r="V506" s="9">
        <f t="shared" si="89"/>
        <v>2586.5935199999985</v>
      </c>
      <c r="W506" s="6">
        <f t="shared" si="90"/>
        <v>0.1198346188053727</v>
      </c>
      <c r="X506" t="str" cm="1">
        <f t="array" ref="X506">_xlfn.IFS(S506&lt;=25%, "Low", S506&lt;=75%, "Medium", S506&gt;75%, "High")</f>
        <v>Low</v>
      </c>
      <c r="Y506" s="8">
        <f>Table1[[#This Row],[Quantity]]*(Table1[[#This Row],[UnitPrice]]*(1-Table1[[#This Row],[DiscountPct]]))</f>
        <v>21584.693519999997</v>
      </c>
      <c r="Z506" s="9">
        <f t="shared" si="91"/>
        <v>2586.5935199999949</v>
      </c>
      <c r="AA506">
        <f>COUNTIF($G$2:G507,G506)</f>
        <v>46</v>
      </c>
      <c r="AB506" s="21">
        <f t="shared" si="92"/>
        <v>44988</v>
      </c>
      <c r="AC506" s="21">
        <f t="shared" si="93"/>
        <v>45016</v>
      </c>
      <c r="AD506" s="5">
        <f>(Table1[[#This Row],[OrderDate]]-Table1[[#This Row],[Date of first order]])/30</f>
        <v>24.966666666666665</v>
      </c>
      <c r="AE506" t="str">
        <f t="shared" si="94"/>
        <v>Poor</v>
      </c>
      <c r="AF506">
        <f>COUNTIF(AE$2:AE507,AE506)</f>
        <v>365</v>
      </c>
      <c r="AG506" t="str">
        <f t="shared" si="95"/>
        <v>False</v>
      </c>
      <c r="AH506" s="7">
        <f>Table1[[#This Row],[UnitPrice]]*(1-Table1[[#This Row],[Disc Scenario]])*Table1[[#This Row],[Quantity]]</f>
        <v>21584.693519999997</v>
      </c>
      <c r="AI506">
        <f>ROUNDDOWN((Table1[[#This Row],[Quantity]]*(1+20%)),0)</f>
        <v>21</v>
      </c>
      <c r="AJ506" s="7">
        <f>Table1[[#This Row],[Quantity increase by 20%]]*Table1[[#This Row],[UnitPrice]]</f>
        <v>25410.84</v>
      </c>
      <c r="AK506">
        <f>ROUNDDOWN(Table1[[#This Row],[Quantity]]*(1+20%),0)</f>
        <v>21</v>
      </c>
      <c r="AL506" s="7">
        <f>Table1[[#This Row],[UnitCost]]*(1+15%)</f>
        <v>1213.7674999999999</v>
      </c>
      <c r="AM506" s="9">
        <f>Table1[[#This Row],[Quantity]]*Table1[[#This Row],[Cost of unit by inflation 15%]]</f>
        <v>21847.814999999999</v>
      </c>
      <c r="AN506" s="21" cm="1">
        <f t="array" ref="AN506">_xlfn.UNIQUE(AC506)</f>
        <v>45016</v>
      </c>
    </row>
    <row r="507" spans="1:40" x14ac:dyDescent="0.35">
      <c r="A507" t="s">
        <v>482</v>
      </c>
      <c r="B507" s="21">
        <v>45739</v>
      </c>
      <c r="C507" s="10">
        <v>45749</v>
      </c>
      <c r="D507" s="3">
        <f t="shared" si="84"/>
        <v>10</v>
      </c>
      <c r="E507" s="10" t="str">
        <f t="shared" si="85"/>
        <v>Q1-2025</v>
      </c>
      <c r="F507" t="s">
        <v>648</v>
      </c>
      <c r="G507" t="s">
        <v>655</v>
      </c>
      <c r="H507" t="s">
        <v>670</v>
      </c>
      <c r="I507" t="s">
        <v>705</v>
      </c>
      <c r="J507" t="s">
        <v>707</v>
      </c>
      <c r="K507" t="s">
        <v>717</v>
      </c>
      <c r="L507" t="s">
        <v>727</v>
      </c>
      <c r="M507" t="s">
        <v>1199</v>
      </c>
      <c r="N507" s="3">
        <v>663.61</v>
      </c>
      <c r="O507" s="3">
        <v>1002.11</v>
      </c>
      <c r="P507" s="6">
        <v>4.5999999999999999E-2</v>
      </c>
      <c r="Q507" s="6">
        <f>IF(Table1[[#This Row],[DiscountPct]]&gt;25%,25%,Table1[[#This Row],[DiscountPct]])</f>
        <v>4.5999999999999999E-2</v>
      </c>
      <c r="R507" s="5">
        <v>17</v>
      </c>
      <c r="S507" s="6">
        <f t="shared" si="86"/>
        <v>0.51008875695061862</v>
      </c>
      <c r="T507" s="8">
        <f t="shared" si="87"/>
        <v>16252.219979999998</v>
      </c>
      <c r="U507" s="8">
        <f t="shared" si="88"/>
        <v>11281.37</v>
      </c>
      <c r="V507" s="9">
        <f t="shared" si="89"/>
        <v>4970.8499799999972</v>
      </c>
      <c r="W507" s="6">
        <f t="shared" si="90"/>
        <v>0.30585667595670812</v>
      </c>
      <c r="X507" t="str" cm="1">
        <f t="array" ref="X507">_xlfn.IFS(S507&lt;=25%, "Low", S507&lt;=75%, "Medium", S507&gt;75%, "High")</f>
        <v>Medium</v>
      </c>
      <c r="Y507" s="8">
        <f>Table1[[#This Row],[Quantity]]*(Table1[[#This Row],[UnitPrice]]*(1-Table1[[#This Row],[DiscountPct]]))</f>
        <v>16252.21998</v>
      </c>
      <c r="Z507" s="9">
        <f t="shared" si="91"/>
        <v>4970.8499799999991</v>
      </c>
      <c r="AA507">
        <f>COUNTIF($G$2:G508,G507)</f>
        <v>42</v>
      </c>
      <c r="AB507" s="21">
        <f t="shared" si="92"/>
        <v>44988</v>
      </c>
      <c r="AC507" s="21">
        <f t="shared" si="93"/>
        <v>45016</v>
      </c>
      <c r="AD507" s="5">
        <f>(Table1[[#This Row],[OrderDate]]-Table1[[#This Row],[Date of first order]])/30</f>
        <v>25.033333333333335</v>
      </c>
      <c r="AE507" t="str">
        <f t="shared" si="94"/>
        <v>Poor</v>
      </c>
      <c r="AF507">
        <f>COUNTIF(AE$2:AE508,AE507)</f>
        <v>365</v>
      </c>
      <c r="AG507" t="str">
        <f t="shared" si="95"/>
        <v>False</v>
      </c>
      <c r="AH507" s="7">
        <f>Table1[[#This Row],[UnitPrice]]*(1-Table1[[#This Row],[Disc Scenario]])*Table1[[#This Row],[Quantity]]</f>
        <v>16252.21998</v>
      </c>
      <c r="AI507">
        <f>ROUNDDOWN((Table1[[#This Row],[Quantity]]*(1+20%)),0)</f>
        <v>20</v>
      </c>
      <c r="AJ507" s="7">
        <f>Table1[[#This Row],[Quantity increase by 20%]]*Table1[[#This Row],[UnitPrice]]</f>
        <v>20042.2</v>
      </c>
      <c r="AK507">
        <f>ROUNDDOWN(Table1[[#This Row],[Quantity]]*(1+20%),0)</f>
        <v>20</v>
      </c>
      <c r="AL507" s="7">
        <f>Table1[[#This Row],[UnitCost]]*(1+15%)</f>
        <v>763.15149999999994</v>
      </c>
      <c r="AM507" s="9">
        <f>Table1[[#This Row],[Quantity]]*Table1[[#This Row],[Cost of unit by inflation 15%]]</f>
        <v>12973.575499999999</v>
      </c>
      <c r="AN507" s="21" cm="1">
        <f t="array" ref="AN507">_xlfn.UNIQUE(AC507)</f>
        <v>45016</v>
      </c>
    </row>
    <row r="508" spans="1:40" x14ac:dyDescent="0.35">
      <c r="A508" t="s">
        <v>516</v>
      </c>
      <c r="B508" s="21">
        <v>45740</v>
      </c>
      <c r="C508" s="10">
        <v>45741</v>
      </c>
      <c r="D508" s="3">
        <f t="shared" si="84"/>
        <v>1</v>
      </c>
      <c r="E508" s="10" t="str">
        <f t="shared" si="85"/>
        <v>Q1-2025</v>
      </c>
      <c r="F508" t="s">
        <v>646</v>
      </c>
      <c r="G508" t="s">
        <v>658</v>
      </c>
      <c r="H508" t="s">
        <v>698</v>
      </c>
      <c r="I508" t="s">
        <v>702</v>
      </c>
      <c r="J508" t="s">
        <v>707</v>
      </c>
      <c r="K508" t="s">
        <v>714</v>
      </c>
      <c r="L508" t="s">
        <v>728</v>
      </c>
      <c r="M508" t="s">
        <v>1233</v>
      </c>
      <c r="N508" s="3">
        <v>1133.03</v>
      </c>
      <c r="O508" s="3">
        <v>1921.51</v>
      </c>
      <c r="P508" s="6">
        <v>0.10100000000000001</v>
      </c>
      <c r="Q508" s="6">
        <f>IF(Table1[[#This Row],[DiscountPct]]&gt;25%,25%,Table1[[#This Row],[DiscountPct]])</f>
        <v>0.10100000000000001</v>
      </c>
      <c r="R508" s="5">
        <v>5</v>
      </c>
      <c r="S508" s="6">
        <f t="shared" si="86"/>
        <v>0.6959039036918705</v>
      </c>
      <c r="T508" s="8">
        <f t="shared" si="87"/>
        <v>8637.1874499999994</v>
      </c>
      <c r="U508" s="8">
        <f t="shared" si="88"/>
        <v>5665.15</v>
      </c>
      <c r="V508" s="9">
        <f t="shared" si="89"/>
        <v>2972.0374499999998</v>
      </c>
      <c r="W508" s="6">
        <f t="shared" si="90"/>
        <v>0.3440978289755654</v>
      </c>
      <c r="X508" t="str" cm="1">
        <f t="array" ref="X508">_xlfn.IFS(S508&lt;=25%, "Low", S508&lt;=75%, "Medium", S508&gt;75%, "High")</f>
        <v>Medium</v>
      </c>
      <c r="Y508" s="8">
        <f>Table1[[#This Row],[Quantity]]*(Table1[[#This Row],[UnitPrice]]*(1-Table1[[#This Row],[DiscountPct]]))</f>
        <v>8637.1874499999994</v>
      </c>
      <c r="Z508" s="9">
        <f t="shared" si="91"/>
        <v>2972.0374499999998</v>
      </c>
      <c r="AA508">
        <f>COUNTIF($G$2:G509,G508)</f>
        <v>44</v>
      </c>
      <c r="AB508" s="21">
        <f t="shared" si="92"/>
        <v>44988</v>
      </c>
      <c r="AC508" s="21">
        <f t="shared" si="93"/>
        <v>45016</v>
      </c>
      <c r="AD508" s="5">
        <f>(Table1[[#This Row],[OrderDate]]-Table1[[#This Row],[Date of first order]])/30</f>
        <v>25.066666666666666</v>
      </c>
      <c r="AE508" t="str">
        <f t="shared" si="94"/>
        <v>Good</v>
      </c>
      <c r="AF508">
        <f>COUNTIF(AE$2:AE509,AE508)</f>
        <v>142</v>
      </c>
      <c r="AG508" t="str">
        <f t="shared" si="95"/>
        <v>False</v>
      </c>
      <c r="AH508" s="7">
        <f>Table1[[#This Row],[UnitPrice]]*(1-Table1[[#This Row],[Disc Scenario]])*Table1[[#This Row],[Quantity]]</f>
        <v>8637.1874499999994</v>
      </c>
      <c r="AI508">
        <f>ROUNDDOWN((Table1[[#This Row],[Quantity]]*(1+20%)),0)</f>
        <v>6</v>
      </c>
      <c r="AJ508" s="7">
        <f>Table1[[#This Row],[Quantity increase by 20%]]*Table1[[#This Row],[UnitPrice]]</f>
        <v>11529.06</v>
      </c>
      <c r="AK508">
        <f>ROUNDDOWN(Table1[[#This Row],[Quantity]]*(1+20%),0)</f>
        <v>6</v>
      </c>
      <c r="AL508" s="7">
        <f>Table1[[#This Row],[UnitCost]]*(1+15%)</f>
        <v>1302.9844999999998</v>
      </c>
      <c r="AM508" s="9">
        <f>Table1[[#This Row],[Quantity]]*Table1[[#This Row],[Cost of unit by inflation 15%]]</f>
        <v>6514.9224999999988</v>
      </c>
      <c r="AN508" s="21" cm="1">
        <f t="array" ref="AN508">_xlfn.UNIQUE(AC508)</f>
        <v>45016</v>
      </c>
    </row>
    <row r="509" spans="1:40" x14ac:dyDescent="0.35">
      <c r="A509" t="s">
        <v>585</v>
      </c>
      <c r="B509" s="21">
        <v>45740</v>
      </c>
      <c r="C509" s="10">
        <v>45751</v>
      </c>
      <c r="D509" s="3">
        <f t="shared" si="84"/>
        <v>11</v>
      </c>
      <c r="E509" s="10" t="str">
        <f t="shared" si="85"/>
        <v>Q1-2025</v>
      </c>
      <c r="F509" t="s">
        <v>646</v>
      </c>
      <c r="G509" t="s">
        <v>653</v>
      </c>
      <c r="H509" t="s">
        <v>690</v>
      </c>
      <c r="I509" t="s">
        <v>701</v>
      </c>
      <c r="J509" t="s">
        <v>708</v>
      </c>
      <c r="K509" t="s">
        <v>712</v>
      </c>
      <c r="L509" t="s">
        <v>729</v>
      </c>
      <c r="M509" t="s">
        <v>1301</v>
      </c>
      <c r="N509" s="3">
        <v>23.83</v>
      </c>
      <c r="O509" s="3">
        <v>47.29</v>
      </c>
      <c r="P509" s="6">
        <v>6.4000000000000001E-2</v>
      </c>
      <c r="Q509" s="6">
        <f>IF(Table1[[#This Row],[DiscountPct]]&gt;25%,25%,Table1[[#This Row],[DiscountPct]])</f>
        <v>6.4000000000000001E-2</v>
      </c>
      <c r="R509" s="5">
        <v>19</v>
      </c>
      <c r="S509" s="6">
        <f t="shared" si="86"/>
        <v>0.98447335291649196</v>
      </c>
      <c r="T509" s="8">
        <f t="shared" si="87"/>
        <v>841.00536</v>
      </c>
      <c r="U509" s="8">
        <f t="shared" si="88"/>
        <v>452.77</v>
      </c>
      <c r="V509" s="9">
        <f t="shared" si="89"/>
        <v>388.23536000000001</v>
      </c>
      <c r="W509" s="6">
        <f t="shared" si="90"/>
        <v>0.46163244429262618</v>
      </c>
      <c r="X509" t="str" cm="1">
        <f t="array" ref="X509">_xlfn.IFS(S509&lt;=25%, "Low", S509&lt;=75%, "Medium", S509&gt;75%, "High")</f>
        <v>High</v>
      </c>
      <c r="Y509" s="8">
        <f>Table1[[#This Row],[Quantity]]*(Table1[[#This Row],[UnitPrice]]*(1-Table1[[#This Row],[DiscountPct]]))</f>
        <v>841.00535999999988</v>
      </c>
      <c r="Z509" s="9">
        <f t="shared" si="91"/>
        <v>388.2353599999999</v>
      </c>
      <c r="AA509">
        <f>COUNTIF($G$2:G510,G509)</f>
        <v>50</v>
      </c>
      <c r="AB509" s="21">
        <f t="shared" si="92"/>
        <v>44988</v>
      </c>
      <c r="AC509" s="21">
        <f t="shared" si="93"/>
        <v>45016</v>
      </c>
      <c r="AD509" s="5">
        <f>(Table1[[#This Row],[OrderDate]]-Table1[[#This Row],[Date of first order]])/30</f>
        <v>25.066666666666666</v>
      </c>
      <c r="AE509" t="str">
        <f t="shared" si="94"/>
        <v>Poor</v>
      </c>
      <c r="AF509">
        <f>COUNTIF(AE$2:AE510,AE509)</f>
        <v>366</v>
      </c>
      <c r="AG509" t="str">
        <f t="shared" si="95"/>
        <v>False</v>
      </c>
      <c r="AH509" s="7">
        <f>Table1[[#This Row],[UnitPrice]]*(1-Table1[[#This Row],[Disc Scenario]])*Table1[[#This Row],[Quantity]]</f>
        <v>841.00535999999988</v>
      </c>
      <c r="AI509">
        <f>ROUNDDOWN((Table1[[#This Row],[Quantity]]*(1+20%)),0)</f>
        <v>22</v>
      </c>
      <c r="AJ509" s="7">
        <f>Table1[[#This Row],[Quantity increase by 20%]]*Table1[[#This Row],[UnitPrice]]</f>
        <v>1040.3799999999999</v>
      </c>
      <c r="AK509">
        <f>ROUNDDOWN(Table1[[#This Row],[Quantity]]*(1+20%),0)</f>
        <v>22</v>
      </c>
      <c r="AL509" s="7">
        <f>Table1[[#This Row],[UnitCost]]*(1+15%)</f>
        <v>27.404499999999995</v>
      </c>
      <c r="AM509" s="9">
        <f>Table1[[#This Row],[Quantity]]*Table1[[#This Row],[Cost of unit by inflation 15%]]</f>
        <v>520.68549999999993</v>
      </c>
      <c r="AN509" s="21" cm="1">
        <f t="array" ref="AN509">_xlfn.UNIQUE(AC509)</f>
        <v>45016</v>
      </c>
    </row>
    <row r="510" spans="1:40" x14ac:dyDescent="0.35">
      <c r="A510" t="s">
        <v>319</v>
      </c>
      <c r="B510" s="21">
        <v>45741</v>
      </c>
      <c r="C510" s="10">
        <v>45742</v>
      </c>
      <c r="D510" s="3">
        <f t="shared" si="84"/>
        <v>1</v>
      </c>
      <c r="E510" s="10" t="str">
        <f t="shared" si="85"/>
        <v>Q1-2025</v>
      </c>
      <c r="F510" t="s">
        <v>645</v>
      </c>
      <c r="G510" t="s">
        <v>650</v>
      </c>
      <c r="H510" t="s">
        <v>664</v>
      </c>
      <c r="I510" t="s">
        <v>701</v>
      </c>
      <c r="J510" t="s">
        <v>709</v>
      </c>
      <c r="K510" t="s">
        <v>714</v>
      </c>
      <c r="L510" t="s">
        <v>732</v>
      </c>
      <c r="M510" t="s">
        <v>1037</v>
      </c>
      <c r="N510" s="3">
        <v>1450.43</v>
      </c>
      <c r="O510" s="3">
        <v>1994.67</v>
      </c>
      <c r="P510" s="6">
        <v>0.1</v>
      </c>
      <c r="Q510" s="6">
        <f>IF(Table1[[#This Row],[DiscountPct]]&gt;25%,25%,Table1[[#This Row],[DiscountPct]])</f>
        <v>0.1</v>
      </c>
      <c r="R510" s="5">
        <v>24</v>
      </c>
      <c r="S510" s="6">
        <f t="shared" si="86"/>
        <v>0.3752266569224299</v>
      </c>
      <c r="T510" s="8">
        <f t="shared" si="87"/>
        <v>43084.872000000003</v>
      </c>
      <c r="U510" s="8">
        <f t="shared" si="88"/>
        <v>34810.32</v>
      </c>
      <c r="V510" s="9">
        <f t="shared" si="89"/>
        <v>8274.5520000000033</v>
      </c>
      <c r="W510" s="6">
        <f t="shared" si="90"/>
        <v>0.19205237513529116</v>
      </c>
      <c r="X510" t="str" cm="1">
        <f t="array" ref="X510">_xlfn.IFS(S510&lt;=25%, "Low", S510&lt;=75%, "Medium", S510&gt;75%, "High")</f>
        <v>Medium</v>
      </c>
      <c r="Y510" s="8">
        <f>Table1[[#This Row],[Quantity]]*(Table1[[#This Row],[UnitPrice]]*(1-Table1[[#This Row],[DiscountPct]]))</f>
        <v>43084.872000000003</v>
      </c>
      <c r="Z510" s="9">
        <f t="shared" si="91"/>
        <v>8274.5520000000033</v>
      </c>
      <c r="AA510">
        <f>COUNTIF($G$2:G511,G510)</f>
        <v>35</v>
      </c>
      <c r="AB510" s="21">
        <f t="shared" si="92"/>
        <v>44988</v>
      </c>
      <c r="AC510" s="21">
        <f t="shared" si="93"/>
        <v>45016</v>
      </c>
      <c r="AD510" s="5">
        <f>(Table1[[#This Row],[OrderDate]]-Table1[[#This Row],[Date of first order]])/30</f>
        <v>25.1</v>
      </c>
      <c r="AE510" t="str">
        <f t="shared" si="94"/>
        <v>Good</v>
      </c>
      <c r="AF510">
        <f>COUNTIF(AE$2:AE511,AE510)</f>
        <v>143</v>
      </c>
      <c r="AG510" t="str">
        <f t="shared" si="95"/>
        <v>False</v>
      </c>
      <c r="AH510" s="7">
        <f>Table1[[#This Row],[UnitPrice]]*(1-Table1[[#This Row],[Disc Scenario]])*Table1[[#This Row],[Quantity]]</f>
        <v>43084.872000000003</v>
      </c>
      <c r="AI510">
        <f>ROUNDDOWN((Table1[[#This Row],[Quantity]]*(1+20%)),0)</f>
        <v>28</v>
      </c>
      <c r="AJ510" s="7">
        <f>Table1[[#This Row],[Quantity increase by 20%]]*Table1[[#This Row],[UnitPrice]]</f>
        <v>55850.76</v>
      </c>
      <c r="AK510">
        <f>ROUNDDOWN(Table1[[#This Row],[Quantity]]*(1+20%),0)</f>
        <v>28</v>
      </c>
      <c r="AL510" s="7">
        <f>Table1[[#This Row],[UnitCost]]*(1+15%)</f>
        <v>1667.9945</v>
      </c>
      <c r="AM510" s="9">
        <f>Table1[[#This Row],[Quantity]]*Table1[[#This Row],[Cost of unit by inflation 15%]]</f>
        <v>40031.868000000002</v>
      </c>
      <c r="AN510" s="21" cm="1">
        <f t="array" ref="AN510">_xlfn.UNIQUE(AC510)</f>
        <v>45016</v>
      </c>
    </row>
    <row r="511" spans="1:40" x14ac:dyDescent="0.35">
      <c r="A511" t="s">
        <v>99</v>
      </c>
      <c r="B511" s="21">
        <v>45741</v>
      </c>
      <c r="C511" s="10">
        <v>45764</v>
      </c>
      <c r="D511" s="3">
        <f t="shared" si="84"/>
        <v>23</v>
      </c>
      <c r="E511" s="10" t="str">
        <f t="shared" si="85"/>
        <v>Q1-2025</v>
      </c>
      <c r="F511" t="s">
        <v>648</v>
      </c>
      <c r="G511" t="s">
        <v>657</v>
      </c>
      <c r="H511" t="s">
        <v>682</v>
      </c>
      <c r="I511" t="s">
        <v>703</v>
      </c>
      <c r="J511" t="s">
        <v>706</v>
      </c>
      <c r="K511" t="s">
        <v>721</v>
      </c>
      <c r="L511" t="s">
        <v>728</v>
      </c>
      <c r="M511" t="s">
        <v>817</v>
      </c>
      <c r="N511" s="3">
        <v>1421.19</v>
      </c>
      <c r="O511" s="3">
        <v>1808.26</v>
      </c>
      <c r="P511" s="6">
        <v>0.104</v>
      </c>
      <c r="Q511" s="6">
        <f>IF(Table1[[#This Row],[DiscountPct]]&gt;25%,25%,Table1[[#This Row],[DiscountPct]])</f>
        <v>0.104</v>
      </c>
      <c r="R511" s="5">
        <v>13</v>
      </c>
      <c r="S511" s="6">
        <f t="shared" si="86"/>
        <v>0.2723562648203266</v>
      </c>
      <c r="T511" s="8">
        <f t="shared" si="87"/>
        <v>21062.61248</v>
      </c>
      <c r="U511" s="8">
        <f t="shared" si="88"/>
        <v>18475.47</v>
      </c>
      <c r="V511" s="9">
        <f t="shared" si="89"/>
        <v>2587.1424799999986</v>
      </c>
      <c r="W511" s="6">
        <f t="shared" si="90"/>
        <v>0.12283103449093123</v>
      </c>
      <c r="X511" t="str" cm="1">
        <f t="array" ref="X511">_xlfn.IFS(S511&lt;=25%, "Low", S511&lt;=75%, "Medium", S511&gt;75%, "High")</f>
        <v>Medium</v>
      </c>
      <c r="Y511" s="8">
        <f>Table1[[#This Row],[Quantity]]*(Table1[[#This Row],[UnitPrice]]*(1-Table1[[#This Row],[DiscountPct]]))</f>
        <v>21062.612480000003</v>
      </c>
      <c r="Z511" s="9">
        <f t="shared" si="91"/>
        <v>2587.1424800000023</v>
      </c>
      <c r="AA511">
        <f>COUNTIF($G$2:G512,G511)</f>
        <v>44</v>
      </c>
      <c r="AB511" s="21">
        <f t="shared" si="92"/>
        <v>44988</v>
      </c>
      <c r="AC511" s="21">
        <f t="shared" si="93"/>
        <v>45016</v>
      </c>
      <c r="AD511" s="5">
        <f>(Table1[[#This Row],[OrderDate]]-Table1[[#This Row],[Date of first order]])/30</f>
        <v>25.1</v>
      </c>
      <c r="AE511" t="str">
        <f t="shared" si="94"/>
        <v>Poor</v>
      </c>
      <c r="AF511">
        <f>COUNTIF(AE$2:AE512,AE511)</f>
        <v>367</v>
      </c>
      <c r="AG511" t="str">
        <f t="shared" si="95"/>
        <v>False</v>
      </c>
      <c r="AH511" s="7">
        <f>Table1[[#This Row],[UnitPrice]]*(1-Table1[[#This Row],[Disc Scenario]])*Table1[[#This Row],[Quantity]]</f>
        <v>21062.612480000003</v>
      </c>
      <c r="AI511">
        <f>ROUNDDOWN((Table1[[#This Row],[Quantity]]*(1+20%)),0)</f>
        <v>15</v>
      </c>
      <c r="AJ511" s="7">
        <f>Table1[[#This Row],[Quantity increase by 20%]]*Table1[[#This Row],[UnitPrice]]</f>
        <v>27123.9</v>
      </c>
      <c r="AK511">
        <f>ROUNDDOWN(Table1[[#This Row],[Quantity]]*(1+20%),0)</f>
        <v>15</v>
      </c>
      <c r="AL511" s="7">
        <f>Table1[[#This Row],[UnitCost]]*(1+15%)</f>
        <v>1634.3685</v>
      </c>
      <c r="AM511" s="9">
        <f>Table1[[#This Row],[Quantity]]*Table1[[#This Row],[Cost of unit by inflation 15%]]</f>
        <v>21246.790499999999</v>
      </c>
      <c r="AN511" s="21" cm="1">
        <f t="array" ref="AN511">_xlfn.UNIQUE(AC511)</f>
        <v>45016</v>
      </c>
    </row>
    <row r="512" spans="1:40" x14ac:dyDescent="0.35">
      <c r="A512" t="s">
        <v>18</v>
      </c>
      <c r="B512" s="21">
        <v>45745</v>
      </c>
      <c r="C512" s="10">
        <v>45749</v>
      </c>
      <c r="D512" s="3">
        <f t="shared" si="84"/>
        <v>4</v>
      </c>
      <c r="E512" s="10" t="str">
        <f t="shared" si="85"/>
        <v>Q1-2025</v>
      </c>
      <c r="F512" t="s">
        <v>645</v>
      </c>
      <c r="G512" t="s">
        <v>650</v>
      </c>
      <c r="H512" t="s">
        <v>664</v>
      </c>
      <c r="I512" t="s">
        <v>702</v>
      </c>
      <c r="J512" t="s">
        <v>708</v>
      </c>
      <c r="K512" t="s">
        <v>714</v>
      </c>
      <c r="L512" t="s">
        <v>729</v>
      </c>
      <c r="M512" t="s">
        <v>736</v>
      </c>
      <c r="N512" s="3">
        <v>259.93</v>
      </c>
      <c r="O512" s="3">
        <v>486.06910000000005</v>
      </c>
      <c r="P512" s="6">
        <v>7.1999999999999995E-2</v>
      </c>
      <c r="Q512" s="6">
        <f>IF(Table1[[#This Row],[DiscountPct]]&gt;25%,25%,Table1[[#This Row],[DiscountPct]])</f>
        <v>7.1999999999999995E-2</v>
      </c>
      <c r="R512" s="5">
        <v>22</v>
      </c>
      <c r="S512" s="6">
        <f t="shared" si="86"/>
        <v>0.87000000000000011</v>
      </c>
      <c r="T512" s="8">
        <f t="shared" si="87"/>
        <v>9923.5867456000014</v>
      </c>
      <c r="U512" s="8">
        <f t="shared" si="88"/>
        <v>5718.46</v>
      </c>
      <c r="V512" s="9">
        <f t="shared" si="89"/>
        <v>4205.1267456000014</v>
      </c>
      <c r="W512" s="6">
        <f t="shared" si="90"/>
        <v>0.42375069149917027</v>
      </c>
      <c r="X512" t="str" cm="1">
        <f t="array" ref="X512">_xlfn.IFS(S512&lt;=25%, "Low", S512&lt;=75%, "Medium", S512&gt;75%, "High")</f>
        <v>High</v>
      </c>
      <c r="Y512" s="8">
        <f>Table1[[#This Row],[Quantity]]*(Table1[[#This Row],[UnitPrice]]*(1-Table1[[#This Row],[DiscountPct]]))</f>
        <v>9923.5867456000014</v>
      </c>
      <c r="Z512" s="9">
        <f t="shared" si="91"/>
        <v>4205.1267456000014</v>
      </c>
      <c r="AA512">
        <f>COUNTIF($G$2:G513,G512)</f>
        <v>36</v>
      </c>
      <c r="AB512" s="21">
        <f t="shared" si="92"/>
        <v>44988</v>
      </c>
      <c r="AC512" s="21">
        <f t="shared" si="93"/>
        <v>45016</v>
      </c>
      <c r="AD512" s="5">
        <f>(Table1[[#This Row],[OrderDate]]-Table1[[#This Row],[Date of first order]])/30</f>
        <v>25.233333333333334</v>
      </c>
      <c r="AE512" t="str">
        <f t="shared" si="94"/>
        <v>Good</v>
      </c>
      <c r="AF512">
        <f>COUNTIF(AE$2:AE513,AE512)</f>
        <v>144</v>
      </c>
      <c r="AG512" t="str">
        <f t="shared" si="95"/>
        <v>False</v>
      </c>
      <c r="AH512" s="7">
        <f>Table1[[#This Row],[UnitPrice]]*(1-Table1[[#This Row],[Disc Scenario]])*Table1[[#This Row],[Quantity]]</f>
        <v>9923.5867456000014</v>
      </c>
      <c r="AI512">
        <f>ROUNDDOWN((Table1[[#This Row],[Quantity]]*(1+20%)),0)</f>
        <v>26</v>
      </c>
      <c r="AJ512" s="7">
        <f>Table1[[#This Row],[Quantity increase by 20%]]*Table1[[#This Row],[UnitPrice]]</f>
        <v>12637.796600000001</v>
      </c>
      <c r="AK512">
        <f>ROUNDDOWN(Table1[[#This Row],[Quantity]]*(1+20%),0)</f>
        <v>26</v>
      </c>
      <c r="AL512" s="7">
        <f>Table1[[#This Row],[UnitCost]]*(1+15%)</f>
        <v>298.91949999999997</v>
      </c>
      <c r="AM512" s="9">
        <f>Table1[[#This Row],[Quantity]]*Table1[[#This Row],[Cost of unit by inflation 15%]]</f>
        <v>6576.2289999999994</v>
      </c>
      <c r="AN512" s="21" cm="1">
        <f t="array" ref="AN512">_xlfn.UNIQUE(AC512)</f>
        <v>45016</v>
      </c>
    </row>
    <row r="513" spans="1:40" x14ac:dyDescent="0.35">
      <c r="A513" t="s">
        <v>460</v>
      </c>
      <c r="B513" s="21">
        <v>45746</v>
      </c>
      <c r="C513" s="10">
        <v>45776</v>
      </c>
      <c r="D513" s="3">
        <f t="shared" si="84"/>
        <v>30</v>
      </c>
      <c r="E513" s="10" t="str">
        <f t="shared" si="85"/>
        <v>Q1-2025</v>
      </c>
      <c r="F513" t="s">
        <v>645</v>
      </c>
      <c r="G513" t="s">
        <v>660</v>
      </c>
      <c r="H513" t="s">
        <v>686</v>
      </c>
      <c r="I513" t="s">
        <v>703</v>
      </c>
      <c r="J513" t="s">
        <v>708</v>
      </c>
      <c r="K513" t="s">
        <v>712</v>
      </c>
      <c r="L513" t="s">
        <v>731</v>
      </c>
      <c r="M513" t="s">
        <v>1177</v>
      </c>
      <c r="N513" s="3">
        <v>194.6</v>
      </c>
      <c r="O513" s="3">
        <v>314.87</v>
      </c>
      <c r="P513" s="6">
        <v>0.29299999999999998</v>
      </c>
      <c r="Q513" s="6">
        <f>IF(Table1[[#This Row],[DiscountPct]]&gt;25%,25%,Table1[[#This Row],[DiscountPct]])</f>
        <v>0.25</v>
      </c>
      <c r="R513" s="5">
        <v>25</v>
      </c>
      <c r="S513" s="6">
        <f t="shared" si="86"/>
        <v>0.61803699897225084</v>
      </c>
      <c r="T513" s="8">
        <f t="shared" si="87"/>
        <v>5565.3272500000003</v>
      </c>
      <c r="U513" s="8">
        <f t="shared" si="88"/>
        <v>4865</v>
      </c>
      <c r="V513" s="9">
        <f t="shared" si="89"/>
        <v>700.32725000000028</v>
      </c>
      <c r="W513" s="6">
        <f t="shared" si="90"/>
        <v>0.1258375686712763</v>
      </c>
      <c r="X513" t="str" cm="1">
        <f t="array" ref="X513">_xlfn.IFS(S513&lt;=25%, "Low", S513&lt;=75%, "Medium", S513&gt;75%, "High")</f>
        <v>Medium</v>
      </c>
      <c r="Y513" s="8">
        <f>Table1[[#This Row],[Quantity]]*(Table1[[#This Row],[UnitPrice]]*(1-Table1[[#This Row],[DiscountPct]]))</f>
        <v>5565.3272500000003</v>
      </c>
      <c r="Z513" s="9">
        <f t="shared" si="91"/>
        <v>700.32725000000028</v>
      </c>
      <c r="AA513">
        <f>COUNTIF($G$2:G514,G513)</f>
        <v>36</v>
      </c>
      <c r="AB513" s="21">
        <f t="shared" si="92"/>
        <v>44988</v>
      </c>
      <c r="AC513" s="21">
        <f t="shared" si="93"/>
        <v>45016</v>
      </c>
      <c r="AD513" s="5">
        <f>(Table1[[#This Row],[OrderDate]]-Table1[[#This Row],[Date of first order]])/30</f>
        <v>25.266666666666666</v>
      </c>
      <c r="AE513" t="str">
        <f t="shared" si="94"/>
        <v>Poor</v>
      </c>
      <c r="AF513">
        <f>COUNTIF(AE$2:AE514,AE513)</f>
        <v>369</v>
      </c>
      <c r="AG513" t="str">
        <f t="shared" si="95"/>
        <v>True</v>
      </c>
      <c r="AH513" s="7">
        <f>Table1[[#This Row],[UnitPrice]]*(1-Table1[[#This Row],[Disc Scenario]])*Table1[[#This Row],[Quantity]]</f>
        <v>5903.8125</v>
      </c>
      <c r="AI513">
        <f>ROUNDDOWN((Table1[[#This Row],[Quantity]]*(1+20%)),0)</f>
        <v>30</v>
      </c>
      <c r="AJ513" s="7">
        <f>Table1[[#This Row],[Quantity increase by 20%]]*Table1[[#This Row],[UnitPrice]]</f>
        <v>9446.1</v>
      </c>
      <c r="AK513">
        <f>ROUNDDOWN(Table1[[#This Row],[Quantity]]*(1+20%),0)</f>
        <v>30</v>
      </c>
      <c r="AL513" s="7">
        <f>Table1[[#This Row],[UnitCost]]*(1+15%)</f>
        <v>223.78999999999996</v>
      </c>
      <c r="AM513" s="9">
        <f>Table1[[#This Row],[Quantity]]*Table1[[#This Row],[Cost of unit by inflation 15%]]</f>
        <v>5594.7499999999991</v>
      </c>
      <c r="AN513" s="21" cm="1">
        <f t="array" ref="AN513">_xlfn.UNIQUE(AC513)</f>
        <v>45016</v>
      </c>
    </row>
    <row r="514" spans="1:40" x14ac:dyDescent="0.35">
      <c r="A514" t="s">
        <v>304</v>
      </c>
      <c r="B514" s="21">
        <v>45746</v>
      </c>
      <c r="C514" s="10">
        <v>45754</v>
      </c>
      <c r="D514" s="3">
        <f t="shared" ref="D514:D577" si="96">DATEDIF(B514,C514,"d")</f>
        <v>8</v>
      </c>
      <c r="E514" s="10" t="str">
        <f t="shared" ref="E514:E577" si="97">"Q"&amp;ROUNDUP(MONTH(B514)/3,0)&amp; "-" &amp;YEAR(B514)</f>
        <v>Q1-2025</v>
      </c>
      <c r="F514" t="s">
        <v>647</v>
      </c>
      <c r="G514" t="s">
        <v>654</v>
      </c>
      <c r="H514" t="s">
        <v>669</v>
      </c>
      <c r="I514" t="s">
        <v>702</v>
      </c>
      <c r="J514" t="s">
        <v>710</v>
      </c>
      <c r="K514" t="s">
        <v>715</v>
      </c>
      <c r="L514" t="s">
        <v>727</v>
      </c>
      <c r="M514" t="s">
        <v>1022</v>
      </c>
      <c r="N514" s="3">
        <v>71.62</v>
      </c>
      <c r="O514" s="3">
        <v>118.37</v>
      </c>
      <c r="P514" s="6">
        <v>0.156</v>
      </c>
      <c r="Q514" s="6">
        <f>IF(Table1[[#This Row],[DiscountPct]]&gt;25%,25%,Table1[[#This Row],[DiscountPct]])</f>
        <v>0.156</v>
      </c>
      <c r="R514" s="5">
        <v>11</v>
      </c>
      <c r="S514" s="6">
        <f t="shared" ref="S514:S577" si="98">(O514-N514)/N514</f>
        <v>0.65275062831611275</v>
      </c>
      <c r="T514" s="8">
        <f t="shared" ref="T514:T577" si="99">O514*R514*(1-P514)</f>
        <v>1098.9470800000001</v>
      </c>
      <c r="U514" s="8">
        <f t="shared" ref="U514:U577" si="100">N514*R514</f>
        <v>787.82</v>
      </c>
      <c r="V514" s="9">
        <f t="shared" ref="V514:V577" si="101">T514-U514</f>
        <v>311.12708000000009</v>
      </c>
      <c r="W514" s="6">
        <f t="shared" ref="W514:W577" si="102">V514/T514</f>
        <v>0.28311379652603474</v>
      </c>
      <c r="X514" t="str" cm="1">
        <f t="array" ref="X514">_xlfn.IFS(S514&lt;=25%, "Low", S514&lt;=75%, "Medium", S514&gt;75%, "High")</f>
        <v>Medium</v>
      </c>
      <c r="Y514" s="8">
        <f>Table1[[#This Row],[Quantity]]*(Table1[[#This Row],[UnitPrice]]*(1-Table1[[#This Row],[DiscountPct]]))</f>
        <v>1098.9470799999999</v>
      </c>
      <c r="Z514" s="9">
        <f t="shared" ref="Z514:Z577" si="103">Y514-(N514*R514)</f>
        <v>311.12707999999986</v>
      </c>
      <c r="AA514">
        <f>COUNTIF($G$2:G515,G514)</f>
        <v>49</v>
      </c>
      <c r="AB514" s="21">
        <f t="shared" ref="AB514:AB577" si="104">IF(AA514=1,B514,AB513)</f>
        <v>44988</v>
      </c>
      <c r="AC514" s="21">
        <f t="shared" ref="AC514:AC577" si="105">EOMONTH(AB514,0)</f>
        <v>45016</v>
      </c>
      <c r="AD514" s="5">
        <f>(Table1[[#This Row],[OrderDate]]-Table1[[#This Row],[Date of first order]])/30</f>
        <v>25.266666666666666</v>
      </c>
      <c r="AE514" t="str">
        <f t="shared" ref="AE514:AE577" si="106">IF(D514&lt;=7,"Good","Poor")</f>
        <v>Poor</v>
      </c>
      <c r="AF514">
        <f>COUNTIF(AE$2:AE515,AE514)</f>
        <v>369</v>
      </c>
      <c r="AG514" t="str">
        <f t="shared" ref="AG514:AG577" si="107">IF(P514&gt;20%,"True","False")</f>
        <v>False</v>
      </c>
      <c r="AH514" s="7">
        <f>Table1[[#This Row],[UnitPrice]]*(1-Table1[[#This Row],[Disc Scenario]])*Table1[[#This Row],[Quantity]]</f>
        <v>1098.9470799999999</v>
      </c>
      <c r="AI514">
        <f>ROUNDDOWN((Table1[[#This Row],[Quantity]]*(1+20%)),0)</f>
        <v>13</v>
      </c>
      <c r="AJ514" s="7">
        <f>Table1[[#This Row],[Quantity increase by 20%]]*Table1[[#This Row],[UnitPrice]]</f>
        <v>1538.81</v>
      </c>
      <c r="AK514">
        <f>ROUNDDOWN(Table1[[#This Row],[Quantity]]*(1+20%),0)</f>
        <v>13</v>
      </c>
      <c r="AL514" s="7">
        <f>Table1[[#This Row],[UnitCost]]*(1+15%)</f>
        <v>82.363</v>
      </c>
      <c r="AM514" s="9">
        <f>Table1[[#This Row],[Quantity]]*Table1[[#This Row],[Cost of unit by inflation 15%]]</f>
        <v>905.99299999999994</v>
      </c>
      <c r="AN514" s="21" cm="1">
        <f t="array" ref="AN514">_xlfn.UNIQUE(AC514)</f>
        <v>45016</v>
      </c>
    </row>
    <row r="515" spans="1:40" x14ac:dyDescent="0.35">
      <c r="A515" t="s">
        <v>117</v>
      </c>
      <c r="B515" s="21">
        <v>45747</v>
      </c>
      <c r="C515" s="10">
        <v>45751</v>
      </c>
      <c r="D515" s="3">
        <f t="shared" si="96"/>
        <v>4</v>
      </c>
      <c r="E515" s="10" t="str">
        <f t="shared" si="97"/>
        <v>Q1-2025</v>
      </c>
      <c r="F515" t="s">
        <v>645</v>
      </c>
      <c r="G515" t="s">
        <v>649</v>
      </c>
      <c r="H515" t="s">
        <v>677</v>
      </c>
      <c r="I515" t="s">
        <v>700</v>
      </c>
      <c r="J515" t="s">
        <v>710</v>
      </c>
      <c r="K515" t="s">
        <v>711</v>
      </c>
      <c r="L515" t="s">
        <v>730</v>
      </c>
      <c r="M515" t="s">
        <v>835</v>
      </c>
      <c r="N515" s="3">
        <v>862.08</v>
      </c>
      <c r="O515" s="3">
        <v>1952.83</v>
      </c>
      <c r="P515" s="6">
        <v>0</v>
      </c>
      <c r="Q515" s="6">
        <f>IF(Table1[[#This Row],[DiscountPct]]&gt;25%,25%,Table1[[#This Row],[DiscountPct]])</f>
        <v>0</v>
      </c>
      <c r="R515" s="5">
        <v>7</v>
      </c>
      <c r="S515" s="6">
        <f t="shared" si="98"/>
        <v>1.2652538047512991</v>
      </c>
      <c r="T515" s="8">
        <f t="shared" si="99"/>
        <v>13669.81</v>
      </c>
      <c r="U515" s="8">
        <f t="shared" si="100"/>
        <v>6034.56</v>
      </c>
      <c r="V515" s="9">
        <f t="shared" si="101"/>
        <v>7635.2499999999991</v>
      </c>
      <c r="W515" s="6">
        <f t="shared" si="102"/>
        <v>0.5585483631447693</v>
      </c>
      <c r="X515" t="str" cm="1">
        <f t="array" ref="X515">_xlfn.IFS(S515&lt;=25%, "Low", S515&lt;=75%, "Medium", S515&gt;75%, "High")</f>
        <v>High</v>
      </c>
      <c r="Y515" s="8">
        <f>Table1[[#This Row],[Quantity]]*(Table1[[#This Row],[UnitPrice]]*(1-Table1[[#This Row],[DiscountPct]]))</f>
        <v>13669.81</v>
      </c>
      <c r="Z515" s="9">
        <f t="shared" si="103"/>
        <v>7635.2499999999991</v>
      </c>
      <c r="AA515">
        <f>COUNTIF($G$2:G516,G515)</f>
        <v>48</v>
      </c>
      <c r="AB515" s="21">
        <f t="shared" si="104"/>
        <v>44988</v>
      </c>
      <c r="AC515" s="21">
        <f t="shared" si="105"/>
        <v>45016</v>
      </c>
      <c r="AD515" s="5">
        <f>(Table1[[#This Row],[OrderDate]]-Table1[[#This Row],[Date of first order]])/30</f>
        <v>25.3</v>
      </c>
      <c r="AE515" t="str">
        <f t="shared" si="106"/>
        <v>Good</v>
      </c>
      <c r="AF515">
        <f>COUNTIF(AE$2:AE516,AE515)</f>
        <v>145</v>
      </c>
      <c r="AG515" t="str">
        <f t="shared" si="107"/>
        <v>False</v>
      </c>
      <c r="AH515" s="7">
        <f>Table1[[#This Row],[UnitPrice]]*(1-Table1[[#This Row],[Disc Scenario]])*Table1[[#This Row],[Quantity]]</f>
        <v>13669.81</v>
      </c>
      <c r="AI515">
        <f>ROUNDDOWN((Table1[[#This Row],[Quantity]]*(1+20%)),0)</f>
        <v>8</v>
      </c>
      <c r="AJ515" s="7">
        <f>Table1[[#This Row],[Quantity increase by 20%]]*Table1[[#This Row],[UnitPrice]]</f>
        <v>15622.64</v>
      </c>
      <c r="AK515">
        <f>ROUNDDOWN(Table1[[#This Row],[Quantity]]*(1+20%),0)</f>
        <v>8</v>
      </c>
      <c r="AL515" s="7">
        <f>Table1[[#This Row],[UnitCost]]*(1+15%)</f>
        <v>991.39199999999994</v>
      </c>
      <c r="AM515" s="9">
        <f>Table1[[#This Row],[Quantity]]*Table1[[#This Row],[Cost of unit by inflation 15%]]</f>
        <v>6939.7439999999997</v>
      </c>
      <c r="AN515" s="21" cm="1">
        <f t="array" ref="AN515">_xlfn.UNIQUE(AC515)</f>
        <v>45016</v>
      </c>
    </row>
    <row r="516" spans="1:40" x14ac:dyDescent="0.35">
      <c r="A516" t="s">
        <v>331</v>
      </c>
      <c r="B516" s="21">
        <v>45748</v>
      </c>
      <c r="C516" s="10">
        <v>45774</v>
      </c>
      <c r="D516" s="3">
        <f t="shared" si="96"/>
        <v>26</v>
      </c>
      <c r="E516" s="10" t="str">
        <f t="shared" si="97"/>
        <v>Q2-2025</v>
      </c>
      <c r="F516" t="s">
        <v>647</v>
      </c>
      <c r="G516" t="s">
        <v>659</v>
      </c>
      <c r="H516" t="s">
        <v>685</v>
      </c>
      <c r="I516" t="s">
        <v>700</v>
      </c>
      <c r="J516" t="s">
        <v>710</v>
      </c>
      <c r="K516" t="s">
        <v>713</v>
      </c>
      <c r="L516" t="s">
        <v>731</v>
      </c>
      <c r="M516" t="s">
        <v>1049</v>
      </c>
      <c r="N516" s="3">
        <v>156.55000000000001</v>
      </c>
      <c r="O516" s="3">
        <v>227.45</v>
      </c>
      <c r="P516" s="6">
        <v>1.4E-2</v>
      </c>
      <c r="Q516" s="6">
        <f>IF(Table1[[#This Row],[DiscountPct]]&gt;25%,25%,Table1[[#This Row],[DiscountPct]])</f>
        <v>1.4E-2</v>
      </c>
      <c r="R516" s="5">
        <v>13</v>
      </c>
      <c r="S516" s="6">
        <f t="shared" si="98"/>
        <v>0.45289045033535597</v>
      </c>
      <c r="T516" s="8">
        <f t="shared" si="99"/>
        <v>2915.4540999999999</v>
      </c>
      <c r="U516" s="8">
        <f t="shared" si="100"/>
        <v>2035.15</v>
      </c>
      <c r="V516" s="9">
        <f t="shared" si="101"/>
        <v>880.30409999999983</v>
      </c>
      <c r="W516" s="6">
        <f t="shared" si="102"/>
        <v>0.3019440779396938</v>
      </c>
      <c r="X516" t="str" cm="1">
        <f t="array" ref="X516">_xlfn.IFS(S516&lt;=25%, "Low", S516&lt;=75%, "Medium", S516&gt;75%, "High")</f>
        <v>Medium</v>
      </c>
      <c r="Y516" s="8">
        <f>Table1[[#This Row],[Quantity]]*(Table1[[#This Row],[UnitPrice]]*(1-Table1[[#This Row],[DiscountPct]]))</f>
        <v>2915.4540999999999</v>
      </c>
      <c r="Z516" s="9">
        <f t="shared" si="103"/>
        <v>880.30409999999983</v>
      </c>
      <c r="AA516">
        <f>COUNTIF($G$2:G517,G516)</f>
        <v>45</v>
      </c>
      <c r="AB516" s="21">
        <f t="shared" si="104"/>
        <v>44988</v>
      </c>
      <c r="AC516" s="21">
        <f t="shared" si="105"/>
        <v>45016</v>
      </c>
      <c r="AD516" s="5">
        <f>(Table1[[#This Row],[OrderDate]]-Table1[[#This Row],[Date of first order]])/30</f>
        <v>25.333333333333332</v>
      </c>
      <c r="AE516" t="str">
        <f t="shared" si="106"/>
        <v>Poor</v>
      </c>
      <c r="AF516">
        <f>COUNTIF(AE$2:AE517,AE516)</f>
        <v>370</v>
      </c>
      <c r="AG516" t="str">
        <f t="shared" si="107"/>
        <v>False</v>
      </c>
      <c r="AH516" s="7">
        <f>Table1[[#This Row],[UnitPrice]]*(1-Table1[[#This Row],[Disc Scenario]])*Table1[[#This Row],[Quantity]]</f>
        <v>2915.4540999999999</v>
      </c>
      <c r="AI516">
        <f>ROUNDDOWN((Table1[[#This Row],[Quantity]]*(1+20%)),0)</f>
        <v>15</v>
      </c>
      <c r="AJ516" s="7">
        <f>Table1[[#This Row],[Quantity increase by 20%]]*Table1[[#This Row],[UnitPrice]]</f>
        <v>3411.75</v>
      </c>
      <c r="AK516">
        <f>ROUNDDOWN(Table1[[#This Row],[Quantity]]*(1+20%),0)</f>
        <v>15</v>
      </c>
      <c r="AL516" s="7">
        <f>Table1[[#This Row],[UnitCost]]*(1+15%)</f>
        <v>180.0325</v>
      </c>
      <c r="AM516" s="9">
        <f>Table1[[#This Row],[Quantity]]*Table1[[#This Row],[Cost of unit by inflation 15%]]</f>
        <v>2340.4225000000001</v>
      </c>
      <c r="AN516" s="21" cm="1">
        <f t="array" ref="AN516">_xlfn.UNIQUE(AC516)</f>
        <v>45016</v>
      </c>
    </row>
    <row r="517" spans="1:40" x14ac:dyDescent="0.35">
      <c r="A517" t="s">
        <v>386</v>
      </c>
      <c r="B517" s="21">
        <v>45751</v>
      </c>
      <c r="C517" s="10">
        <v>45757</v>
      </c>
      <c r="D517" s="3">
        <f t="shared" si="96"/>
        <v>6</v>
      </c>
      <c r="E517" s="10" t="str">
        <f t="shared" si="97"/>
        <v>Q2-2025</v>
      </c>
      <c r="F517" t="s">
        <v>648</v>
      </c>
      <c r="G517" t="s">
        <v>657</v>
      </c>
      <c r="H517" t="s">
        <v>673</v>
      </c>
      <c r="I517" t="s">
        <v>702</v>
      </c>
      <c r="J517" t="s">
        <v>710</v>
      </c>
      <c r="K517" t="s">
        <v>724</v>
      </c>
      <c r="L517" t="s">
        <v>727</v>
      </c>
      <c r="M517" t="s">
        <v>1104</v>
      </c>
      <c r="N517" s="3">
        <v>290.14</v>
      </c>
      <c r="O517" s="3">
        <v>490.33659999999998</v>
      </c>
      <c r="P517" s="6">
        <v>3.4000000000000002E-2</v>
      </c>
      <c r="Q517" s="6">
        <f>IF(Table1[[#This Row],[DiscountPct]]&gt;25%,25%,Table1[[#This Row],[DiscountPct]])</f>
        <v>3.4000000000000002E-2</v>
      </c>
      <c r="R517" s="5">
        <v>17</v>
      </c>
      <c r="S517" s="6">
        <f t="shared" si="98"/>
        <v>0.69</v>
      </c>
      <c r="T517" s="8">
        <f t="shared" si="99"/>
        <v>8052.3076451999996</v>
      </c>
      <c r="U517" s="8">
        <f t="shared" si="100"/>
        <v>4932.38</v>
      </c>
      <c r="V517" s="9">
        <f t="shared" si="101"/>
        <v>3119.9276451999995</v>
      </c>
      <c r="W517" s="6">
        <f t="shared" si="102"/>
        <v>0.38745758143751452</v>
      </c>
      <c r="X517" t="str" cm="1">
        <f t="array" ref="X517">_xlfn.IFS(S517&lt;=25%, "Low", S517&lt;=75%, "Medium", S517&gt;75%, "High")</f>
        <v>Medium</v>
      </c>
      <c r="Y517" s="8">
        <f>Table1[[#This Row],[Quantity]]*(Table1[[#This Row],[UnitPrice]]*(1-Table1[[#This Row],[DiscountPct]]))</f>
        <v>8052.3076451999987</v>
      </c>
      <c r="Z517" s="9">
        <f t="shared" si="103"/>
        <v>3119.9276451999986</v>
      </c>
      <c r="AA517">
        <f>COUNTIF($G$2:G518,G517)</f>
        <v>45</v>
      </c>
      <c r="AB517" s="21">
        <f t="shared" si="104"/>
        <v>44988</v>
      </c>
      <c r="AC517" s="21">
        <f t="shared" si="105"/>
        <v>45016</v>
      </c>
      <c r="AD517" s="5">
        <f>(Table1[[#This Row],[OrderDate]]-Table1[[#This Row],[Date of first order]])/30</f>
        <v>25.433333333333334</v>
      </c>
      <c r="AE517" t="str">
        <f t="shared" si="106"/>
        <v>Good</v>
      </c>
      <c r="AF517">
        <f>COUNTIF(AE$2:AE518,AE517)</f>
        <v>146</v>
      </c>
      <c r="AG517" t="str">
        <f t="shared" si="107"/>
        <v>False</v>
      </c>
      <c r="AH517" s="7">
        <f>Table1[[#This Row],[UnitPrice]]*(1-Table1[[#This Row],[Disc Scenario]])*Table1[[#This Row],[Quantity]]</f>
        <v>8052.3076451999987</v>
      </c>
      <c r="AI517">
        <f>ROUNDDOWN((Table1[[#This Row],[Quantity]]*(1+20%)),0)</f>
        <v>20</v>
      </c>
      <c r="AJ517" s="7">
        <f>Table1[[#This Row],[Quantity increase by 20%]]*Table1[[#This Row],[UnitPrice]]</f>
        <v>9806.732</v>
      </c>
      <c r="AK517">
        <f>ROUNDDOWN(Table1[[#This Row],[Quantity]]*(1+20%),0)</f>
        <v>20</v>
      </c>
      <c r="AL517" s="7">
        <f>Table1[[#This Row],[UnitCost]]*(1+15%)</f>
        <v>333.66099999999994</v>
      </c>
      <c r="AM517" s="9">
        <f>Table1[[#This Row],[Quantity]]*Table1[[#This Row],[Cost of unit by inflation 15%]]</f>
        <v>5672.2369999999992</v>
      </c>
      <c r="AN517" s="21" cm="1">
        <f t="array" ref="AN517">_xlfn.UNIQUE(AC517)</f>
        <v>45016</v>
      </c>
    </row>
    <row r="518" spans="1:40" x14ac:dyDescent="0.35">
      <c r="A518" t="s">
        <v>299</v>
      </c>
      <c r="B518" s="21">
        <v>45751</v>
      </c>
      <c r="C518" s="10">
        <v>45760</v>
      </c>
      <c r="D518" s="3">
        <f t="shared" si="96"/>
        <v>9</v>
      </c>
      <c r="E518" s="10" t="str">
        <f t="shared" si="97"/>
        <v>Q2-2025</v>
      </c>
      <c r="F518" t="s">
        <v>648</v>
      </c>
      <c r="G518" t="s">
        <v>655</v>
      </c>
      <c r="H518" t="s">
        <v>683</v>
      </c>
      <c r="I518" t="s">
        <v>703</v>
      </c>
      <c r="J518" t="s">
        <v>708</v>
      </c>
      <c r="K518" t="s">
        <v>720</v>
      </c>
      <c r="L518" t="s">
        <v>729</v>
      </c>
      <c r="M518" t="s">
        <v>1017</v>
      </c>
      <c r="N518" s="3">
        <v>7.02</v>
      </c>
      <c r="O518" s="3">
        <v>11.582999999999998</v>
      </c>
      <c r="P518" s="6">
        <v>0.13400000000000001</v>
      </c>
      <c r="Q518" s="6">
        <f>IF(Table1[[#This Row],[DiscountPct]]&gt;25%,25%,Table1[[#This Row],[DiscountPct]])</f>
        <v>0.13400000000000001</v>
      </c>
      <c r="R518" s="5">
        <v>14</v>
      </c>
      <c r="S518" s="6">
        <f t="shared" si="98"/>
        <v>0.64999999999999991</v>
      </c>
      <c r="T518" s="8">
        <f t="shared" si="99"/>
        <v>140.43229199999999</v>
      </c>
      <c r="U518" s="8">
        <f t="shared" si="100"/>
        <v>98.28</v>
      </c>
      <c r="V518" s="9">
        <f t="shared" si="101"/>
        <v>42.152291999999989</v>
      </c>
      <c r="W518" s="6">
        <f t="shared" si="102"/>
        <v>0.30016096297851486</v>
      </c>
      <c r="X518" t="str" cm="1">
        <f t="array" ref="X518">_xlfn.IFS(S518&lt;=25%, "Low", S518&lt;=75%, "Medium", S518&gt;75%, "High")</f>
        <v>Medium</v>
      </c>
      <c r="Y518" s="8">
        <f>Table1[[#This Row],[Quantity]]*(Table1[[#This Row],[UnitPrice]]*(1-Table1[[#This Row],[DiscountPct]]))</f>
        <v>140.43229199999996</v>
      </c>
      <c r="Z518" s="9">
        <f t="shared" si="103"/>
        <v>42.15229199999996</v>
      </c>
      <c r="AA518">
        <f>COUNTIF($G$2:G519,G518)</f>
        <v>43</v>
      </c>
      <c r="AB518" s="21">
        <f t="shared" si="104"/>
        <v>44988</v>
      </c>
      <c r="AC518" s="21">
        <f t="shared" si="105"/>
        <v>45016</v>
      </c>
      <c r="AD518" s="5">
        <f>(Table1[[#This Row],[OrderDate]]-Table1[[#This Row],[Date of first order]])/30</f>
        <v>25.433333333333334</v>
      </c>
      <c r="AE518" t="str">
        <f t="shared" si="106"/>
        <v>Poor</v>
      </c>
      <c r="AF518">
        <f>COUNTIF(AE$2:AE519,AE518)</f>
        <v>372</v>
      </c>
      <c r="AG518" t="str">
        <f t="shared" si="107"/>
        <v>False</v>
      </c>
      <c r="AH518" s="7">
        <f>Table1[[#This Row],[UnitPrice]]*(1-Table1[[#This Row],[Disc Scenario]])*Table1[[#This Row],[Quantity]]</f>
        <v>140.43229199999996</v>
      </c>
      <c r="AI518">
        <f>ROUNDDOWN((Table1[[#This Row],[Quantity]]*(1+20%)),0)</f>
        <v>16</v>
      </c>
      <c r="AJ518" s="7">
        <f>Table1[[#This Row],[Quantity increase by 20%]]*Table1[[#This Row],[UnitPrice]]</f>
        <v>185.32799999999997</v>
      </c>
      <c r="AK518">
        <f>ROUNDDOWN(Table1[[#This Row],[Quantity]]*(1+20%),0)</f>
        <v>16</v>
      </c>
      <c r="AL518" s="7">
        <f>Table1[[#This Row],[UnitCost]]*(1+15%)</f>
        <v>8.0729999999999986</v>
      </c>
      <c r="AM518" s="9">
        <f>Table1[[#This Row],[Quantity]]*Table1[[#This Row],[Cost of unit by inflation 15%]]</f>
        <v>113.02199999999998</v>
      </c>
      <c r="AN518" s="21" cm="1">
        <f t="array" ref="AN518">_xlfn.UNIQUE(AC518)</f>
        <v>45016</v>
      </c>
    </row>
    <row r="519" spans="1:40" x14ac:dyDescent="0.35">
      <c r="A519" t="s">
        <v>70</v>
      </c>
      <c r="B519" s="21">
        <v>45753</v>
      </c>
      <c r="C519" s="10">
        <v>45777</v>
      </c>
      <c r="D519" s="3">
        <f t="shared" si="96"/>
        <v>24</v>
      </c>
      <c r="E519" s="10" t="str">
        <f t="shared" si="97"/>
        <v>Q2-2025</v>
      </c>
      <c r="F519" t="s">
        <v>647</v>
      </c>
      <c r="G519" t="s">
        <v>654</v>
      </c>
      <c r="H519" t="s">
        <v>671</v>
      </c>
      <c r="I519" t="s">
        <v>701</v>
      </c>
      <c r="J519" t="s">
        <v>707</v>
      </c>
      <c r="K519" t="s">
        <v>722</v>
      </c>
      <c r="L519" t="s">
        <v>731</v>
      </c>
      <c r="M519" t="s">
        <v>788</v>
      </c>
      <c r="N519" s="3">
        <v>855.78</v>
      </c>
      <c r="O519" s="3">
        <v>977.38</v>
      </c>
      <c r="P519" s="6">
        <v>0.14699999999999999</v>
      </c>
      <c r="Q519" s="6">
        <f>IF(Table1[[#This Row],[DiscountPct]]&gt;25%,25%,Table1[[#This Row],[DiscountPct]])</f>
        <v>0.14699999999999999</v>
      </c>
      <c r="R519" s="5">
        <v>38</v>
      </c>
      <c r="S519" s="6">
        <f t="shared" si="98"/>
        <v>0.1420925938909533</v>
      </c>
      <c r="T519" s="8">
        <f t="shared" si="99"/>
        <v>31680.795320000001</v>
      </c>
      <c r="U519" s="8">
        <f t="shared" si="100"/>
        <v>32519.64</v>
      </c>
      <c r="V519" s="9">
        <f t="shared" si="101"/>
        <v>-838.84467999999833</v>
      </c>
      <c r="W519" s="6">
        <f t="shared" si="102"/>
        <v>-2.6478018355506307E-2</v>
      </c>
      <c r="X519" t="str" cm="1">
        <f t="array" ref="X519">_xlfn.IFS(S519&lt;=25%, "Low", S519&lt;=75%, "Medium", S519&gt;75%, "High")</f>
        <v>Low</v>
      </c>
      <c r="Y519" s="8">
        <f>Table1[[#This Row],[Quantity]]*(Table1[[#This Row],[UnitPrice]]*(1-Table1[[#This Row],[DiscountPct]]))</f>
        <v>31680.795320000001</v>
      </c>
      <c r="Z519" s="9">
        <f t="shared" si="103"/>
        <v>-838.84467999999833</v>
      </c>
      <c r="AA519">
        <f>COUNTIF($G$2:G520,G519)</f>
        <v>50</v>
      </c>
      <c r="AB519" s="21">
        <f t="shared" si="104"/>
        <v>44988</v>
      </c>
      <c r="AC519" s="21">
        <f t="shared" si="105"/>
        <v>45016</v>
      </c>
      <c r="AD519" s="5">
        <f>(Table1[[#This Row],[OrderDate]]-Table1[[#This Row],[Date of first order]])/30</f>
        <v>25.5</v>
      </c>
      <c r="AE519" t="str">
        <f t="shared" si="106"/>
        <v>Poor</v>
      </c>
      <c r="AF519">
        <f>COUNTIF(AE$2:AE520,AE519)</f>
        <v>372</v>
      </c>
      <c r="AG519" t="str">
        <f t="shared" si="107"/>
        <v>False</v>
      </c>
      <c r="AH519" s="7">
        <f>Table1[[#This Row],[UnitPrice]]*(1-Table1[[#This Row],[Disc Scenario]])*Table1[[#This Row],[Quantity]]</f>
        <v>31680.795320000001</v>
      </c>
      <c r="AI519">
        <f>ROUNDDOWN((Table1[[#This Row],[Quantity]]*(1+20%)),0)</f>
        <v>45</v>
      </c>
      <c r="AJ519" s="7">
        <f>Table1[[#This Row],[Quantity increase by 20%]]*Table1[[#This Row],[UnitPrice]]</f>
        <v>43982.1</v>
      </c>
      <c r="AK519">
        <f>ROUNDDOWN(Table1[[#This Row],[Quantity]]*(1+20%),0)</f>
        <v>45</v>
      </c>
      <c r="AL519" s="7">
        <f>Table1[[#This Row],[UnitCost]]*(1+15%)</f>
        <v>984.14699999999993</v>
      </c>
      <c r="AM519" s="9">
        <f>Table1[[#This Row],[Quantity]]*Table1[[#This Row],[Cost of unit by inflation 15%]]</f>
        <v>37397.585999999996</v>
      </c>
      <c r="AN519" s="21" cm="1">
        <f t="array" ref="AN519">_xlfn.UNIQUE(AC519)</f>
        <v>45016</v>
      </c>
    </row>
    <row r="520" spans="1:40" x14ac:dyDescent="0.35">
      <c r="A520" t="s">
        <v>44</v>
      </c>
      <c r="B520" s="21">
        <v>45754</v>
      </c>
      <c r="C520" s="10">
        <v>45758</v>
      </c>
      <c r="D520" s="3">
        <f t="shared" si="96"/>
        <v>4</v>
      </c>
      <c r="E520" s="10" t="str">
        <f t="shared" si="97"/>
        <v>Q2-2025</v>
      </c>
      <c r="F520" t="s">
        <v>648</v>
      </c>
      <c r="G520" t="s">
        <v>656</v>
      </c>
      <c r="H520" t="s">
        <v>678</v>
      </c>
      <c r="I520" t="s">
        <v>701</v>
      </c>
      <c r="J520" t="s">
        <v>706</v>
      </c>
      <c r="K520" t="s">
        <v>717</v>
      </c>
      <c r="L520" t="s">
        <v>728</v>
      </c>
      <c r="M520" t="s">
        <v>762</v>
      </c>
      <c r="N520" s="3">
        <v>754.77</v>
      </c>
      <c r="O520" s="3">
        <v>1666.18</v>
      </c>
      <c r="P520" s="6">
        <v>0.13900000000000001</v>
      </c>
      <c r="Q520" s="6">
        <f>IF(Table1[[#This Row],[DiscountPct]]&gt;25%,25%,Table1[[#This Row],[DiscountPct]])</f>
        <v>0.13900000000000001</v>
      </c>
      <c r="R520" s="5">
        <v>14</v>
      </c>
      <c r="S520" s="6">
        <f t="shared" si="98"/>
        <v>1.2075334207771906</v>
      </c>
      <c r="T520" s="8">
        <f t="shared" si="99"/>
        <v>20084.133720000002</v>
      </c>
      <c r="U520" s="8">
        <f t="shared" si="100"/>
        <v>10566.779999999999</v>
      </c>
      <c r="V520" s="9">
        <f t="shared" si="101"/>
        <v>9517.3537200000028</v>
      </c>
      <c r="W520" s="6">
        <f t="shared" si="102"/>
        <v>0.47387424584424653</v>
      </c>
      <c r="X520" t="str" cm="1">
        <f t="array" ref="X520">_xlfn.IFS(S520&lt;=25%, "Low", S520&lt;=75%, "Medium", S520&gt;75%, "High")</f>
        <v>High</v>
      </c>
      <c r="Y520" s="8">
        <f>Table1[[#This Row],[Quantity]]*(Table1[[#This Row],[UnitPrice]]*(1-Table1[[#This Row],[DiscountPct]]))</f>
        <v>20084.133719999998</v>
      </c>
      <c r="Z520" s="9">
        <f t="shared" si="103"/>
        <v>9517.3537199999992</v>
      </c>
      <c r="AA520">
        <f>COUNTIF($G$2:G521,G520)</f>
        <v>43</v>
      </c>
      <c r="AB520" s="21">
        <f t="shared" si="104"/>
        <v>44988</v>
      </c>
      <c r="AC520" s="21">
        <f t="shared" si="105"/>
        <v>45016</v>
      </c>
      <c r="AD520" s="5">
        <f>(Table1[[#This Row],[OrderDate]]-Table1[[#This Row],[Date of first order]])/30</f>
        <v>25.533333333333335</v>
      </c>
      <c r="AE520" t="str">
        <f t="shared" si="106"/>
        <v>Good</v>
      </c>
      <c r="AF520">
        <f>COUNTIF(AE$2:AE521,AE520)</f>
        <v>147</v>
      </c>
      <c r="AG520" t="str">
        <f t="shared" si="107"/>
        <v>False</v>
      </c>
      <c r="AH520" s="7">
        <f>Table1[[#This Row],[UnitPrice]]*(1-Table1[[#This Row],[Disc Scenario]])*Table1[[#This Row],[Quantity]]</f>
        <v>20084.133719999998</v>
      </c>
      <c r="AI520">
        <f>ROUNDDOWN((Table1[[#This Row],[Quantity]]*(1+20%)),0)</f>
        <v>16</v>
      </c>
      <c r="AJ520" s="7">
        <f>Table1[[#This Row],[Quantity increase by 20%]]*Table1[[#This Row],[UnitPrice]]</f>
        <v>26658.880000000001</v>
      </c>
      <c r="AK520">
        <f>ROUNDDOWN(Table1[[#This Row],[Quantity]]*(1+20%),0)</f>
        <v>16</v>
      </c>
      <c r="AL520" s="7">
        <f>Table1[[#This Row],[UnitCost]]*(1+15%)</f>
        <v>867.98549999999989</v>
      </c>
      <c r="AM520" s="9">
        <f>Table1[[#This Row],[Quantity]]*Table1[[#This Row],[Cost of unit by inflation 15%]]</f>
        <v>12151.796999999999</v>
      </c>
      <c r="AN520" s="21" cm="1">
        <f t="array" ref="AN520">_xlfn.UNIQUE(AC520)</f>
        <v>45016</v>
      </c>
    </row>
    <row r="521" spans="1:40" x14ac:dyDescent="0.35">
      <c r="A521" t="s">
        <v>86</v>
      </c>
      <c r="B521" s="21">
        <v>45756</v>
      </c>
      <c r="C521" s="10">
        <v>45783</v>
      </c>
      <c r="D521" s="3">
        <f t="shared" si="96"/>
        <v>27</v>
      </c>
      <c r="E521" s="10" t="str">
        <f t="shared" si="97"/>
        <v>Q2-2025</v>
      </c>
      <c r="F521" t="s">
        <v>647</v>
      </c>
      <c r="G521" t="s">
        <v>654</v>
      </c>
      <c r="H521" t="s">
        <v>671</v>
      </c>
      <c r="I521" t="s">
        <v>705</v>
      </c>
      <c r="J521" t="s">
        <v>708</v>
      </c>
      <c r="K521" t="s">
        <v>720</v>
      </c>
      <c r="L521" t="s">
        <v>730</v>
      </c>
      <c r="M521" t="s">
        <v>804</v>
      </c>
      <c r="N521" s="3">
        <v>264.19</v>
      </c>
      <c r="O521" s="3">
        <v>620.92999999999995</v>
      </c>
      <c r="P521" s="6">
        <v>0.14199999999999999</v>
      </c>
      <c r="Q521" s="6">
        <f>IF(Table1[[#This Row],[DiscountPct]]&gt;25%,25%,Table1[[#This Row],[DiscountPct]])</f>
        <v>0.14199999999999999</v>
      </c>
      <c r="R521" s="5">
        <v>12</v>
      </c>
      <c r="S521" s="6">
        <f t="shared" si="98"/>
        <v>1.3503160604110676</v>
      </c>
      <c r="T521" s="8">
        <f t="shared" si="99"/>
        <v>6393.0952799999995</v>
      </c>
      <c r="U521" s="8">
        <f t="shared" si="100"/>
        <v>3170.2799999999997</v>
      </c>
      <c r="V521" s="9">
        <f t="shared" si="101"/>
        <v>3222.8152799999998</v>
      </c>
      <c r="W521" s="6">
        <f t="shared" si="102"/>
        <v>0.50410875152794532</v>
      </c>
      <c r="X521" t="str" cm="1">
        <f t="array" ref="X521">_xlfn.IFS(S521&lt;=25%, "Low", S521&lt;=75%, "Medium", S521&gt;75%, "High")</f>
        <v>High</v>
      </c>
      <c r="Y521" s="8">
        <f>Table1[[#This Row],[Quantity]]*(Table1[[#This Row],[UnitPrice]]*(1-Table1[[#This Row],[DiscountPct]]))</f>
        <v>6393.0952799999995</v>
      </c>
      <c r="Z521" s="9">
        <f t="shared" si="103"/>
        <v>3222.8152799999998</v>
      </c>
      <c r="AA521">
        <f>COUNTIF($G$2:G522,G521)</f>
        <v>51</v>
      </c>
      <c r="AB521" s="21">
        <f t="shared" si="104"/>
        <v>44988</v>
      </c>
      <c r="AC521" s="21">
        <f t="shared" si="105"/>
        <v>45016</v>
      </c>
      <c r="AD521" s="5">
        <f>(Table1[[#This Row],[OrderDate]]-Table1[[#This Row],[Date of first order]])/30</f>
        <v>25.6</v>
      </c>
      <c r="AE521" t="str">
        <f t="shared" si="106"/>
        <v>Poor</v>
      </c>
      <c r="AF521">
        <f>COUNTIF(AE$2:AE522,AE521)</f>
        <v>373</v>
      </c>
      <c r="AG521" t="str">
        <f t="shared" si="107"/>
        <v>False</v>
      </c>
      <c r="AH521" s="7">
        <f>Table1[[#This Row],[UnitPrice]]*(1-Table1[[#This Row],[Disc Scenario]])*Table1[[#This Row],[Quantity]]</f>
        <v>6393.0952799999995</v>
      </c>
      <c r="AI521">
        <f>ROUNDDOWN((Table1[[#This Row],[Quantity]]*(1+20%)),0)</f>
        <v>14</v>
      </c>
      <c r="AJ521" s="7">
        <f>Table1[[#This Row],[Quantity increase by 20%]]*Table1[[#This Row],[UnitPrice]]</f>
        <v>8693.0199999999986</v>
      </c>
      <c r="AK521">
        <f>ROUNDDOWN(Table1[[#This Row],[Quantity]]*(1+20%),0)</f>
        <v>14</v>
      </c>
      <c r="AL521" s="7">
        <f>Table1[[#This Row],[UnitCost]]*(1+15%)</f>
        <v>303.81849999999997</v>
      </c>
      <c r="AM521" s="9">
        <f>Table1[[#This Row],[Quantity]]*Table1[[#This Row],[Cost of unit by inflation 15%]]</f>
        <v>3645.8219999999997</v>
      </c>
      <c r="AN521" s="21" cm="1">
        <f t="array" ref="AN521">_xlfn.UNIQUE(AC521)</f>
        <v>45016</v>
      </c>
    </row>
    <row r="522" spans="1:40" x14ac:dyDescent="0.35">
      <c r="A522" t="s">
        <v>318</v>
      </c>
      <c r="B522" s="21">
        <v>45756</v>
      </c>
      <c r="C522" s="10">
        <v>45759</v>
      </c>
      <c r="D522" s="3">
        <f t="shared" si="96"/>
        <v>3</v>
      </c>
      <c r="E522" s="10" t="str">
        <f t="shared" si="97"/>
        <v>Q2-2025</v>
      </c>
      <c r="F522" t="s">
        <v>648</v>
      </c>
      <c r="G522" t="s">
        <v>656</v>
      </c>
      <c r="H522" t="s">
        <v>678</v>
      </c>
      <c r="I522" t="s">
        <v>704</v>
      </c>
      <c r="J522" t="s">
        <v>709</v>
      </c>
      <c r="K522" t="s">
        <v>721</v>
      </c>
      <c r="L522" t="s">
        <v>731</v>
      </c>
      <c r="M522" t="s">
        <v>1036</v>
      </c>
      <c r="N522" s="3">
        <v>86.68</v>
      </c>
      <c r="O522" s="3">
        <v>213.32</v>
      </c>
      <c r="P522" s="6">
        <v>3.7999999999999999E-2</v>
      </c>
      <c r="Q522" s="6">
        <f>IF(Table1[[#This Row],[DiscountPct]]&gt;25%,25%,Table1[[#This Row],[DiscountPct]])</f>
        <v>3.7999999999999999E-2</v>
      </c>
      <c r="R522" s="5">
        <v>8</v>
      </c>
      <c r="S522" s="6">
        <f t="shared" si="98"/>
        <v>1.4610059990770647</v>
      </c>
      <c r="T522" s="8">
        <f t="shared" si="99"/>
        <v>1641.7107199999998</v>
      </c>
      <c r="U522" s="8">
        <f t="shared" si="100"/>
        <v>693.44</v>
      </c>
      <c r="V522" s="9">
        <f t="shared" si="101"/>
        <v>948.27071999999976</v>
      </c>
      <c r="W522" s="6">
        <f t="shared" si="102"/>
        <v>0.57761133459614611</v>
      </c>
      <c r="X522" t="str" cm="1">
        <f t="array" ref="X522">_xlfn.IFS(S522&lt;=25%, "Low", S522&lt;=75%, "Medium", S522&gt;75%, "High")</f>
        <v>High</v>
      </c>
      <c r="Y522" s="8">
        <f>Table1[[#This Row],[Quantity]]*(Table1[[#This Row],[UnitPrice]]*(1-Table1[[#This Row],[DiscountPct]]))</f>
        <v>1641.7107199999998</v>
      </c>
      <c r="Z522" s="9">
        <f t="shared" si="103"/>
        <v>948.27071999999976</v>
      </c>
      <c r="AA522">
        <f>COUNTIF($G$2:G523,G522)</f>
        <v>44</v>
      </c>
      <c r="AB522" s="21">
        <f t="shared" si="104"/>
        <v>44988</v>
      </c>
      <c r="AC522" s="21">
        <f t="shared" si="105"/>
        <v>45016</v>
      </c>
      <c r="AD522" s="5">
        <f>(Table1[[#This Row],[OrderDate]]-Table1[[#This Row],[Date of first order]])/30</f>
        <v>25.6</v>
      </c>
      <c r="AE522" t="str">
        <f t="shared" si="106"/>
        <v>Good</v>
      </c>
      <c r="AF522">
        <f>COUNTIF(AE$2:AE523,AE522)</f>
        <v>148</v>
      </c>
      <c r="AG522" t="str">
        <f t="shared" si="107"/>
        <v>False</v>
      </c>
      <c r="AH522" s="7">
        <f>Table1[[#This Row],[UnitPrice]]*(1-Table1[[#This Row],[Disc Scenario]])*Table1[[#This Row],[Quantity]]</f>
        <v>1641.7107199999998</v>
      </c>
      <c r="AI522">
        <f>ROUNDDOWN((Table1[[#This Row],[Quantity]]*(1+20%)),0)</f>
        <v>9</v>
      </c>
      <c r="AJ522" s="7">
        <f>Table1[[#This Row],[Quantity increase by 20%]]*Table1[[#This Row],[UnitPrice]]</f>
        <v>1919.8799999999999</v>
      </c>
      <c r="AK522">
        <f>ROUNDDOWN(Table1[[#This Row],[Quantity]]*(1+20%),0)</f>
        <v>9</v>
      </c>
      <c r="AL522" s="7">
        <f>Table1[[#This Row],[UnitCost]]*(1+15%)</f>
        <v>99.682000000000002</v>
      </c>
      <c r="AM522" s="9">
        <f>Table1[[#This Row],[Quantity]]*Table1[[#This Row],[Cost of unit by inflation 15%]]</f>
        <v>797.45600000000002</v>
      </c>
      <c r="AN522" s="21" cm="1">
        <f t="array" ref="AN522">_xlfn.UNIQUE(AC522)</f>
        <v>45016</v>
      </c>
    </row>
    <row r="523" spans="1:40" x14ac:dyDescent="0.35">
      <c r="A523" t="s">
        <v>476</v>
      </c>
      <c r="B523" s="21">
        <v>45757</v>
      </c>
      <c r="C523" s="10">
        <v>45766</v>
      </c>
      <c r="D523" s="3">
        <f t="shared" si="96"/>
        <v>9</v>
      </c>
      <c r="E523" s="10" t="str">
        <f t="shared" si="97"/>
        <v>Q2-2025</v>
      </c>
      <c r="F523" t="s">
        <v>645</v>
      </c>
      <c r="G523" t="s">
        <v>660</v>
      </c>
      <c r="H523" t="s">
        <v>686</v>
      </c>
      <c r="I523" t="s">
        <v>705</v>
      </c>
      <c r="J523" t="s">
        <v>709</v>
      </c>
      <c r="K523" t="s">
        <v>714</v>
      </c>
      <c r="L523" t="s">
        <v>728</v>
      </c>
      <c r="M523" t="s">
        <v>1193</v>
      </c>
      <c r="N523" s="3">
        <v>113.74</v>
      </c>
      <c r="O523" s="3">
        <v>165.7</v>
      </c>
      <c r="P523" s="6">
        <v>0.124</v>
      </c>
      <c r="Q523" s="6">
        <f>IF(Table1[[#This Row],[DiscountPct]]&gt;25%,25%,Table1[[#This Row],[DiscountPct]])</f>
        <v>0.124</v>
      </c>
      <c r="R523" s="5">
        <v>13</v>
      </c>
      <c r="S523" s="6">
        <f t="shared" si="98"/>
        <v>0.45683136979075079</v>
      </c>
      <c r="T523" s="8">
        <f t="shared" si="99"/>
        <v>1886.9915999999998</v>
      </c>
      <c r="U523" s="8">
        <f t="shared" si="100"/>
        <v>1478.62</v>
      </c>
      <c r="V523" s="9">
        <f t="shared" si="101"/>
        <v>408.37159999999994</v>
      </c>
      <c r="W523" s="6">
        <f t="shared" si="102"/>
        <v>0.21641410592394794</v>
      </c>
      <c r="X523" t="str" cm="1">
        <f t="array" ref="X523">_xlfn.IFS(S523&lt;=25%, "Low", S523&lt;=75%, "Medium", S523&gt;75%, "High")</f>
        <v>Medium</v>
      </c>
      <c r="Y523" s="8">
        <f>Table1[[#This Row],[Quantity]]*(Table1[[#This Row],[UnitPrice]]*(1-Table1[[#This Row],[DiscountPct]]))</f>
        <v>1886.9916000000001</v>
      </c>
      <c r="Z523" s="9">
        <f t="shared" si="103"/>
        <v>408.37160000000017</v>
      </c>
      <c r="AA523">
        <f>COUNTIF($G$2:G524,G523)</f>
        <v>37</v>
      </c>
      <c r="AB523" s="21">
        <f t="shared" si="104"/>
        <v>44988</v>
      </c>
      <c r="AC523" s="21">
        <f t="shared" si="105"/>
        <v>45016</v>
      </c>
      <c r="AD523" s="5">
        <f>(Table1[[#This Row],[OrderDate]]-Table1[[#This Row],[Date of first order]])/30</f>
        <v>25.633333333333333</v>
      </c>
      <c r="AE523" t="str">
        <f t="shared" si="106"/>
        <v>Poor</v>
      </c>
      <c r="AF523">
        <f>COUNTIF(AE$2:AE524,AE523)</f>
        <v>375</v>
      </c>
      <c r="AG523" t="str">
        <f t="shared" si="107"/>
        <v>False</v>
      </c>
      <c r="AH523" s="7">
        <f>Table1[[#This Row],[UnitPrice]]*(1-Table1[[#This Row],[Disc Scenario]])*Table1[[#This Row],[Quantity]]</f>
        <v>1886.9916000000001</v>
      </c>
      <c r="AI523">
        <f>ROUNDDOWN((Table1[[#This Row],[Quantity]]*(1+20%)),0)</f>
        <v>15</v>
      </c>
      <c r="AJ523" s="7">
        <f>Table1[[#This Row],[Quantity increase by 20%]]*Table1[[#This Row],[UnitPrice]]</f>
        <v>2485.5</v>
      </c>
      <c r="AK523">
        <f>ROUNDDOWN(Table1[[#This Row],[Quantity]]*(1+20%),0)</f>
        <v>15</v>
      </c>
      <c r="AL523" s="7">
        <f>Table1[[#This Row],[UnitCost]]*(1+15%)</f>
        <v>130.80099999999999</v>
      </c>
      <c r="AM523" s="9">
        <f>Table1[[#This Row],[Quantity]]*Table1[[#This Row],[Cost of unit by inflation 15%]]</f>
        <v>1700.4129999999998</v>
      </c>
      <c r="AN523" s="21" cm="1">
        <f t="array" ref="AN523">_xlfn.UNIQUE(AC523)</f>
        <v>45016</v>
      </c>
    </row>
    <row r="524" spans="1:40" x14ac:dyDescent="0.35">
      <c r="A524" t="s">
        <v>307</v>
      </c>
      <c r="B524" s="21">
        <v>45758</v>
      </c>
      <c r="C524" s="10">
        <v>45781</v>
      </c>
      <c r="D524" s="3">
        <f t="shared" si="96"/>
        <v>23</v>
      </c>
      <c r="E524" s="10" t="str">
        <f t="shared" si="97"/>
        <v>Q2-2025</v>
      </c>
      <c r="F524" t="s">
        <v>646</v>
      </c>
      <c r="G524" t="s">
        <v>651</v>
      </c>
      <c r="H524" t="s">
        <v>665</v>
      </c>
      <c r="I524" t="s">
        <v>704</v>
      </c>
      <c r="J524" t="s">
        <v>707</v>
      </c>
      <c r="K524" t="s">
        <v>723</v>
      </c>
      <c r="L524" t="s">
        <v>726</v>
      </c>
      <c r="M524" t="s">
        <v>1025</v>
      </c>
      <c r="N524" s="3">
        <v>786.2</v>
      </c>
      <c r="O524" s="3">
        <v>1075.3</v>
      </c>
      <c r="P524" s="6">
        <v>0.08</v>
      </c>
      <c r="Q524" s="6">
        <f>IF(Table1[[#This Row],[DiscountPct]]&gt;25%,25%,Table1[[#This Row],[DiscountPct]])</f>
        <v>0.08</v>
      </c>
      <c r="R524" s="5">
        <v>9</v>
      </c>
      <c r="S524" s="6">
        <f t="shared" si="98"/>
        <v>0.3677181378784023</v>
      </c>
      <c r="T524" s="8">
        <f t="shared" si="99"/>
        <v>8903.4839999999986</v>
      </c>
      <c r="U524" s="8">
        <f t="shared" si="100"/>
        <v>7075.8</v>
      </c>
      <c r="V524" s="9">
        <f t="shared" si="101"/>
        <v>1827.6839999999984</v>
      </c>
      <c r="W524" s="6">
        <f t="shared" si="102"/>
        <v>0.20527739478163815</v>
      </c>
      <c r="X524" t="str" cm="1">
        <f t="array" ref="X524">_xlfn.IFS(S524&lt;=25%, "Low", S524&lt;=75%, "Medium", S524&gt;75%, "High")</f>
        <v>Medium</v>
      </c>
      <c r="Y524" s="8">
        <f>Table1[[#This Row],[Quantity]]*(Table1[[#This Row],[UnitPrice]]*(1-Table1[[#This Row],[DiscountPct]]))</f>
        <v>8903.4840000000004</v>
      </c>
      <c r="Z524" s="9">
        <f t="shared" si="103"/>
        <v>1827.6840000000002</v>
      </c>
      <c r="AA524">
        <f>COUNTIF($G$2:G525,G524)</f>
        <v>47</v>
      </c>
      <c r="AB524" s="21">
        <f t="shared" si="104"/>
        <v>44988</v>
      </c>
      <c r="AC524" s="21">
        <f t="shared" si="105"/>
        <v>45016</v>
      </c>
      <c r="AD524" s="5">
        <f>(Table1[[#This Row],[OrderDate]]-Table1[[#This Row],[Date of first order]])/30</f>
        <v>25.666666666666668</v>
      </c>
      <c r="AE524" t="str">
        <f t="shared" si="106"/>
        <v>Poor</v>
      </c>
      <c r="AF524">
        <f>COUNTIF(AE$2:AE525,AE524)</f>
        <v>376</v>
      </c>
      <c r="AG524" t="str">
        <f t="shared" si="107"/>
        <v>False</v>
      </c>
      <c r="AH524" s="7">
        <f>Table1[[#This Row],[UnitPrice]]*(1-Table1[[#This Row],[Disc Scenario]])*Table1[[#This Row],[Quantity]]</f>
        <v>8903.4840000000004</v>
      </c>
      <c r="AI524">
        <f>ROUNDDOWN((Table1[[#This Row],[Quantity]]*(1+20%)),0)</f>
        <v>10</v>
      </c>
      <c r="AJ524" s="7">
        <f>Table1[[#This Row],[Quantity increase by 20%]]*Table1[[#This Row],[UnitPrice]]</f>
        <v>10753</v>
      </c>
      <c r="AK524">
        <f>ROUNDDOWN(Table1[[#This Row],[Quantity]]*(1+20%),0)</f>
        <v>10</v>
      </c>
      <c r="AL524" s="7">
        <f>Table1[[#This Row],[UnitCost]]*(1+15%)</f>
        <v>904.13</v>
      </c>
      <c r="AM524" s="9">
        <f>Table1[[#This Row],[Quantity]]*Table1[[#This Row],[Cost of unit by inflation 15%]]</f>
        <v>8137.17</v>
      </c>
      <c r="AN524" s="21" cm="1">
        <f t="array" ref="AN524">_xlfn.UNIQUE(AC524)</f>
        <v>45016</v>
      </c>
    </row>
    <row r="525" spans="1:40" x14ac:dyDescent="0.35">
      <c r="A525" t="s">
        <v>413</v>
      </c>
      <c r="B525" s="21">
        <v>45759</v>
      </c>
      <c r="C525" s="10">
        <v>45777</v>
      </c>
      <c r="D525" s="3">
        <f t="shared" si="96"/>
        <v>18</v>
      </c>
      <c r="E525" s="10" t="str">
        <f t="shared" si="97"/>
        <v>Q2-2025</v>
      </c>
      <c r="F525" t="s">
        <v>645</v>
      </c>
      <c r="G525" t="s">
        <v>649</v>
      </c>
      <c r="H525" t="s">
        <v>661</v>
      </c>
      <c r="I525" t="s">
        <v>700</v>
      </c>
      <c r="J525" t="s">
        <v>708</v>
      </c>
      <c r="K525" t="s">
        <v>720</v>
      </c>
      <c r="L525" t="s">
        <v>728</v>
      </c>
      <c r="M525" t="s">
        <v>1130</v>
      </c>
      <c r="N525" s="3">
        <v>1119.04</v>
      </c>
      <c r="O525" s="3">
        <v>1299.02</v>
      </c>
      <c r="P525" s="6">
        <v>2.5000000000000001E-2</v>
      </c>
      <c r="Q525" s="6">
        <f>IF(Table1[[#This Row],[DiscountPct]]&gt;25%,25%,Table1[[#This Row],[DiscountPct]])</f>
        <v>2.5000000000000001E-2</v>
      </c>
      <c r="R525" s="5">
        <v>14</v>
      </c>
      <c r="S525" s="6">
        <f t="shared" si="98"/>
        <v>0.16083428653131257</v>
      </c>
      <c r="T525" s="8">
        <f t="shared" si="99"/>
        <v>17731.623</v>
      </c>
      <c r="U525" s="8">
        <f t="shared" si="100"/>
        <v>15666.56</v>
      </c>
      <c r="V525" s="9">
        <f t="shared" si="101"/>
        <v>2065.0630000000001</v>
      </c>
      <c r="W525" s="6">
        <f t="shared" si="102"/>
        <v>0.11646215352085933</v>
      </c>
      <c r="X525" t="str" cm="1">
        <f t="array" ref="X525">_xlfn.IFS(S525&lt;=25%, "Low", S525&lt;=75%, "Medium", S525&gt;75%, "High")</f>
        <v>Low</v>
      </c>
      <c r="Y525" s="8">
        <f>Table1[[#This Row],[Quantity]]*(Table1[[#This Row],[UnitPrice]]*(1-Table1[[#This Row],[DiscountPct]]))</f>
        <v>17731.623</v>
      </c>
      <c r="Z525" s="9">
        <f t="shared" si="103"/>
        <v>2065.0630000000001</v>
      </c>
      <c r="AA525">
        <f>COUNTIF($G$2:G526,G525)</f>
        <v>49</v>
      </c>
      <c r="AB525" s="21">
        <f t="shared" si="104"/>
        <v>44988</v>
      </c>
      <c r="AC525" s="21">
        <f t="shared" si="105"/>
        <v>45016</v>
      </c>
      <c r="AD525" s="5">
        <f>(Table1[[#This Row],[OrderDate]]-Table1[[#This Row],[Date of first order]])/30</f>
        <v>25.7</v>
      </c>
      <c r="AE525" t="str">
        <f t="shared" si="106"/>
        <v>Poor</v>
      </c>
      <c r="AF525">
        <f>COUNTIF(AE$2:AE526,AE525)</f>
        <v>376</v>
      </c>
      <c r="AG525" t="str">
        <f t="shared" si="107"/>
        <v>False</v>
      </c>
      <c r="AH525" s="7">
        <f>Table1[[#This Row],[UnitPrice]]*(1-Table1[[#This Row],[Disc Scenario]])*Table1[[#This Row],[Quantity]]</f>
        <v>17731.623</v>
      </c>
      <c r="AI525">
        <f>ROUNDDOWN((Table1[[#This Row],[Quantity]]*(1+20%)),0)</f>
        <v>16</v>
      </c>
      <c r="AJ525" s="7">
        <f>Table1[[#This Row],[Quantity increase by 20%]]*Table1[[#This Row],[UnitPrice]]</f>
        <v>20784.32</v>
      </c>
      <c r="AK525">
        <f>ROUNDDOWN(Table1[[#This Row],[Quantity]]*(1+20%),0)</f>
        <v>16</v>
      </c>
      <c r="AL525" s="7">
        <f>Table1[[#This Row],[UnitCost]]*(1+15%)</f>
        <v>1286.896</v>
      </c>
      <c r="AM525" s="9">
        <f>Table1[[#This Row],[Quantity]]*Table1[[#This Row],[Cost of unit by inflation 15%]]</f>
        <v>18016.543999999998</v>
      </c>
      <c r="AN525" s="21" cm="1">
        <f t="array" ref="AN525">_xlfn.UNIQUE(AC525)</f>
        <v>45016</v>
      </c>
    </row>
    <row r="526" spans="1:40" x14ac:dyDescent="0.35">
      <c r="A526" t="s">
        <v>583</v>
      </c>
      <c r="B526" s="21">
        <v>45760</v>
      </c>
      <c r="C526" s="10">
        <v>45761</v>
      </c>
      <c r="D526" s="3">
        <f t="shared" si="96"/>
        <v>1</v>
      </c>
      <c r="E526" s="10" t="str">
        <f t="shared" si="97"/>
        <v>Q2-2025</v>
      </c>
      <c r="F526" t="s">
        <v>646</v>
      </c>
      <c r="G526" t="s">
        <v>651</v>
      </c>
      <c r="H526" t="s">
        <v>665</v>
      </c>
      <c r="I526" t="s">
        <v>705</v>
      </c>
      <c r="J526" t="s">
        <v>707</v>
      </c>
      <c r="K526" t="s">
        <v>714</v>
      </c>
      <c r="L526" t="s">
        <v>726</v>
      </c>
      <c r="M526" t="s">
        <v>1299</v>
      </c>
      <c r="N526" s="3">
        <v>138.9</v>
      </c>
      <c r="O526" s="3">
        <v>289.92</v>
      </c>
      <c r="P526" s="6">
        <v>2.9000000000000001E-2</v>
      </c>
      <c r="Q526" s="6">
        <f>IF(Table1[[#This Row],[DiscountPct]]&gt;25%,25%,Table1[[#This Row],[DiscountPct]])</f>
        <v>2.9000000000000001E-2</v>
      </c>
      <c r="R526" s="5">
        <v>12</v>
      </c>
      <c r="S526" s="6">
        <f t="shared" si="98"/>
        <v>1.087257019438445</v>
      </c>
      <c r="T526" s="8">
        <f t="shared" si="99"/>
        <v>3378.1478400000001</v>
      </c>
      <c r="U526" s="8">
        <f t="shared" si="100"/>
        <v>1666.8000000000002</v>
      </c>
      <c r="V526" s="9">
        <f t="shared" si="101"/>
        <v>1711.3478399999999</v>
      </c>
      <c r="W526" s="6">
        <f t="shared" si="102"/>
        <v>0.50659353025828491</v>
      </c>
      <c r="X526" t="str" cm="1">
        <f t="array" ref="X526">_xlfn.IFS(S526&lt;=25%, "Low", S526&lt;=75%, "Medium", S526&gt;75%, "High")</f>
        <v>High</v>
      </c>
      <c r="Y526" s="8">
        <f>Table1[[#This Row],[Quantity]]*(Table1[[#This Row],[UnitPrice]]*(1-Table1[[#This Row],[DiscountPct]]))</f>
        <v>3378.1478399999996</v>
      </c>
      <c r="Z526" s="9">
        <f t="shared" si="103"/>
        <v>1711.3478399999995</v>
      </c>
      <c r="AA526">
        <f>COUNTIF($G$2:G527,G526)</f>
        <v>48</v>
      </c>
      <c r="AB526" s="21">
        <f t="shared" si="104"/>
        <v>44988</v>
      </c>
      <c r="AC526" s="21">
        <f t="shared" si="105"/>
        <v>45016</v>
      </c>
      <c r="AD526" s="5">
        <f>(Table1[[#This Row],[OrderDate]]-Table1[[#This Row],[Date of first order]])/30</f>
        <v>25.733333333333334</v>
      </c>
      <c r="AE526" t="str">
        <f t="shared" si="106"/>
        <v>Good</v>
      </c>
      <c r="AF526">
        <f>COUNTIF(AE$2:AE527,AE526)</f>
        <v>149</v>
      </c>
      <c r="AG526" t="str">
        <f t="shared" si="107"/>
        <v>False</v>
      </c>
      <c r="AH526" s="7">
        <f>Table1[[#This Row],[UnitPrice]]*(1-Table1[[#This Row],[Disc Scenario]])*Table1[[#This Row],[Quantity]]</f>
        <v>3378.1478399999996</v>
      </c>
      <c r="AI526">
        <f>ROUNDDOWN((Table1[[#This Row],[Quantity]]*(1+20%)),0)</f>
        <v>14</v>
      </c>
      <c r="AJ526" s="7">
        <f>Table1[[#This Row],[Quantity increase by 20%]]*Table1[[#This Row],[UnitPrice]]</f>
        <v>4058.88</v>
      </c>
      <c r="AK526">
        <f>ROUNDDOWN(Table1[[#This Row],[Quantity]]*(1+20%),0)</f>
        <v>14</v>
      </c>
      <c r="AL526" s="7">
        <f>Table1[[#This Row],[UnitCost]]*(1+15%)</f>
        <v>159.73499999999999</v>
      </c>
      <c r="AM526" s="9">
        <f>Table1[[#This Row],[Quantity]]*Table1[[#This Row],[Cost of unit by inflation 15%]]</f>
        <v>1916.8199999999997</v>
      </c>
      <c r="AN526" s="21" cm="1">
        <f t="array" ref="AN526">_xlfn.UNIQUE(AC526)</f>
        <v>45016</v>
      </c>
    </row>
    <row r="527" spans="1:40" x14ac:dyDescent="0.35">
      <c r="A527" t="s">
        <v>189</v>
      </c>
      <c r="B527" s="21">
        <v>45761</v>
      </c>
      <c r="C527" s="10">
        <v>45781</v>
      </c>
      <c r="D527" s="3">
        <f t="shared" si="96"/>
        <v>20</v>
      </c>
      <c r="E527" s="10" t="str">
        <f t="shared" si="97"/>
        <v>Q2-2025</v>
      </c>
      <c r="F527" t="s">
        <v>648</v>
      </c>
      <c r="G527" t="s">
        <v>657</v>
      </c>
      <c r="H527" t="s">
        <v>673</v>
      </c>
      <c r="I527" t="s">
        <v>705</v>
      </c>
      <c r="J527" t="s">
        <v>708</v>
      </c>
      <c r="K527" t="s">
        <v>722</v>
      </c>
      <c r="L527" t="s">
        <v>731</v>
      </c>
      <c r="M527" t="s">
        <v>907</v>
      </c>
      <c r="N527" s="3">
        <v>1413.87</v>
      </c>
      <c r="O527" s="3">
        <v>3275</v>
      </c>
      <c r="P527" s="6">
        <v>0.255</v>
      </c>
      <c r="Q527" s="6">
        <f>IF(Table1[[#This Row],[DiscountPct]]&gt;25%,25%,Table1[[#This Row],[DiscountPct]])</f>
        <v>0.25</v>
      </c>
      <c r="R527" s="5">
        <v>38</v>
      </c>
      <c r="S527" s="6">
        <f t="shared" si="98"/>
        <v>1.3163374284764513</v>
      </c>
      <c r="T527" s="8">
        <f t="shared" si="99"/>
        <v>92715.25</v>
      </c>
      <c r="U527" s="8">
        <f t="shared" si="100"/>
        <v>53727.06</v>
      </c>
      <c r="V527" s="9">
        <f t="shared" si="101"/>
        <v>38988.19</v>
      </c>
      <c r="W527" s="6">
        <f t="shared" si="102"/>
        <v>0.42051539525590453</v>
      </c>
      <c r="X527" t="str" cm="1">
        <f t="array" ref="X527">_xlfn.IFS(S527&lt;=25%, "Low", S527&lt;=75%, "Medium", S527&gt;75%, "High")</f>
        <v>High</v>
      </c>
      <c r="Y527" s="8">
        <f>Table1[[#This Row],[Quantity]]*(Table1[[#This Row],[UnitPrice]]*(1-Table1[[#This Row],[DiscountPct]]))</f>
        <v>92715.25</v>
      </c>
      <c r="Z527" s="9">
        <f t="shared" si="103"/>
        <v>38988.19</v>
      </c>
      <c r="AA527">
        <f>COUNTIF($G$2:G528,G527)</f>
        <v>46</v>
      </c>
      <c r="AB527" s="21">
        <f t="shared" si="104"/>
        <v>44988</v>
      </c>
      <c r="AC527" s="21">
        <f t="shared" si="105"/>
        <v>45016</v>
      </c>
      <c r="AD527" s="5">
        <f>(Table1[[#This Row],[OrderDate]]-Table1[[#This Row],[Date of first order]])/30</f>
        <v>25.766666666666666</v>
      </c>
      <c r="AE527" t="str">
        <f t="shared" si="106"/>
        <v>Poor</v>
      </c>
      <c r="AF527">
        <f>COUNTIF(AE$2:AE528,AE527)</f>
        <v>378</v>
      </c>
      <c r="AG527" t="str">
        <f t="shared" si="107"/>
        <v>True</v>
      </c>
      <c r="AH527" s="7">
        <f>Table1[[#This Row],[UnitPrice]]*(1-Table1[[#This Row],[Disc Scenario]])*Table1[[#This Row],[Quantity]]</f>
        <v>93337.5</v>
      </c>
      <c r="AI527">
        <f>ROUNDDOWN((Table1[[#This Row],[Quantity]]*(1+20%)),0)</f>
        <v>45</v>
      </c>
      <c r="AJ527" s="7">
        <f>Table1[[#This Row],[Quantity increase by 20%]]*Table1[[#This Row],[UnitPrice]]</f>
        <v>147375</v>
      </c>
      <c r="AK527">
        <f>ROUNDDOWN(Table1[[#This Row],[Quantity]]*(1+20%),0)</f>
        <v>45</v>
      </c>
      <c r="AL527" s="7">
        <f>Table1[[#This Row],[UnitCost]]*(1+15%)</f>
        <v>1625.9504999999997</v>
      </c>
      <c r="AM527" s="9">
        <f>Table1[[#This Row],[Quantity]]*Table1[[#This Row],[Cost of unit by inflation 15%]]</f>
        <v>61786.118999999992</v>
      </c>
      <c r="AN527" s="21" cm="1">
        <f t="array" ref="AN527">_xlfn.UNIQUE(AC527)</f>
        <v>45016</v>
      </c>
    </row>
    <row r="528" spans="1:40" x14ac:dyDescent="0.35">
      <c r="A528" t="s">
        <v>277</v>
      </c>
      <c r="B528" s="21">
        <v>45763</v>
      </c>
      <c r="C528" s="10">
        <v>45773</v>
      </c>
      <c r="D528" s="3">
        <f t="shared" si="96"/>
        <v>10</v>
      </c>
      <c r="E528" s="10" t="str">
        <f t="shared" si="97"/>
        <v>Q2-2025</v>
      </c>
      <c r="F528" t="s">
        <v>645</v>
      </c>
      <c r="G528" t="s">
        <v>650</v>
      </c>
      <c r="H528" t="s">
        <v>662</v>
      </c>
      <c r="I528" t="s">
        <v>705</v>
      </c>
      <c r="J528" t="s">
        <v>708</v>
      </c>
      <c r="K528" t="s">
        <v>720</v>
      </c>
      <c r="L528" t="s">
        <v>730</v>
      </c>
      <c r="M528" t="s">
        <v>995</v>
      </c>
      <c r="N528" s="3">
        <v>1457.44</v>
      </c>
      <c r="O528" s="3">
        <v>1996.81</v>
      </c>
      <c r="P528" s="6">
        <v>0.126</v>
      </c>
      <c r="Q528" s="6">
        <f>IF(Table1[[#This Row],[DiscountPct]]&gt;25%,25%,Table1[[#This Row],[DiscountPct]])</f>
        <v>0.126</v>
      </c>
      <c r="R528" s="5">
        <v>23</v>
      </c>
      <c r="S528" s="6">
        <f t="shared" si="98"/>
        <v>0.37008041497420124</v>
      </c>
      <c r="T528" s="8">
        <f t="shared" si="99"/>
        <v>40139.874619999995</v>
      </c>
      <c r="U528" s="8">
        <f t="shared" si="100"/>
        <v>33521.120000000003</v>
      </c>
      <c r="V528" s="9">
        <f t="shared" si="101"/>
        <v>6618.7546199999924</v>
      </c>
      <c r="W528" s="6">
        <f t="shared" si="102"/>
        <v>0.16489225944672353</v>
      </c>
      <c r="X528" t="str" cm="1">
        <f t="array" ref="X528">_xlfn.IFS(S528&lt;=25%, "Low", S528&lt;=75%, "Medium", S528&gt;75%, "High")</f>
        <v>Medium</v>
      </c>
      <c r="Y528" s="8">
        <f>Table1[[#This Row],[Quantity]]*(Table1[[#This Row],[UnitPrice]]*(1-Table1[[#This Row],[DiscountPct]]))</f>
        <v>40139.874619999995</v>
      </c>
      <c r="Z528" s="9">
        <f t="shared" si="103"/>
        <v>6618.7546199999924</v>
      </c>
      <c r="AA528">
        <f>COUNTIF($G$2:G529,G528)</f>
        <v>37</v>
      </c>
      <c r="AB528" s="21">
        <f t="shared" si="104"/>
        <v>44988</v>
      </c>
      <c r="AC528" s="21">
        <f t="shared" si="105"/>
        <v>45016</v>
      </c>
      <c r="AD528" s="5">
        <f>(Table1[[#This Row],[OrderDate]]-Table1[[#This Row],[Date of first order]])/30</f>
        <v>25.833333333333332</v>
      </c>
      <c r="AE528" t="str">
        <f t="shared" si="106"/>
        <v>Poor</v>
      </c>
      <c r="AF528">
        <f>COUNTIF(AE$2:AE529,AE528)</f>
        <v>379</v>
      </c>
      <c r="AG528" t="str">
        <f t="shared" si="107"/>
        <v>False</v>
      </c>
      <c r="AH528" s="7">
        <f>Table1[[#This Row],[UnitPrice]]*(1-Table1[[#This Row],[Disc Scenario]])*Table1[[#This Row],[Quantity]]</f>
        <v>40139.874619999995</v>
      </c>
      <c r="AI528">
        <f>ROUNDDOWN((Table1[[#This Row],[Quantity]]*(1+20%)),0)</f>
        <v>27</v>
      </c>
      <c r="AJ528" s="7">
        <f>Table1[[#This Row],[Quantity increase by 20%]]*Table1[[#This Row],[UnitPrice]]</f>
        <v>53913.869999999995</v>
      </c>
      <c r="AK528">
        <f>ROUNDDOWN(Table1[[#This Row],[Quantity]]*(1+20%),0)</f>
        <v>27</v>
      </c>
      <c r="AL528" s="7">
        <f>Table1[[#This Row],[UnitCost]]*(1+15%)</f>
        <v>1676.056</v>
      </c>
      <c r="AM528" s="9">
        <f>Table1[[#This Row],[Quantity]]*Table1[[#This Row],[Cost of unit by inflation 15%]]</f>
        <v>38549.288</v>
      </c>
      <c r="AN528" s="21" cm="1">
        <f t="array" ref="AN528">_xlfn.UNIQUE(AC528)</f>
        <v>45016</v>
      </c>
    </row>
    <row r="529" spans="1:40" x14ac:dyDescent="0.35">
      <c r="A529" t="s">
        <v>164</v>
      </c>
      <c r="B529" s="21">
        <v>45763</v>
      </c>
      <c r="C529" s="10">
        <v>45793</v>
      </c>
      <c r="D529" s="3">
        <f t="shared" si="96"/>
        <v>30</v>
      </c>
      <c r="E529" s="10" t="str">
        <f t="shared" si="97"/>
        <v>Q2-2025</v>
      </c>
      <c r="F529" t="s">
        <v>647</v>
      </c>
      <c r="G529" t="s">
        <v>652</v>
      </c>
      <c r="H529" t="s">
        <v>680</v>
      </c>
      <c r="I529" t="s">
        <v>705</v>
      </c>
      <c r="J529" t="s">
        <v>709</v>
      </c>
      <c r="K529" t="s">
        <v>722</v>
      </c>
      <c r="L529" t="s">
        <v>727</v>
      </c>
      <c r="M529" t="s">
        <v>882</v>
      </c>
      <c r="N529" s="3">
        <v>763.32</v>
      </c>
      <c r="O529" s="3">
        <v>1396.8756000000001</v>
      </c>
      <c r="P529" s="6">
        <v>0.13100000000000001</v>
      </c>
      <c r="Q529" s="6">
        <f>IF(Table1[[#This Row],[DiscountPct]]&gt;25%,25%,Table1[[#This Row],[DiscountPct]])</f>
        <v>0.13100000000000001</v>
      </c>
      <c r="R529" s="5">
        <v>16</v>
      </c>
      <c r="S529" s="6">
        <f t="shared" si="98"/>
        <v>0.83</v>
      </c>
      <c r="T529" s="8">
        <f t="shared" si="99"/>
        <v>19422.158342400002</v>
      </c>
      <c r="U529" s="8">
        <f t="shared" si="100"/>
        <v>12213.12</v>
      </c>
      <c r="V529" s="9">
        <f t="shared" si="101"/>
        <v>7209.0383424000011</v>
      </c>
      <c r="W529" s="6">
        <f t="shared" si="102"/>
        <v>0.37117596383004148</v>
      </c>
      <c r="X529" t="str" cm="1">
        <f t="array" ref="X529">_xlfn.IFS(S529&lt;=25%, "Low", S529&lt;=75%, "Medium", S529&gt;75%, "High")</f>
        <v>High</v>
      </c>
      <c r="Y529" s="8">
        <f>Table1[[#This Row],[Quantity]]*(Table1[[#This Row],[UnitPrice]]*(1-Table1[[#This Row],[DiscountPct]]))</f>
        <v>19422.158342400002</v>
      </c>
      <c r="Z529" s="9">
        <f t="shared" si="103"/>
        <v>7209.0383424000011</v>
      </c>
      <c r="AA529">
        <f>COUNTIF($G$2:G530,G529)</f>
        <v>34</v>
      </c>
      <c r="AB529" s="21">
        <f t="shared" si="104"/>
        <v>44988</v>
      </c>
      <c r="AC529" s="21">
        <f t="shared" si="105"/>
        <v>45016</v>
      </c>
      <c r="AD529" s="5">
        <f>(Table1[[#This Row],[OrderDate]]-Table1[[#This Row],[Date of first order]])/30</f>
        <v>25.833333333333332</v>
      </c>
      <c r="AE529" t="str">
        <f t="shared" si="106"/>
        <v>Poor</v>
      </c>
      <c r="AF529">
        <f>COUNTIF(AE$2:AE530,AE529)</f>
        <v>379</v>
      </c>
      <c r="AG529" t="str">
        <f t="shared" si="107"/>
        <v>False</v>
      </c>
      <c r="AH529" s="7">
        <f>Table1[[#This Row],[UnitPrice]]*(1-Table1[[#This Row],[Disc Scenario]])*Table1[[#This Row],[Quantity]]</f>
        <v>19422.158342400002</v>
      </c>
      <c r="AI529">
        <f>ROUNDDOWN((Table1[[#This Row],[Quantity]]*(1+20%)),0)</f>
        <v>19</v>
      </c>
      <c r="AJ529" s="7">
        <f>Table1[[#This Row],[Quantity increase by 20%]]*Table1[[#This Row],[UnitPrice]]</f>
        <v>26540.636400000003</v>
      </c>
      <c r="AK529">
        <f>ROUNDDOWN(Table1[[#This Row],[Quantity]]*(1+20%),0)</f>
        <v>19</v>
      </c>
      <c r="AL529" s="7">
        <f>Table1[[#This Row],[UnitCost]]*(1+15%)</f>
        <v>877.81799999999998</v>
      </c>
      <c r="AM529" s="9">
        <f>Table1[[#This Row],[Quantity]]*Table1[[#This Row],[Cost of unit by inflation 15%]]</f>
        <v>14045.088</v>
      </c>
      <c r="AN529" s="21" cm="1">
        <f t="array" ref="AN529">_xlfn.UNIQUE(AC529)</f>
        <v>45016</v>
      </c>
    </row>
    <row r="530" spans="1:40" x14ac:dyDescent="0.35">
      <c r="A530" t="s">
        <v>598</v>
      </c>
      <c r="B530" s="21">
        <v>45764</v>
      </c>
      <c r="C530" s="10">
        <v>45764</v>
      </c>
      <c r="D530" s="3">
        <f t="shared" si="96"/>
        <v>0</v>
      </c>
      <c r="E530" s="10" t="str">
        <f t="shared" si="97"/>
        <v>Q2-2025</v>
      </c>
      <c r="F530" t="s">
        <v>647</v>
      </c>
      <c r="G530" t="s">
        <v>654</v>
      </c>
      <c r="H530" t="s">
        <v>669</v>
      </c>
      <c r="I530" t="s">
        <v>700</v>
      </c>
      <c r="J530" t="s">
        <v>709</v>
      </c>
      <c r="K530" t="s">
        <v>715</v>
      </c>
      <c r="L530" t="s">
        <v>729</v>
      </c>
      <c r="M530" t="s">
        <v>1314</v>
      </c>
      <c r="N530" s="3">
        <v>719.41</v>
      </c>
      <c r="O530" s="3">
        <v>1125.99</v>
      </c>
      <c r="P530" s="6">
        <v>4.1000000000000002E-2</v>
      </c>
      <c r="Q530" s="6">
        <f>IF(Table1[[#This Row],[DiscountPct]]&gt;25%,25%,Table1[[#This Row],[DiscountPct]])</f>
        <v>4.1000000000000002E-2</v>
      </c>
      <c r="R530" s="5">
        <v>21</v>
      </c>
      <c r="S530" s="6">
        <f t="shared" si="98"/>
        <v>0.56515755966694936</v>
      </c>
      <c r="T530" s="8">
        <f t="shared" si="99"/>
        <v>22676.312610000001</v>
      </c>
      <c r="U530" s="8">
        <f t="shared" si="100"/>
        <v>15107.609999999999</v>
      </c>
      <c r="V530" s="9">
        <f t="shared" si="101"/>
        <v>7568.7026100000021</v>
      </c>
      <c r="W530" s="6">
        <f t="shared" si="102"/>
        <v>0.33377131194876403</v>
      </c>
      <c r="X530" t="str" cm="1">
        <f t="array" ref="X530">_xlfn.IFS(S530&lt;=25%, "Low", S530&lt;=75%, "Medium", S530&gt;75%, "High")</f>
        <v>Medium</v>
      </c>
      <c r="Y530" s="8">
        <f>Table1[[#This Row],[Quantity]]*(Table1[[#This Row],[UnitPrice]]*(1-Table1[[#This Row],[DiscountPct]]))</f>
        <v>22676.312609999997</v>
      </c>
      <c r="Z530" s="9">
        <f t="shared" si="103"/>
        <v>7568.7026099999985</v>
      </c>
      <c r="AA530">
        <f>COUNTIF($G$2:G531,G530)</f>
        <v>53</v>
      </c>
      <c r="AB530" s="21">
        <f t="shared" si="104"/>
        <v>44988</v>
      </c>
      <c r="AC530" s="21">
        <f t="shared" si="105"/>
        <v>45016</v>
      </c>
      <c r="AD530" s="5">
        <f>(Table1[[#This Row],[OrderDate]]-Table1[[#This Row],[Date of first order]])/30</f>
        <v>25.866666666666667</v>
      </c>
      <c r="AE530" t="str">
        <f t="shared" si="106"/>
        <v>Good</v>
      </c>
      <c r="AF530">
        <f>COUNTIF(AE$2:AE531,AE530)</f>
        <v>150</v>
      </c>
      <c r="AG530" t="str">
        <f t="shared" si="107"/>
        <v>False</v>
      </c>
      <c r="AH530" s="7">
        <f>Table1[[#This Row],[UnitPrice]]*(1-Table1[[#This Row],[Disc Scenario]])*Table1[[#This Row],[Quantity]]</f>
        <v>22676.312609999997</v>
      </c>
      <c r="AI530">
        <f>ROUNDDOWN((Table1[[#This Row],[Quantity]]*(1+20%)),0)</f>
        <v>25</v>
      </c>
      <c r="AJ530" s="7">
        <f>Table1[[#This Row],[Quantity increase by 20%]]*Table1[[#This Row],[UnitPrice]]</f>
        <v>28149.75</v>
      </c>
      <c r="AK530">
        <f>ROUNDDOWN(Table1[[#This Row],[Quantity]]*(1+20%),0)</f>
        <v>25</v>
      </c>
      <c r="AL530" s="7">
        <f>Table1[[#This Row],[UnitCost]]*(1+15%)</f>
        <v>827.3214999999999</v>
      </c>
      <c r="AM530" s="9">
        <f>Table1[[#This Row],[Quantity]]*Table1[[#This Row],[Cost of unit by inflation 15%]]</f>
        <v>17373.751499999998</v>
      </c>
      <c r="AN530" s="21" cm="1">
        <f t="array" ref="AN530">_xlfn.UNIQUE(AC530)</f>
        <v>45016</v>
      </c>
    </row>
    <row r="531" spans="1:40" x14ac:dyDescent="0.35">
      <c r="A531" t="s">
        <v>634</v>
      </c>
      <c r="B531" s="21">
        <v>45764</v>
      </c>
      <c r="C531" s="10">
        <v>45780</v>
      </c>
      <c r="D531" s="3">
        <f t="shared" si="96"/>
        <v>16</v>
      </c>
      <c r="E531" s="10" t="str">
        <f t="shared" si="97"/>
        <v>Q2-2025</v>
      </c>
      <c r="F531" t="s">
        <v>647</v>
      </c>
      <c r="G531" t="s">
        <v>654</v>
      </c>
      <c r="H531" t="s">
        <v>691</v>
      </c>
      <c r="I531" t="s">
        <v>703</v>
      </c>
      <c r="J531" t="s">
        <v>708</v>
      </c>
      <c r="K531" t="s">
        <v>712</v>
      </c>
      <c r="L531" t="s">
        <v>728</v>
      </c>
      <c r="M531" t="s">
        <v>1350</v>
      </c>
      <c r="N531" s="3">
        <v>168.68</v>
      </c>
      <c r="O531" s="3">
        <v>413.34</v>
      </c>
      <c r="P531" s="6">
        <v>0.186</v>
      </c>
      <c r="Q531" s="6">
        <f>IF(Table1[[#This Row],[DiscountPct]]&gt;25%,25%,Table1[[#This Row],[DiscountPct]])</f>
        <v>0.186</v>
      </c>
      <c r="R531" s="5">
        <v>7</v>
      </c>
      <c r="S531" s="6">
        <f t="shared" si="98"/>
        <v>1.4504387004979842</v>
      </c>
      <c r="T531" s="8">
        <f t="shared" si="99"/>
        <v>2355.2113199999999</v>
      </c>
      <c r="U531" s="8">
        <f t="shared" si="100"/>
        <v>1180.76</v>
      </c>
      <c r="V531" s="9">
        <f t="shared" si="101"/>
        <v>1174.4513199999999</v>
      </c>
      <c r="W531" s="6">
        <f t="shared" si="102"/>
        <v>0.49866069767361682</v>
      </c>
      <c r="X531" t="str" cm="1">
        <f t="array" ref="X531">_xlfn.IFS(S531&lt;=25%, "Low", S531&lt;=75%, "Medium", S531&gt;75%, "High")</f>
        <v>High</v>
      </c>
      <c r="Y531" s="8">
        <f>Table1[[#This Row],[Quantity]]*(Table1[[#This Row],[UnitPrice]]*(1-Table1[[#This Row],[DiscountPct]]))</f>
        <v>2355.2113199999999</v>
      </c>
      <c r="Z531" s="9">
        <f t="shared" si="103"/>
        <v>1174.4513199999999</v>
      </c>
      <c r="AA531">
        <f>COUNTIF($G$2:G532,G531)</f>
        <v>53</v>
      </c>
      <c r="AB531" s="21">
        <f t="shared" si="104"/>
        <v>44988</v>
      </c>
      <c r="AC531" s="21">
        <f t="shared" si="105"/>
        <v>45016</v>
      </c>
      <c r="AD531" s="5">
        <f>(Table1[[#This Row],[OrderDate]]-Table1[[#This Row],[Date of first order]])/30</f>
        <v>25.866666666666667</v>
      </c>
      <c r="AE531" t="str">
        <f t="shared" si="106"/>
        <v>Poor</v>
      </c>
      <c r="AF531">
        <f>COUNTIF(AE$2:AE532,AE531)</f>
        <v>381</v>
      </c>
      <c r="AG531" t="str">
        <f t="shared" si="107"/>
        <v>False</v>
      </c>
      <c r="AH531" s="7">
        <f>Table1[[#This Row],[UnitPrice]]*(1-Table1[[#This Row],[Disc Scenario]])*Table1[[#This Row],[Quantity]]</f>
        <v>2355.2113199999999</v>
      </c>
      <c r="AI531">
        <f>ROUNDDOWN((Table1[[#This Row],[Quantity]]*(1+20%)),0)</f>
        <v>8</v>
      </c>
      <c r="AJ531" s="7">
        <f>Table1[[#This Row],[Quantity increase by 20%]]*Table1[[#This Row],[UnitPrice]]</f>
        <v>3306.72</v>
      </c>
      <c r="AK531">
        <f>ROUNDDOWN(Table1[[#This Row],[Quantity]]*(1+20%),0)</f>
        <v>8</v>
      </c>
      <c r="AL531" s="7">
        <f>Table1[[#This Row],[UnitCost]]*(1+15%)</f>
        <v>193.982</v>
      </c>
      <c r="AM531" s="9">
        <f>Table1[[#This Row],[Quantity]]*Table1[[#This Row],[Cost of unit by inflation 15%]]</f>
        <v>1357.874</v>
      </c>
      <c r="AN531" s="21" cm="1">
        <f t="array" ref="AN531">_xlfn.UNIQUE(AC531)</f>
        <v>45016</v>
      </c>
    </row>
    <row r="532" spans="1:40" x14ac:dyDescent="0.35">
      <c r="A532" t="s">
        <v>260</v>
      </c>
      <c r="B532" s="21">
        <v>45769</v>
      </c>
      <c r="C532" s="10">
        <v>45779</v>
      </c>
      <c r="D532" s="3">
        <f t="shared" si="96"/>
        <v>10</v>
      </c>
      <c r="E532" s="10" t="str">
        <f t="shared" si="97"/>
        <v>Q2-2025</v>
      </c>
      <c r="F532" t="s">
        <v>648</v>
      </c>
      <c r="G532" t="s">
        <v>655</v>
      </c>
      <c r="H532" t="s">
        <v>670</v>
      </c>
      <c r="I532" t="s">
        <v>700</v>
      </c>
      <c r="J532" t="s">
        <v>708</v>
      </c>
      <c r="K532" t="s">
        <v>711</v>
      </c>
      <c r="L532" t="s">
        <v>731</v>
      </c>
      <c r="M532" t="s">
        <v>978</v>
      </c>
      <c r="N532" s="3">
        <v>20.149999999999999</v>
      </c>
      <c r="O532" s="3">
        <v>39.74</v>
      </c>
      <c r="P532" s="6">
        <v>0.151</v>
      </c>
      <c r="Q532" s="6">
        <f>IF(Table1[[#This Row],[DiscountPct]]&gt;25%,25%,Table1[[#This Row],[DiscountPct]])</f>
        <v>0.151</v>
      </c>
      <c r="R532" s="5">
        <v>18</v>
      </c>
      <c r="S532" s="6">
        <f t="shared" si="98"/>
        <v>0.97220843672456603</v>
      </c>
      <c r="T532" s="8">
        <f t="shared" si="99"/>
        <v>607.30668000000003</v>
      </c>
      <c r="U532" s="8">
        <f t="shared" si="100"/>
        <v>362.7</v>
      </c>
      <c r="V532" s="9">
        <f t="shared" si="101"/>
        <v>244.60668000000004</v>
      </c>
      <c r="W532" s="6">
        <f t="shared" si="102"/>
        <v>0.4027729120318585</v>
      </c>
      <c r="X532" t="str" cm="1">
        <f t="array" ref="X532">_xlfn.IFS(S532&lt;=25%, "Low", S532&lt;=75%, "Medium", S532&gt;75%, "High")</f>
        <v>High</v>
      </c>
      <c r="Y532" s="8">
        <f>Table1[[#This Row],[Quantity]]*(Table1[[#This Row],[UnitPrice]]*(1-Table1[[#This Row],[DiscountPct]]))</f>
        <v>607.30668000000003</v>
      </c>
      <c r="Z532" s="9">
        <f t="shared" si="103"/>
        <v>244.60668000000004</v>
      </c>
      <c r="AA532">
        <f>COUNTIF($G$2:G533,G532)</f>
        <v>44</v>
      </c>
      <c r="AB532" s="21">
        <f t="shared" si="104"/>
        <v>44988</v>
      </c>
      <c r="AC532" s="21">
        <f t="shared" si="105"/>
        <v>45016</v>
      </c>
      <c r="AD532" s="5">
        <f>(Table1[[#This Row],[OrderDate]]-Table1[[#This Row],[Date of first order]])/30</f>
        <v>26.033333333333335</v>
      </c>
      <c r="AE532" t="str">
        <f t="shared" si="106"/>
        <v>Poor</v>
      </c>
      <c r="AF532">
        <f>COUNTIF(AE$2:AE533,AE532)</f>
        <v>382</v>
      </c>
      <c r="AG532" t="str">
        <f t="shared" si="107"/>
        <v>False</v>
      </c>
      <c r="AH532" s="7">
        <f>Table1[[#This Row],[UnitPrice]]*(1-Table1[[#This Row],[Disc Scenario]])*Table1[[#This Row],[Quantity]]</f>
        <v>607.30668000000003</v>
      </c>
      <c r="AI532">
        <f>ROUNDDOWN((Table1[[#This Row],[Quantity]]*(1+20%)),0)</f>
        <v>21</v>
      </c>
      <c r="AJ532" s="7">
        <f>Table1[[#This Row],[Quantity increase by 20%]]*Table1[[#This Row],[UnitPrice]]</f>
        <v>834.54000000000008</v>
      </c>
      <c r="AK532">
        <f>ROUNDDOWN(Table1[[#This Row],[Quantity]]*(1+20%),0)</f>
        <v>21</v>
      </c>
      <c r="AL532" s="7">
        <f>Table1[[#This Row],[UnitCost]]*(1+15%)</f>
        <v>23.172499999999996</v>
      </c>
      <c r="AM532" s="9">
        <f>Table1[[#This Row],[Quantity]]*Table1[[#This Row],[Cost of unit by inflation 15%]]</f>
        <v>417.1049999999999</v>
      </c>
      <c r="AN532" s="21" cm="1">
        <f t="array" ref="AN532">_xlfn.UNIQUE(AC532)</f>
        <v>45016</v>
      </c>
    </row>
    <row r="533" spans="1:40" x14ac:dyDescent="0.35">
      <c r="A533" t="s">
        <v>545</v>
      </c>
      <c r="B533" s="21">
        <v>45769</v>
      </c>
      <c r="C533" s="10">
        <v>45789</v>
      </c>
      <c r="D533" s="3">
        <f t="shared" si="96"/>
        <v>20</v>
      </c>
      <c r="E533" s="10" t="str">
        <f t="shared" si="97"/>
        <v>Q2-2025</v>
      </c>
      <c r="F533" t="s">
        <v>648</v>
      </c>
      <c r="G533" t="s">
        <v>656</v>
      </c>
      <c r="H533" t="s">
        <v>678</v>
      </c>
      <c r="I533" t="s">
        <v>705</v>
      </c>
      <c r="J533" t="s">
        <v>708</v>
      </c>
      <c r="K533" t="s">
        <v>722</v>
      </c>
      <c r="L533" t="s">
        <v>731</v>
      </c>
      <c r="M533" t="s">
        <v>1262</v>
      </c>
      <c r="N533" s="3">
        <v>59.51</v>
      </c>
      <c r="O533" s="3">
        <v>67.040000000000006</v>
      </c>
      <c r="P533" s="6">
        <v>0.114</v>
      </c>
      <c r="Q533" s="6">
        <f>IF(Table1[[#This Row],[DiscountPct]]&gt;25%,25%,Table1[[#This Row],[DiscountPct]])</f>
        <v>0.114</v>
      </c>
      <c r="R533" s="5">
        <v>9</v>
      </c>
      <c r="S533" s="6">
        <f t="shared" si="98"/>
        <v>0.12653335573853147</v>
      </c>
      <c r="T533" s="8">
        <f t="shared" si="99"/>
        <v>534.57695999999999</v>
      </c>
      <c r="U533" s="8">
        <f t="shared" si="100"/>
        <v>535.59</v>
      </c>
      <c r="V533" s="9">
        <f t="shared" si="101"/>
        <v>-1.0130400000000463</v>
      </c>
      <c r="W533" s="6">
        <f t="shared" si="102"/>
        <v>-1.8950311663264469E-3</v>
      </c>
      <c r="X533" t="str" cm="1">
        <f t="array" ref="X533">_xlfn.IFS(S533&lt;=25%, "Low", S533&lt;=75%, "Medium", S533&gt;75%, "High")</f>
        <v>Low</v>
      </c>
      <c r="Y533" s="8">
        <f>Table1[[#This Row],[Quantity]]*(Table1[[#This Row],[UnitPrice]]*(1-Table1[[#This Row],[DiscountPct]]))</f>
        <v>534.57695999999999</v>
      </c>
      <c r="Z533" s="9">
        <f t="shared" si="103"/>
        <v>-1.0130400000000463</v>
      </c>
      <c r="AA533">
        <f>COUNTIF($G$2:G534,G533)</f>
        <v>45</v>
      </c>
      <c r="AB533" s="21">
        <f t="shared" si="104"/>
        <v>44988</v>
      </c>
      <c r="AC533" s="21">
        <f t="shared" si="105"/>
        <v>45016</v>
      </c>
      <c r="AD533" s="5">
        <f>(Table1[[#This Row],[OrderDate]]-Table1[[#This Row],[Date of first order]])/30</f>
        <v>26.033333333333335</v>
      </c>
      <c r="AE533" t="str">
        <f t="shared" si="106"/>
        <v>Poor</v>
      </c>
      <c r="AF533">
        <f>COUNTIF(AE$2:AE534,AE533)</f>
        <v>382</v>
      </c>
      <c r="AG533" t="str">
        <f t="shared" si="107"/>
        <v>False</v>
      </c>
      <c r="AH533" s="7">
        <f>Table1[[#This Row],[UnitPrice]]*(1-Table1[[#This Row],[Disc Scenario]])*Table1[[#This Row],[Quantity]]</f>
        <v>534.57695999999999</v>
      </c>
      <c r="AI533">
        <f>ROUNDDOWN((Table1[[#This Row],[Quantity]]*(1+20%)),0)</f>
        <v>10</v>
      </c>
      <c r="AJ533" s="7">
        <f>Table1[[#This Row],[Quantity increase by 20%]]*Table1[[#This Row],[UnitPrice]]</f>
        <v>670.40000000000009</v>
      </c>
      <c r="AK533">
        <f>ROUNDDOWN(Table1[[#This Row],[Quantity]]*(1+20%),0)</f>
        <v>10</v>
      </c>
      <c r="AL533" s="7">
        <f>Table1[[#This Row],[UnitCost]]*(1+15%)</f>
        <v>68.436499999999995</v>
      </c>
      <c r="AM533" s="9">
        <f>Table1[[#This Row],[Quantity]]*Table1[[#This Row],[Cost of unit by inflation 15%]]</f>
        <v>615.92849999999999</v>
      </c>
      <c r="AN533" s="21" cm="1">
        <f t="array" ref="AN533">_xlfn.UNIQUE(AC533)</f>
        <v>45016</v>
      </c>
    </row>
    <row r="534" spans="1:40" x14ac:dyDescent="0.35">
      <c r="A534" t="s">
        <v>98</v>
      </c>
      <c r="B534" s="21">
        <v>45769</v>
      </c>
      <c r="C534" s="10">
        <v>45770</v>
      </c>
      <c r="D534" s="3">
        <f t="shared" si="96"/>
        <v>1</v>
      </c>
      <c r="E534" s="10" t="str">
        <f t="shared" si="97"/>
        <v>Q2-2025</v>
      </c>
      <c r="F534" t="s">
        <v>647</v>
      </c>
      <c r="G534" t="s">
        <v>659</v>
      </c>
      <c r="H534" t="s">
        <v>685</v>
      </c>
      <c r="I534" t="s">
        <v>702</v>
      </c>
      <c r="J534" t="s">
        <v>709</v>
      </c>
      <c r="K534" t="s">
        <v>725</v>
      </c>
      <c r="L534" t="s">
        <v>731</v>
      </c>
      <c r="M534" t="s">
        <v>816</v>
      </c>
      <c r="N534" s="3">
        <v>23.24</v>
      </c>
      <c r="O534" s="3">
        <v>44.57</v>
      </c>
      <c r="P534" s="6">
        <v>0.215</v>
      </c>
      <c r="Q534" s="6">
        <f>IF(Table1[[#This Row],[DiscountPct]]&gt;25%,25%,Table1[[#This Row],[DiscountPct]])</f>
        <v>0.215</v>
      </c>
      <c r="R534" s="5">
        <v>15</v>
      </c>
      <c r="S534" s="6">
        <f t="shared" si="98"/>
        <v>0.91781411359724629</v>
      </c>
      <c r="T534" s="8">
        <f t="shared" si="99"/>
        <v>524.81174999999996</v>
      </c>
      <c r="U534" s="8">
        <f t="shared" si="100"/>
        <v>348.59999999999997</v>
      </c>
      <c r="V534" s="9">
        <f t="shared" si="101"/>
        <v>176.21174999999999</v>
      </c>
      <c r="W534" s="6">
        <f t="shared" si="102"/>
        <v>0.33576182316802167</v>
      </c>
      <c r="X534" t="str" cm="1">
        <f t="array" ref="X534">_xlfn.IFS(S534&lt;=25%, "Low", S534&lt;=75%, "Medium", S534&gt;75%, "High")</f>
        <v>High</v>
      </c>
      <c r="Y534" s="8">
        <f>Table1[[#This Row],[Quantity]]*(Table1[[#This Row],[UnitPrice]]*(1-Table1[[#This Row],[DiscountPct]]))</f>
        <v>524.81175000000007</v>
      </c>
      <c r="Z534" s="9">
        <f t="shared" si="103"/>
        <v>176.21175000000011</v>
      </c>
      <c r="AA534">
        <f>COUNTIF($G$2:G535,G534)</f>
        <v>46</v>
      </c>
      <c r="AB534" s="21">
        <f t="shared" si="104"/>
        <v>44988</v>
      </c>
      <c r="AC534" s="21">
        <f t="shared" si="105"/>
        <v>45016</v>
      </c>
      <c r="AD534" s="5">
        <f>(Table1[[#This Row],[OrderDate]]-Table1[[#This Row],[Date of first order]])/30</f>
        <v>26.033333333333335</v>
      </c>
      <c r="AE534" t="str">
        <f t="shared" si="106"/>
        <v>Good</v>
      </c>
      <c r="AF534">
        <f>COUNTIF(AE$2:AE535,AE534)</f>
        <v>151</v>
      </c>
      <c r="AG534" t="str">
        <f t="shared" si="107"/>
        <v>True</v>
      </c>
      <c r="AH534" s="7">
        <f>Table1[[#This Row],[UnitPrice]]*(1-Table1[[#This Row],[Disc Scenario]])*Table1[[#This Row],[Quantity]]</f>
        <v>524.81175000000007</v>
      </c>
      <c r="AI534">
        <f>ROUNDDOWN((Table1[[#This Row],[Quantity]]*(1+20%)),0)</f>
        <v>18</v>
      </c>
      <c r="AJ534" s="7">
        <f>Table1[[#This Row],[Quantity increase by 20%]]*Table1[[#This Row],[UnitPrice]]</f>
        <v>802.26</v>
      </c>
      <c r="AK534">
        <f>ROUNDDOWN(Table1[[#This Row],[Quantity]]*(1+20%),0)</f>
        <v>18</v>
      </c>
      <c r="AL534" s="7">
        <f>Table1[[#This Row],[UnitCost]]*(1+15%)</f>
        <v>26.725999999999996</v>
      </c>
      <c r="AM534" s="9">
        <f>Table1[[#This Row],[Quantity]]*Table1[[#This Row],[Cost of unit by inflation 15%]]</f>
        <v>400.88999999999993</v>
      </c>
      <c r="AN534" s="21" cm="1">
        <f t="array" ref="AN534">_xlfn.UNIQUE(AC534)</f>
        <v>45016</v>
      </c>
    </row>
    <row r="535" spans="1:40" x14ac:dyDescent="0.35">
      <c r="A535" t="s">
        <v>244</v>
      </c>
      <c r="B535" s="21">
        <v>45771</v>
      </c>
      <c r="C535" s="10">
        <v>45783</v>
      </c>
      <c r="D535" s="3">
        <f t="shared" si="96"/>
        <v>12</v>
      </c>
      <c r="E535" s="10" t="str">
        <f t="shared" si="97"/>
        <v>Q2-2025</v>
      </c>
      <c r="F535" t="s">
        <v>647</v>
      </c>
      <c r="G535" t="s">
        <v>654</v>
      </c>
      <c r="H535" t="s">
        <v>671</v>
      </c>
      <c r="I535" t="s">
        <v>703</v>
      </c>
      <c r="J535" t="s">
        <v>707</v>
      </c>
      <c r="K535" t="s">
        <v>711</v>
      </c>
      <c r="L535" t="s">
        <v>729</v>
      </c>
      <c r="M535" t="s">
        <v>962</v>
      </c>
      <c r="N535" s="3">
        <v>394.13</v>
      </c>
      <c r="O535" s="3">
        <v>932.29</v>
      </c>
      <c r="P535" s="6">
        <v>0.109</v>
      </c>
      <c r="Q535" s="6">
        <f>IF(Table1[[#This Row],[DiscountPct]]&gt;25%,25%,Table1[[#This Row],[DiscountPct]])</f>
        <v>0.109</v>
      </c>
      <c r="R535" s="5">
        <v>7</v>
      </c>
      <c r="S535" s="6">
        <f t="shared" si="98"/>
        <v>1.3654377997107552</v>
      </c>
      <c r="T535" s="8">
        <f t="shared" si="99"/>
        <v>5814.6927299999998</v>
      </c>
      <c r="U535" s="8">
        <f t="shared" si="100"/>
        <v>2758.91</v>
      </c>
      <c r="V535" s="9">
        <f t="shared" si="101"/>
        <v>3055.7827299999999</v>
      </c>
      <c r="W535" s="6">
        <f t="shared" si="102"/>
        <v>0.5255278089303268</v>
      </c>
      <c r="X535" t="str" cm="1">
        <f t="array" ref="X535">_xlfn.IFS(S535&lt;=25%, "Low", S535&lt;=75%, "Medium", S535&gt;75%, "High")</f>
        <v>High</v>
      </c>
      <c r="Y535" s="8">
        <f>Table1[[#This Row],[Quantity]]*(Table1[[#This Row],[UnitPrice]]*(1-Table1[[#This Row],[DiscountPct]]))</f>
        <v>5814.6927299999998</v>
      </c>
      <c r="Z535" s="9">
        <f t="shared" si="103"/>
        <v>3055.7827299999999</v>
      </c>
      <c r="AA535">
        <f>COUNTIF($G$2:G536,G535)</f>
        <v>54</v>
      </c>
      <c r="AB535" s="21">
        <f t="shared" si="104"/>
        <v>44988</v>
      </c>
      <c r="AC535" s="21">
        <f t="shared" si="105"/>
        <v>45016</v>
      </c>
      <c r="AD535" s="5">
        <f>(Table1[[#This Row],[OrderDate]]-Table1[[#This Row],[Date of first order]])/30</f>
        <v>26.1</v>
      </c>
      <c r="AE535" t="str">
        <f t="shared" si="106"/>
        <v>Poor</v>
      </c>
      <c r="AF535">
        <f>COUNTIF(AE$2:AE536,AE535)</f>
        <v>384</v>
      </c>
      <c r="AG535" t="str">
        <f t="shared" si="107"/>
        <v>False</v>
      </c>
      <c r="AH535" s="7">
        <f>Table1[[#This Row],[UnitPrice]]*(1-Table1[[#This Row],[Disc Scenario]])*Table1[[#This Row],[Quantity]]</f>
        <v>5814.6927299999998</v>
      </c>
      <c r="AI535">
        <f>ROUNDDOWN((Table1[[#This Row],[Quantity]]*(1+20%)),0)</f>
        <v>8</v>
      </c>
      <c r="AJ535" s="7">
        <f>Table1[[#This Row],[Quantity increase by 20%]]*Table1[[#This Row],[UnitPrice]]</f>
        <v>7458.32</v>
      </c>
      <c r="AK535">
        <f>ROUNDDOWN(Table1[[#This Row],[Quantity]]*(1+20%),0)</f>
        <v>8</v>
      </c>
      <c r="AL535" s="7">
        <f>Table1[[#This Row],[UnitCost]]*(1+15%)</f>
        <v>453.24949999999995</v>
      </c>
      <c r="AM535" s="9">
        <f>Table1[[#This Row],[Quantity]]*Table1[[#This Row],[Cost of unit by inflation 15%]]</f>
        <v>3172.7464999999997</v>
      </c>
      <c r="AN535" s="21" cm="1">
        <f t="array" ref="AN535">_xlfn.UNIQUE(AC535)</f>
        <v>45016</v>
      </c>
    </row>
    <row r="536" spans="1:40" x14ac:dyDescent="0.35">
      <c r="A536" t="s">
        <v>519</v>
      </c>
      <c r="B536" s="21">
        <v>45774</v>
      </c>
      <c r="C536" s="10">
        <v>45794</v>
      </c>
      <c r="D536" s="3">
        <f t="shared" si="96"/>
        <v>20</v>
      </c>
      <c r="E536" s="10" t="str">
        <f t="shared" si="97"/>
        <v>Q2-2025</v>
      </c>
      <c r="F536" t="s">
        <v>647</v>
      </c>
      <c r="G536" t="s">
        <v>659</v>
      </c>
      <c r="H536" t="s">
        <v>696</v>
      </c>
      <c r="I536" t="s">
        <v>700</v>
      </c>
      <c r="J536" t="s">
        <v>710</v>
      </c>
      <c r="K536" t="s">
        <v>724</v>
      </c>
      <c r="L536" t="s">
        <v>729</v>
      </c>
      <c r="M536" t="s">
        <v>1236</v>
      </c>
      <c r="N536" s="3">
        <v>932.26</v>
      </c>
      <c r="O536" s="3">
        <v>1624.67</v>
      </c>
      <c r="P536" s="6">
        <v>0.23499999999999999</v>
      </c>
      <c r="Q536" s="6">
        <f>IF(Table1[[#This Row],[DiscountPct]]&gt;25%,25%,Table1[[#This Row],[DiscountPct]])</f>
        <v>0.23499999999999999</v>
      </c>
      <c r="R536" s="5">
        <v>28</v>
      </c>
      <c r="S536" s="6">
        <f t="shared" si="98"/>
        <v>0.7427219874283999</v>
      </c>
      <c r="T536" s="8">
        <f t="shared" si="99"/>
        <v>34800.431400000001</v>
      </c>
      <c r="U536" s="8">
        <f t="shared" si="100"/>
        <v>26103.279999999999</v>
      </c>
      <c r="V536" s="9">
        <f t="shared" si="101"/>
        <v>8697.1514000000025</v>
      </c>
      <c r="W536" s="6">
        <f t="shared" si="102"/>
        <v>0.24991504559337163</v>
      </c>
      <c r="X536" t="str" cm="1">
        <f t="array" ref="X536">_xlfn.IFS(S536&lt;=25%, "Low", S536&lt;=75%, "Medium", S536&gt;75%, "High")</f>
        <v>Medium</v>
      </c>
      <c r="Y536" s="8">
        <f>Table1[[#This Row],[Quantity]]*(Table1[[#This Row],[UnitPrice]]*(1-Table1[[#This Row],[DiscountPct]]))</f>
        <v>34800.431400000001</v>
      </c>
      <c r="Z536" s="9">
        <f t="shared" si="103"/>
        <v>8697.1514000000025</v>
      </c>
      <c r="AA536">
        <f>COUNTIF($G$2:G537,G536)</f>
        <v>47</v>
      </c>
      <c r="AB536" s="21">
        <f t="shared" si="104"/>
        <v>44988</v>
      </c>
      <c r="AC536" s="21">
        <f t="shared" si="105"/>
        <v>45016</v>
      </c>
      <c r="AD536" s="5">
        <f>(Table1[[#This Row],[OrderDate]]-Table1[[#This Row],[Date of first order]])/30</f>
        <v>26.2</v>
      </c>
      <c r="AE536" t="str">
        <f t="shared" si="106"/>
        <v>Poor</v>
      </c>
      <c r="AF536">
        <f>COUNTIF(AE$2:AE537,AE536)</f>
        <v>385</v>
      </c>
      <c r="AG536" t="str">
        <f t="shared" si="107"/>
        <v>True</v>
      </c>
      <c r="AH536" s="7">
        <f>Table1[[#This Row],[UnitPrice]]*(1-Table1[[#This Row],[Disc Scenario]])*Table1[[#This Row],[Quantity]]</f>
        <v>34800.431400000001</v>
      </c>
      <c r="AI536">
        <f>ROUNDDOWN((Table1[[#This Row],[Quantity]]*(1+20%)),0)</f>
        <v>33</v>
      </c>
      <c r="AJ536" s="7">
        <f>Table1[[#This Row],[Quantity increase by 20%]]*Table1[[#This Row],[UnitPrice]]</f>
        <v>53614.11</v>
      </c>
      <c r="AK536">
        <f>ROUNDDOWN(Table1[[#This Row],[Quantity]]*(1+20%),0)</f>
        <v>33</v>
      </c>
      <c r="AL536" s="7">
        <f>Table1[[#This Row],[UnitCost]]*(1+15%)</f>
        <v>1072.0989999999999</v>
      </c>
      <c r="AM536" s="9">
        <f>Table1[[#This Row],[Quantity]]*Table1[[#This Row],[Cost of unit by inflation 15%]]</f>
        <v>30018.771999999997</v>
      </c>
      <c r="AN536" s="21" cm="1">
        <f t="array" ref="AN536">_xlfn.UNIQUE(AC536)</f>
        <v>45016</v>
      </c>
    </row>
    <row r="537" spans="1:40" x14ac:dyDescent="0.35">
      <c r="A537" t="s">
        <v>77</v>
      </c>
      <c r="B537" s="21">
        <v>45774</v>
      </c>
      <c r="C537" s="10">
        <v>45802</v>
      </c>
      <c r="D537" s="3">
        <f t="shared" si="96"/>
        <v>28</v>
      </c>
      <c r="E537" s="10" t="str">
        <f t="shared" si="97"/>
        <v>Q2-2025</v>
      </c>
      <c r="F537" t="s">
        <v>648</v>
      </c>
      <c r="G537" t="s">
        <v>656</v>
      </c>
      <c r="H537" t="s">
        <v>689</v>
      </c>
      <c r="I537" t="s">
        <v>704</v>
      </c>
      <c r="J537" t="s">
        <v>708</v>
      </c>
      <c r="K537" t="s">
        <v>713</v>
      </c>
      <c r="L537" t="s">
        <v>729</v>
      </c>
      <c r="M537" t="s">
        <v>795</v>
      </c>
      <c r="N537" s="3">
        <v>603.45000000000005</v>
      </c>
      <c r="O537" s="3">
        <v>1244.08</v>
      </c>
      <c r="P537" s="6">
        <v>0.2</v>
      </c>
      <c r="Q537" s="6">
        <f>IF(Table1[[#This Row],[DiscountPct]]&gt;25%,25%,Table1[[#This Row],[DiscountPct]])</f>
        <v>0.2</v>
      </c>
      <c r="R537" s="5">
        <v>11</v>
      </c>
      <c r="S537" s="6">
        <f t="shared" si="98"/>
        <v>1.0616123953931558</v>
      </c>
      <c r="T537" s="8">
        <f t="shared" si="99"/>
        <v>10947.904</v>
      </c>
      <c r="U537" s="8">
        <f t="shared" si="100"/>
        <v>6637.9500000000007</v>
      </c>
      <c r="V537" s="9">
        <f t="shared" si="101"/>
        <v>4309.9539999999997</v>
      </c>
      <c r="W537" s="6">
        <f t="shared" si="102"/>
        <v>0.39367846119220623</v>
      </c>
      <c r="X537" t="str" cm="1">
        <f t="array" ref="X537">_xlfn.IFS(S537&lt;=25%, "Low", S537&lt;=75%, "Medium", S537&gt;75%, "High")</f>
        <v>High</v>
      </c>
      <c r="Y537" s="8">
        <f>Table1[[#This Row],[Quantity]]*(Table1[[#This Row],[UnitPrice]]*(1-Table1[[#This Row],[DiscountPct]]))</f>
        <v>10947.904</v>
      </c>
      <c r="Z537" s="9">
        <f t="shared" si="103"/>
        <v>4309.9539999999997</v>
      </c>
      <c r="AA537">
        <f>COUNTIF($G$2:G538,G537)</f>
        <v>46</v>
      </c>
      <c r="AB537" s="21">
        <f t="shared" si="104"/>
        <v>44988</v>
      </c>
      <c r="AC537" s="21">
        <f t="shared" si="105"/>
        <v>45016</v>
      </c>
      <c r="AD537" s="5">
        <f>(Table1[[#This Row],[OrderDate]]-Table1[[#This Row],[Date of first order]])/30</f>
        <v>26.2</v>
      </c>
      <c r="AE537" t="str">
        <f t="shared" si="106"/>
        <v>Poor</v>
      </c>
      <c r="AF537">
        <f>COUNTIF(AE$2:AE538,AE537)</f>
        <v>386</v>
      </c>
      <c r="AG537" t="str">
        <f t="shared" si="107"/>
        <v>False</v>
      </c>
      <c r="AH537" s="7">
        <f>Table1[[#This Row],[UnitPrice]]*(1-Table1[[#This Row],[Disc Scenario]])*Table1[[#This Row],[Quantity]]</f>
        <v>10947.904</v>
      </c>
      <c r="AI537">
        <f>ROUNDDOWN((Table1[[#This Row],[Quantity]]*(1+20%)),0)</f>
        <v>13</v>
      </c>
      <c r="AJ537" s="7">
        <f>Table1[[#This Row],[Quantity increase by 20%]]*Table1[[#This Row],[UnitPrice]]</f>
        <v>16173.039999999999</v>
      </c>
      <c r="AK537">
        <f>ROUNDDOWN(Table1[[#This Row],[Quantity]]*(1+20%),0)</f>
        <v>13</v>
      </c>
      <c r="AL537" s="7">
        <f>Table1[[#This Row],[UnitCost]]*(1+15%)</f>
        <v>693.96749999999997</v>
      </c>
      <c r="AM537" s="9">
        <f>Table1[[#This Row],[Quantity]]*Table1[[#This Row],[Cost of unit by inflation 15%]]</f>
        <v>7633.6424999999999</v>
      </c>
      <c r="AN537" s="21" cm="1">
        <f t="array" ref="AN537">_xlfn.UNIQUE(AC537)</f>
        <v>45016</v>
      </c>
    </row>
    <row r="538" spans="1:40" x14ac:dyDescent="0.35">
      <c r="A538" t="s">
        <v>347</v>
      </c>
      <c r="B538" s="21">
        <v>45774</v>
      </c>
      <c r="C538" s="10">
        <v>45804</v>
      </c>
      <c r="D538" s="3">
        <f t="shared" si="96"/>
        <v>30</v>
      </c>
      <c r="E538" s="10" t="str">
        <f t="shared" si="97"/>
        <v>Q2-2025</v>
      </c>
      <c r="F538" t="s">
        <v>646</v>
      </c>
      <c r="G538" t="s">
        <v>653</v>
      </c>
      <c r="H538" t="s">
        <v>679</v>
      </c>
      <c r="I538" t="s">
        <v>705</v>
      </c>
      <c r="J538" t="s">
        <v>708</v>
      </c>
      <c r="K538" t="s">
        <v>721</v>
      </c>
      <c r="L538" t="s">
        <v>729</v>
      </c>
      <c r="M538" t="s">
        <v>1065</v>
      </c>
      <c r="N538" s="3">
        <v>481.32</v>
      </c>
      <c r="O538" s="3">
        <v>1135.99</v>
      </c>
      <c r="P538" s="6">
        <v>0.14499999999999999</v>
      </c>
      <c r="Q538" s="6">
        <f>IF(Table1[[#This Row],[DiscountPct]]&gt;25%,25%,Table1[[#This Row],[DiscountPct]])</f>
        <v>0.14499999999999999</v>
      </c>
      <c r="R538" s="5">
        <v>5</v>
      </c>
      <c r="S538" s="6">
        <f t="shared" si="98"/>
        <v>1.3601554059669245</v>
      </c>
      <c r="T538" s="8">
        <f t="shared" si="99"/>
        <v>4856.35725</v>
      </c>
      <c r="U538" s="8">
        <f t="shared" si="100"/>
        <v>2406.6</v>
      </c>
      <c r="V538" s="9">
        <f t="shared" si="101"/>
        <v>2449.7572500000001</v>
      </c>
      <c r="W538" s="6">
        <f t="shared" si="102"/>
        <v>0.50444337677175621</v>
      </c>
      <c r="X538" t="str" cm="1">
        <f t="array" ref="X538">_xlfn.IFS(S538&lt;=25%, "Low", S538&lt;=75%, "Medium", S538&gt;75%, "High")</f>
        <v>High</v>
      </c>
      <c r="Y538" s="8">
        <f>Table1[[#This Row],[Quantity]]*(Table1[[#This Row],[UnitPrice]]*(1-Table1[[#This Row],[DiscountPct]]))</f>
        <v>4856.35725</v>
      </c>
      <c r="Z538" s="9">
        <f t="shared" si="103"/>
        <v>2449.7572500000001</v>
      </c>
      <c r="AA538">
        <f>COUNTIF($G$2:G539,G538)</f>
        <v>51</v>
      </c>
      <c r="AB538" s="21">
        <f t="shared" si="104"/>
        <v>44988</v>
      </c>
      <c r="AC538" s="21">
        <f t="shared" si="105"/>
        <v>45016</v>
      </c>
      <c r="AD538" s="5">
        <f>(Table1[[#This Row],[OrderDate]]-Table1[[#This Row],[Date of first order]])/30</f>
        <v>26.2</v>
      </c>
      <c r="AE538" t="str">
        <f t="shared" si="106"/>
        <v>Poor</v>
      </c>
      <c r="AF538">
        <f>COUNTIF(AE$2:AE539,AE538)</f>
        <v>387</v>
      </c>
      <c r="AG538" t="str">
        <f t="shared" si="107"/>
        <v>False</v>
      </c>
      <c r="AH538" s="7">
        <f>Table1[[#This Row],[UnitPrice]]*(1-Table1[[#This Row],[Disc Scenario]])*Table1[[#This Row],[Quantity]]</f>
        <v>4856.35725</v>
      </c>
      <c r="AI538">
        <f>ROUNDDOWN((Table1[[#This Row],[Quantity]]*(1+20%)),0)</f>
        <v>6</v>
      </c>
      <c r="AJ538" s="7">
        <f>Table1[[#This Row],[Quantity increase by 20%]]*Table1[[#This Row],[UnitPrice]]</f>
        <v>6815.9400000000005</v>
      </c>
      <c r="AK538">
        <f>ROUNDDOWN(Table1[[#This Row],[Quantity]]*(1+20%),0)</f>
        <v>6</v>
      </c>
      <c r="AL538" s="7">
        <f>Table1[[#This Row],[UnitCost]]*(1+15%)</f>
        <v>553.51799999999992</v>
      </c>
      <c r="AM538" s="9">
        <f>Table1[[#This Row],[Quantity]]*Table1[[#This Row],[Cost of unit by inflation 15%]]</f>
        <v>2767.5899999999997</v>
      </c>
      <c r="AN538" s="21" cm="1">
        <f t="array" ref="AN538">_xlfn.UNIQUE(AC538)</f>
        <v>45016</v>
      </c>
    </row>
    <row r="539" spans="1:40" x14ac:dyDescent="0.35">
      <c r="A539" t="s">
        <v>105</v>
      </c>
      <c r="B539" s="21">
        <v>45775</v>
      </c>
      <c r="C539" s="10">
        <v>45792</v>
      </c>
      <c r="D539" s="3">
        <f t="shared" si="96"/>
        <v>17</v>
      </c>
      <c r="E539" s="10" t="str">
        <f t="shared" si="97"/>
        <v>Q2-2025</v>
      </c>
      <c r="F539" t="s">
        <v>646</v>
      </c>
      <c r="G539" t="s">
        <v>651</v>
      </c>
      <c r="H539" t="s">
        <v>693</v>
      </c>
      <c r="I539" t="s">
        <v>701</v>
      </c>
      <c r="J539" t="s">
        <v>710</v>
      </c>
      <c r="K539" t="s">
        <v>724</v>
      </c>
      <c r="L539" t="s">
        <v>728</v>
      </c>
      <c r="M539" t="s">
        <v>823</v>
      </c>
      <c r="N539" s="3">
        <v>691.19</v>
      </c>
      <c r="O539" s="3">
        <v>1284.3</v>
      </c>
      <c r="P539" s="6">
        <v>7.3999999999999996E-2</v>
      </c>
      <c r="Q539" s="6">
        <f>IF(Table1[[#This Row],[DiscountPct]]&gt;25%,25%,Table1[[#This Row],[DiscountPct]])</f>
        <v>7.3999999999999996E-2</v>
      </c>
      <c r="R539" s="5">
        <v>7</v>
      </c>
      <c r="S539" s="6">
        <f t="shared" si="98"/>
        <v>0.85809979889755328</v>
      </c>
      <c r="T539" s="8">
        <f t="shared" si="99"/>
        <v>8324.8326000000015</v>
      </c>
      <c r="U539" s="8">
        <f t="shared" si="100"/>
        <v>4838.33</v>
      </c>
      <c r="V539" s="9">
        <f t="shared" si="101"/>
        <v>3486.5026000000016</v>
      </c>
      <c r="W539" s="6">
        <f t="shared" si="102"/>
        <v>0.41880753253825198</v>
      </c>
      <c r="X539" t="str" cm="1">
        <f t="array" ref="X539">_xlfn.IFS(S539&lt;=25%, "Low", S539&lt;=75%, "Medium", S539&gt;75%, "High")</f>
        <v>High</v>
      </c>
      <c r="Y539" s="8">
        <f>Table1[[#This Row],[Quantity]]*(Table1[[#This Row],[UnitPrice]]*(1-Table1[[#This Row],[DiscountPct]]))</f>
        <v>8324.8325999999997</v>
      </c>
      <c r="Z539" s="9">
        <f t="shared" si="103"/>
        <v>3486.5025999999998</v>
      </c>
      <c r="AA539">
        <f>COUNTIF($G$2:G540,G539)</f>
        <v>49</v>
      </c>
      <c r="AB539" s="21">
        <f t="shared" si="104"/>
        <v>44988</v>
      </c>
      <c r="AC539" s="21">
        <f t="shared" si="105"/>
        <v>45016</v>
      </c>
      <c r="AD539" s="5">
        <f>(Table1[[#This Row],[OrderDate]]-Table1[[#This Row],[Date of first order]])/30</f>
        <v>26.233333333333334</v>
      </c>
      <c r="AE539" t="str">
        <f t="shared" si="106"/>
        <v>Poor</v>
      </c>
      <c r="AF539">
        <f>COUNTIF(AE$2:AE540,AE539)</f>
        <v>388</v>
      </c>
      <c r="AG539" t="str">
        <f t="shared" si="107"/>
        <v>False</v>
      </c>
      <c r="AH539" s="7">
        <f>Table1[[#This Row],[UnitPrice]]*(1-Table1[[#This Row],[Disc Scenario]])*Table1[[#This Row],[Quantity]]</f>
        <v>8324.8325999999997</v>
      </c>
      <c r="AI539">
        <f>ROUNDDOWN((Table1[[#This Row],[Quantity]]*(1+20%)),0)</f>
        <v>8</v>
      </c>
      <c r="AJ539" s="7">
        <f>Table1[[#This Row],[Quantity increase by 20%]]*Table1[[#This Row],[UnitPrice]]</f>
        <v>10274.4</v>
      </c>
      <c r="AK539">
        <f>ROUNDDOWN(Table1[[#This Row],[Quantity]]*(1+20%),0)</f>
        <v>8</v>
      </c>
      <c r="AL539" s="7">
        <f>Table1[[#This Row],[UnitCost]]*(1+15%)</f>
        <v>794.86850000000004</v>
      </c>
      <c r="AM539" s="9">
        <f>Table1[[#This Row],[Quantity]]*Table1[[#This Row],[Cost of unit by inflation 15%]]</f>
        <v>5564.0794999999998</v>
      </c>
      <c r="AN539" s="21" cm="1">
        <f t="array" ref="AN539">_xlfn.UNIQUE(AC539)</f>
        <v>45016</v>
      </c>
    </row>
    <row r="540" spans="1:40" x14ac:dyDescent="0.35">
      <c r="A540" t="s">
        <v>496</v>
      </c>
      <c r="B540" s="21">
        <v>45775</v>
      </c>
      <c r="C540" s="10">
        <v>45796</v>
      </c>
      <c r="D540" s="3">
        <f t="shared" si="96"/>
        <v>21</v>
      </c>
      <c r="E540" s="10" t="str">
        <f t="shared" si="97"/>
        <v>Q2-2025</v>
      </c>
      <c r="F540" t="s">
        <v>648</v>
      </c>
      <c r="G540" t="s">
        <v>655</v>
      </c>
      <c r="H540" t="s">
        <v>670</v>
      </c>
      <c r="I540" t="s">
        <v>700</v>
      </c>
      <c r="J540" t="s">
        <v>709</v>
      </c>
      <c r="K540" t="s">
        <v>716</v>
      </c>
      <c r="L540" t="s">
        <v>729</v>
      </c>
      <c r="M540" t="s">
        <v>1213</v>
      </c>
      <c r="N540" s="3">
        <v>350.76</v>
      </c>
      <c r="O540" s="3">
        <v>492.18</v>
      </c>
      <c r="P540" s="6">
        <v>5.2999999999999999E-2</v>
      </c>
      <c r="Q540" s="6">
        <f>IF(Table1[[#This Row],[DiscountPct]]&gt;25%,25%,Table1[[#This Row],[DiscountPct]])</f>
        <v>5.2999999999999999E-2</v>
      </c>
      <c r="R540" s="5">
        <v>11</v>
      </c>
      <c r="S540" s="6">
        <f t="shared" si="98"/>
        <v>0.40318166267533362</v>
      </c>
      <c r="T540" s="8">
        <f t="shared" si="99"/>
        <v>5127.0390600000001</v>
      </c>
      <c r="U540" s="8">
        <f t="shared" si="100"/>
        <v>3858.3599999999997</v>
      </c>
      <c r="V540" s="9">
        <f t="shared" si="101"/>
        <v>1268.6790600000004</v>
      </c>
      <c r="W540" s="6">
        <f t="shared" si="102"/>
        <v>0.24744868239798437</v>
      </c>
      <c r="X540" t="str" cm="1">
        <f t="array" ref="X540">_xlfn.IFS(S540&lt;=25%, "Low", S540&lt;=75%, "Medium", S540&gt;75%, "High")</f>
        <v>Medium</v>
      </c>
      <c r="Y540" s="8">
        <f>Table1[[#This Row],[Quantity]]*(Table1[[#This Row],[UnitPrice]]*(1-Table1[[#This Row],[DiscountPct]]))</f>
        <v>5127.0390600000001</v>
      </c>
      <c r="Z540" s="9">
        <f t="shared" si="103"/>
        <v>1268.6790600000004</v>
      </c>
      <c r="AA540">
        <f>COUNTIF($G$2:G541,G540)</f>
        <v>45</v>
      </c>
      <c r="AB540" s="21">
        <f t="shared" si="104"/>
        <v>44988</v>
      </c>
      <c r="AC540" s="21">
        <f t="shared" si="105"/>
        <v>45016</v>
      </c>
      <c r="AD540" s="5">
        <f>(Table1[[#This Row],[OrderDate]]-Table1[[#This Row],[Date of first order]])/30</f>
        <v>26.233333333333334</v>
      </c>
      <c r="AE540" t="str">
        <f t="shared" si="106"/>
        <v>Poor</v>
      </c>
      <c r="AF540">
        <f>COUNTIF(AE$2:AE541,AE540)</f>
        <v>389</v>
      </c>
      <c r="AG540" t="str">
        <f t="shared" si="107"/>
        <v>False</v>
      </c>
      <c r="AH540" s="7">
        <f>Table1[[#This Row],[UnitPrice]]*(1-Table1[[#This Row],[Disc Scenario]])*Table1[[#This Row],[Quantity]]</f>
        <v>5127.0390600000001</v>
      </c>
      <c r="AI540">
        <f>ROUNDDOWN((Table1[[#This Row],[Quantity]]*(1+20%)),0)</f>
        <v>13</v>
      </c>
      <c r="AJ540" s="7">
        <f>Table1[[#This Row],[Quantity increase by 20%]]*Table1[[#This Row],[UnitPrice]]</f>
        <v>6398.34</v>
      </c>
      <c r="AK540">
        <f>ROUNDDOWN(Table1[[#This Row],[Quantity]]*(1+20%),0)</f>
        <v>13</v>
      </c>
      <c r="AL540" s="7">
        <f>Table1[[#This Row],[UnitCost]]*(1+15%)</f>
        <v>403.37399999999997</v>
      </c>
      <c r="AM540" s="9">
        <f>Table1[[#This Row],[Quantity]]*Table1[[#This Row],[Cost of unit by inflation 15%]]</f>
        <v>4437.1139999999996</v>
      </c>
      <c r="AN540" s="21" cm="1">
        <f t="array" ref="AN540">_xlfn.UNIQUE(AC540)</f>
        <v>45016</v>
      </c>
    </row>
    <row r="541" spans="1:40" x14ac:dyDescent="0.35">
      <c r="A541" t="s">
        <v>74</v>
      </c>
      <c r="B541" s="21">
        <v>45779</v>
      </c>
      <c r="C541" s="10">
        <v>45790</v>
      </c>
      <c r="D541" s="3">
        <f t="shared" si="96"/>
        <v>11</v>
      </c>
      <c r="E541" s="10" t="str">
        <f t="shared" si="97"/>
        <v>Q2-2025</v>
      </c>
      <c r="F541" t="s">
        <v>645</v>
      </c>
      <c r="G541" t="s">
        <v>649</v>
      </c>
      <c r="H541" t="s">
        <v>677</v>
      </c>
      <c r="I541" t="s">
        <v>704</v>
      </c>
      <c r="J541" t="s">
        <v>707</v>
      </c>
      <c r="K541" t="s">
        <v>719</v>
      </c>
      <c r="L541" t="s">
        <v>732</v>
      </c>
      <c r="M541" t="s">
        <v>792</v>
      </c>
      <c r="N541" s="3">
        <v>1057.5999999999999</v>
      </c>
      <c r="O541" s="3">
        <v>1437.06</v>
      </c>
      <c r="P541" s="6">
        <v>0.20499999999999999</v>
      </c>
      <c r="Q541" s="6">
        <f>IF(Table1[[#This Row],[DiscountPct]]&gt;25%,25%,Table1[[#This Row],[DiscountPct]])</f>
        <v>0.20499999999999999</v>
      </c>
      <c r="R541" s="5">
        <v>4</v>
      </c>
      <c r="S541" s="6">
        <f t="shared" si="98"/>
        <v>0.3587934947049925</v>
      </c>
      <c r="T541" s="8">
        <f t="shared" si="99"/>
        <v>4569.8508000000002</v>
      </c>
      <c r="U541" s="8">
        <f t="shared" si="100"/>
        <v>4230.3999999999996</v>
      </c>
      <c r="V541" s="9">
        <f t="shared" si="101"/>
        <v>339.45080000000053</v>
      </c>
      <c r="W541" s="6">
        <f t="shared" si="102"/>
        <v>7.4280499485891424E-2</v>
      </c>
      <c r="X541" t="str" cm="1">
        <f t="array" ref="X541">_xlfn.IFS(S541&lt;=25%, "Low", S541&lt;=75%, "Medium", S541&gt;75%, "High")</f>
        <v>Medium</v>
      </c>
      <c r="Y541" s="8">
        <f>Table1[[#This Row],[Quantity]]*(Table1[[#This Row],[UnitPrice]]*(1-Table1[[#This Row],[DiscountPct]]))</f>
        <v>4569.8508000000002</v>
      </c>
      <c r="Z541" s="9">
        <f t="shared" si="103"/>
        <v>339.45080000000053</v>
      </c>
      <c r="AA541">
        <f>COUNTIF($G$2:G542,G541)</f>
        <v>50</v>
      </c>
      <c r="AB541" s="21">
        <f t="shared" si="104"/>
        <v>44988</v>
      </c>
      <c r="AC541" s="21">
        <f t="shared" si="105"/>
        <v>45016</v>
      </c>
      <c r="AD541" s="5">
        <f>(Table1[[#This Row],[OrderDate]]-Table1[[#This Row],[Date of first order]])/30</f>
        <v>26.366666666666667</v>
      </c>
      <c r="AE541" t="str">
        <f t="shared" si="106"/>
        <v>Poor</v>
      </c>
      <c r="AF541">
        <f>COUNTIF(AE$2:AE542,AE541)</f>
        <v>389</v>
      </c>
      <c r="AG541" t="str">
        <f t="shared" si="107"/>
        <v>True</v>
      </c>
      <c r="AH541" s="7">
        <f>Table1[[#This Row],[UnitPrice]]*(1-Table1[[#This Row],[Disc Scenario]])*Table1[[#This Row],[Quantity]]</f>
        <v>4569.8508000000002</v>
      </c>
      <c r="AI541">
        <f>ROUNDDOWN((Table1[[#This Row],[Quantity]]*(1+20%)),0)</f>
        <v>4</v>
      </c>
      <c r="AJ541" s="7">
        <f>Table1[[#This Row],[Quantity increase by 20%]]*Table1[[#This Row],[UnitPrice]]</f>
        <v>5748.24</v>
      </c>
      <c r="AK541">
        <f>ROUNDDOWN(Table1[[#This Row],[Quantity]]*(1+20%),0)</f>
        <v>4</v>
      </c>
      <c r="AL541" s="7">
        <f>Table1[[#This Row],[UnitCost]]*(1+15%)</f>
        <v>1216.2399999999998</v>
      </c>
      <c r="AM541" s="9">
        <f>Table1[[#This Row],[Quantity]]*Table1[[#This Row],[Cost of unit by inflation 15%]]</f>
        <v>4864.9599999999991</v>
      </c>
      <c r="AN541" s="21" cm="1">
        <f t="array" ref="AN541">_xlfn.UNIQUE(AC541)</f>
        <v>45016</v>
      </c>
    </row>
    <row r="542" spans="1:40" x14ac:dyDescent="0.35">
      <c r="A542" t="s">
        <v>442</v>
      </c>
      <c r="B542" s="21">
        <v>45784</v>
      </c>
      <c r="C542" s="10">
        <v>45790</v>
      </c>
      <c r="D542" s="3">
        <f t="shared" si="96"/>
        <v>6</v>
      </c>
      <c r="E542" s="10" t="str">
        <f t="shared" si="97"/>
        <v>Q2-2025</v>
      </c>
      <c r="F542" t="s">
        <v>646</v>
      </c>
      <c r="G542" t="s">
        <v>653</v>
      </c>
      <c r="H542" t="s">
        <v>667</v>
      </c>
      <c r="I542" t="s">
        <v>705</v>
      </c>
      <c r="J542" t="s">
        <v>710</v>
      </c>
      <c r="K542" t="s">
        <v>712</v>
      </c>
      <c r="L542" t="s">
        <v>729</v>
      </c>
      <c r="M542" t="s">
        <v>1159</v>
      </c>
      <c r="N542" s="3">
        <v>935.98</v>
      </c>
      <c r="O542" s="3">
        <v>2077.69</v>
      </c>
      <c r="P542" s="6">
        <v>0.17499999999999999</v>
      </c>
      <c r="Q542" s="6">
        <f>IF(Table1[[#This Row],[DiscountPct]]&gt;25%,25%,Table1[[#This Row],[DiscountPct]])</f>
        <v>0.17499999999999999</v>
      </c>
      <c r="R542" s="5">
        <v>24</v>
      </c>
      <c r="S542" s="6">
        <f t="shared" si="98"/>
        <v>1.2198017051646404</v>
      </c>
      <c r="T542" s="8">
        <f t="shared" si="99"/>
        <v>41138.261999999995</v>
      </c>
      <c r="U542" s="8">
        <f t="shared" si="100"/>
        <v>22463.52</v>
      </c>
      <c r="V542" s="9">
        <f t="shared" si="101"/>
        <v>18674.741999999995</v>
      </c>
      <c r="W542" s="6">
        <f t="shared" si="102"/>
        <v>0.45395067978321491</v>
      </c>
      <c r="X542" t="str" cm="1">
        <f t="array" ref="X542">_xlfn.IFS(S542&lt;=25%, "Low", S542&lt;=75%, "Medium", S542&gt;75%, "High")</f>
        <v>High</v>
      </c>
      <c r="Y542" s="8">
        <f>Table1[[#This Row],[Quantity]]*(Table1[[#This Row],[UnitPrice]]*(1-Table1[[#This Row],[DiscountPct]]))</f>
        <v>41138.261999999995</v>
      </c>
      <c r="Z542" s="9">
        <f t="shared" si="103"/>
        <v>18674.741999999995</v>
      </c>
      <c r="AA542">
        <f>COUNTIF($G$2:G543,G542)</f>
        <v>52</v>
      </c>
      <c r="AB542" s="21">
        <f t="shared" si="104"/>
        <v>44988</v>
      </c>
      <c r="AC542" s="21">
        <f t="shared" si="105"/>
        <v>45016</v>
      </c>
      <c r="AD542" s="5">
        <f>(Table1[[#This Row],[OrderDate]]-Table1[[#This Row],[Date of first order]])/30</f>
        <v>26.533333333333335</v>
      </c>
      <c r="AE542" t="str">
        <f t="shared" si="106"/>
        <v>Good</v>
      </c>
      <c r="AF542">
        <f>COUNTIF(AE$2:AE543,AE542)</f>
        <v>152</v>
      </c>
      <c r="AG542" t="str">
        <f t="shared" si="107"/>
        <v>False</v>
      </c>
      <c r="AH542" s="7">
        <f>Table1[[#This Row],[UnitPrice]]*(1-Table1[[#This Row],[Disc Scenario]])*Table1[[#This Row],[Quantity]]</f>
        <v>41138.261999999995</v>
      </c>
      <c r="AI542">
        <f>ROUNDDOWN((Table1[[#This Row],[Quantity]]*(1+20%)),0)</f>
        <v>28</v>
      </c>
      <c r="AJ542" s="7">
        <f>Table1[[#This Row],[Quantity increase by 20%]]*Table1[[#This Row],[UnitPrice]]</f>
        <v>58175.32</v>
      </c>
      <c r="AK542">
        <f>ROUNDDOWN(Table1[[#This Row],[Quantity]]*(1+20%),0)</f>
        <v>28</v>
      </c>
      <c r="AL542" s="7">
        <f>Table1[[#This Row],[UnitCost]]*(1+15%)</f>
        <v>1076.377</v>
      </c>
      <c r="AM542" s="9">
        <f>Table1[[#This Row],[Quantity]]*Table1[[#This Row],[Cost of unit by inflation 15%]]</f>
        <v>25833.047999999999</v>
      </c>
      <c r="AN542" s="21" cm="1">
        <f t="array" ref="AN542">_xlfn.UNIQUE(AC542)</f>
        <v>45016</v>
      </c>
    </row>
    <row r="543" spans="1:40" x14ac:dyDescent="0.35">
      <c r="A543" t="s">
        <v>313</v>
      </c>
      <c r="B543" s="21">
        <v>45787</v>
      </c>
      <c r="C543" s="10">
        <v>45804</v>
      </c>
      <c r="D543" s="3">
        <f t="shared" si="96"/>
        <v>17</v>
      </c>
      <c r="E543" s="10" t="str">
        <f t="shared" si="97"/>
        <v>Q2-2025</v>
      </c>
      <c r="F543" t="s">
        <v>647</v>
      </c>
      <c r="G543" t="s">
        <v>652</v>
      </c>
      <c r="H543" t="s">
        <v>687</v>
      </c>
      <c r="I543" t="s">
        <v>701</v>
      </c>
      <c r="J543" t="s">
        <v>710</v>
      </c>
      <c r="K543" t="s">
        <v>711</v>
      </c>
      <c r="L543" t="s">
        <v>726</v>
      </c>
      <c r="M543" t="s">
        <v>1031</v>
      </c>
      <c r="N543" s="3">
        <v>862.89</v>
      </c>
      <c r="O543" s="3">
        <v>1426.03</v>
      </c>
      <c r="P543" s="6">
        <v>5.6000000000000001E-2</v>
      </c>
      <c r="Q543" s="6">
        <f>IF(Table1[[#This Row],[DiscountPct]]&gt;25%,25%,Table1[[#This Row],[DiscountPct]])</f>
        <v>5.6000000000000001E-2</v>
      </c>
      <c r="R543" s="5">
        <v>19</v>
      </c>
      <c r="S543" s="6">
        <f t="shared" si="98"/>
        <v>0.65262084390826181</v>
      </c>
      <c r="T543" s="8">
        <f t="shared" si="99"/>
        <v>25577.274079999999</v>
      </c>
      <c r="U543" s="8">
        <f t="shared" si="100"/>
        <v>16394.91</v>
      </c>
      <c r="V543" s="9">
        <f t="shared" si="101"/>
        <v>9182.3640799999994</v>
      </c>
      <c r="W543" s="6">
        <f t="shared" si="102"/>
        <v>0.35900479665188778</v>
      </c>
      <c r="X543" t="str" cm="1">
        <f t="array" ref="X543">_xlfn.IFS(S543&lt;=25%, "Low", S543&lt;=75%, "Medium", S543&gt;75%, "High")</f>
        <v>Medium</v>
      </c>
      <c r="Y543" s="8">
        <f>Table1[[#This Row],[Quantity]]*(Table1[[#This Row],[UnitPrice]]*(1-Table1[[#This Row],[DiscountPct]]))</f>
        <v>25577.274079999999</v>
      </c>
      <c r="Z543" s="9">
        <f t="shared" si="103"/>
        <v>9182.3640799999994</v>
      </c>
      <c r="AA543">
        <f>COUNTIF($G$2:G544,G543)</f>
        <v>36</v>
      </c>
      <c r="AB543" s="21">
        <f t="shared" si="104"/>
        <v>44988</v>
      </c>
      <c r="AC543" s="21">
        <f t="shared" si="105"/>
        <v>45016</v>
      </c>
      <c r="AD543" s="5">
        <f>(Table1[[#This Row],[OrderDate]]-Table1[[#This Row],[Date of first order]])/30</f>
        <v>26.633333333333333</v>
      </c>
      <c r="AE543" t="str">
        <f t="shared" si="106"/>
        <v>Poor</v>
      </c>
      <c r="AF543">
        <f>COUNTIF(AE$2:AE544,AE543)</f>
        <v>390</v>
      </c>
      <c r="AG543" t="str">
        <f t="shared" si="107"/>
        <v>False</v>
      </c>
      <c r="AH543" s="7">
        <f>Table1[[#This Row],[UnitPrice]]*(1-Table1[[#This Row],[Disc Scenario]])*Table1[[#This Row],[Quantity]]</f>
        <v>25577.274079999999</v>
      </c>
      <c r="AI543">
        <f>ROUNDDOWN((Table1[[#This Row],[Quantity]]*(1+20%)),0)</f>
        <v>22</v>
      </c>
      <c r="AJ543" s="7">
        <f>Table1[[#This Row],[Quantity increase by 20%]]*Table1[[#This Row],[UnitPrice]]</f>
        <v>31372.66</v>
      </c>
      <c r="AK543">
        <f>ROUNDDOWN(Table1[[#This Row],[Quantity]]*(1+20%),0)</f>
        <v>22</v>
      </c>
      <c r="AL543" s="7">
        <f>Table1[[#This Row],[UnitCost]]*(1+15%)</f>
        <v>992.32349999999985</v>
      </c>
      <c r="AM543" s="9">
        <f>Table1[[#This Row],[Quantity]]*Table1[[#This Row],[Cost of unit by inflation 15%]]</f>
        <v>18854.146499999999</v>
      </c>
      <c r="AN543" s="21" cm="1">
        <f t="array" ref="AN543">_xlfn.UNIQUE(AC543)</f>
        <v>45016</v>
      </c>
    </row>
    <row r="544" spans="1:40" x14ac:dyDescent="0.35">
      <c r="A544" t="s">
        <v>570</v>
      </c>
      <c r="B544" s="21">
        <v>45789</v>
      </c>
      <c r="C544" s="10">
        <v>45791</v>
      </c>
      <c r="D544" s="3">
        <f t="shared" si="96"/>
        <v>2</v>
      </c>
      <c r="E544" s="10" t="str">
        <f t="shared" si="97"/>
        <v>Q2-2025</v>
      </c>
      <c r="F544" t="s">
        <v>647</v>
      </c>
      <c r="G544" t="s">
        <v>652</v>
      </c>
      <c r="H544" t="s">
        <v>687</v>
      </c>
      <c r="I544" t="s">
        <v>702</v>
      </c>
      <c r="J544" t="s">
        <v>709</v>
      </c>
      <c r="K544" t="s">
        <v>720</v>
      </c>
      <c r="L544" t="s">
        <v>727</v>
      </c>
      <c r="M544" t="s">
        <v>1286</v>
      </c>
      <c r="N544" s="3">
        <v>883.5</v>
      </c>
      <c r="O544" s="3">
        <v>1978.91</v>
      </c>
      <c r="P544" s="6">
        <v>5.3999999999999999E-2</v>
      </c>
      <c r="Q544" s="6">
        <f>IF(Table1[[#This Row],[DiscountPct]]&gt;25%,25%,Table1[[#This Row],[DiscountPct]])</f>
        <v>5.3999999999999999E-2</v>
      </c>
      <c r="R544" s="5">
        <v>27</v>
      </c>
      <c r="S544" s="6">
        <f t="shared" si="98"/>
        <v>1.2398528579513299</v>
      </c>
      <c r="T544" s="8">
        <f t="shared" si="99"/>
        <v>50545.319219999998</v>
      </c>
      <c r="U544" s="8">
        <f t="shared" si="100"/>
        <v>23854.5</v>
      </c>
      <c r="V544" s="9">
        <f t="shared" si="101"/>
        <v>26690.819219999998</v>
      </c>
      <c r="W544" s="6">
        <f t="shared" si="102"/>
        <v>0.52805718970390547</v>
      </c>
      <c r="X544" t="str" cm="1">
        <f t="array" ref="X544">_xlfn.IFS(S544&lt;=25%, "Low", S544&lt;=75%, "Medium", S544&gt;75%, "High")</f>
        <v>High</v>
      </c>
      <c r="Y544" s="8">
        <f>Table1[[#This Row],[Quantity]]*(Table1[[#This Row],[UnitPrice]]*(1-Table1[[#This Row],[DiscountPct]]))</f>
        <v>50545.319219999998</v>
      </c>
      <c r="Z544" s="9">
        <f t="shared" si="103"/>
        <v>26690.819219999998</v>
      </c>
      <c r="AA544">
        <f>COUNTIF($G$2:G545,G544)</f>
        <v>36</v>
      </c>
      <c r="AB544" s="21">
        <f t="shared" si="104"/>
        <v>44988</v>
      </c>
      <c r="AC544" s="21">
        <f t="shared" si="105"/>
        <v>45016</v>
      </c>
      <c r="AD544" s="5">
        <f>(Table1[[#This Row],[OrderDate]]-Table1[[#This Row],[Date of first order]])/30</f>
        <v>26.7</v>
      </c>
      <c r="AE544" t="str">
        <f t="shared" si="106"/>
        <v>Good</v>
      </c>
      <c r="AF544">
        <f>COUNTIF(AE$2:AE545,AE544)</f>
        <v>153</v>
      </c>
      <c r="AG544" t="str">
        <f t="shared" si="107"/>
        <v>False</v>
      </c>
      <c r="AH544" s="7">
        <f>Table1[[#This Row],[UnitPrice]]*(1-Table1[[#This Row],[Disc Scenario]])*Table1[[#This Row],[Quantity]]</f>
        <v>50545.319219999998</v>
      </c>
      <c r="AI544">
        <f>ROUNDDOWN((Table1[[#This Row],[Quantity]]*(1+20%)),0)</f>
        <v>32</v>
      </c>
      <c r="AJ544" s="7">
        <f>Table1[[#This Row],[Quantity increase by 20%]]*Table1[[#This Row],[UnitPrice]]</f>
        <v>63325.120000000003</v>
      </c>
      <c r="AK544">
        <f>ROUNDDOWN(Table1[[#This Row],[Quantity]]*(1+20%),0)</f>
        <v>32</v>
      </c>
      <c r="AL544" s="7">
        <f>Table1[[#This Row],[UnitCost]]*(1+15%)</f>
        <v>1016.025</v>
      </c>
      <c r="AM544" s="9">
        <f>Table1[[#This Row],[Quantity]]*Table1[[#This Row],[Cost of unit by inflation 15%]]</f>
        <v>27432.674999999999</v>
      </c>
      <c r="AN544" s="21" cm="1">
        <f t="array" ref="AN544">_xlfn.UNIQUE(AC544)</f>
        <v>45016</v>
      </c>
    </row>
    <row r="545" spans="1:40" x14ac:dyDescent="0.35">
      <c r="A545" t="s">
        <v>399</v>
      </c>
      <c r="B545" s="21">
        <v>45789</v>
      </c>
      <c r="C545" s="10">
        <v>45803</v>
      </c>
      <c r="D545" s="3">
        <f t="shared" si="96"/>
        <v>14</v>
      </c>
      <c r="E545" s="10" t="str">
        <f t="shared" si="97"/>
        <v>Q2-2025</v>
      </c>
      <c r="F545" t="s">
        <v>646</v>
      </c>
      <c r="G545" t="s">
        <v>653</v>
      </c>
      <c r="H545" t="s">
        <v>695</v>
      </c>
      <c r="I545" t="s">
        <v>700</v>
      </c>
      <c r="J545" t="s">
        <v>708</v>
      </c>
      <c r="K545" t="s">
        <v>714</v>
      </c>
      <c r="L545" t="s">
        <v>727</v>
      </c>
      <c r="M545" t="s">
        <v>1116</v>
      </c>
      <c r="N545" s="3">
        <v>320.12</v>
      </c>
      <c r="O545" s="3">
        <v>594.41999999999996</v>
      </c>
      <c r="P545" s="6">
        <v>0.104</v>
      </c>
      <c r="Q545" s="6">
        <f>IF(Table1[[#This Row],[DiscountPct]]&gt;25%,25%,Table1[[#This Row],[DiscountPct]])</f>
        <v>0.104</v>
      </c>
      <c r="R545" s="5">
        <v>18</v>
      </c>
      <c r="S545" s="6">
        <f t="shared" si="98"/>
        <v>0.85686617518430575</v>
      </c>
      <c r="T545" s="8">
        <f t="shared" si="99"/>
        <v>9586.8057599999993</v>
      </c>
      <c r="U545" s="8">
        <f t="shared" si="100"/>
        <v>5762.16</v>
      </c>
      <c r="V545" s="9">
        <f t="shared" si="101"/>
        <v>3824.6457599999994</v>
      </c>
      <c r="W545" s="6">
        <f t="shared" si="102"/>
        <v>0.39894891538931104</v>
      </c>
      <c r="X545" t="str" cm="1">
        <f t="array" ref="X545">_xlfn.IFS(S545&lt;=25%, "Low", S545&lt;=75%, "Medium", S545&gt;75%, "High")</f>
        <v>High</v>
      </c>
      <c r="Y545" s="8">
        <f>Table1[[#This Row],[Quantity]]*(Table1[[#This Row],[UnitPrice]]*(1-Table1[[#This Row],[DiscountPct]]))</f>
        <v>9586.8057599999993</v>
      </c>
      <c r="Z545" s="9">
        <f t="shared" si="103"/>
        <v>3824.6457599999994</v>
      </c>
      <c r="AA545">
        <f>COUNTIF($G$2:G546,G545)</f>
        <v>53</v>
      </c>
      <c r="AB545" s="21">
        <f t="shared" si="104"/>
        <v>44988</v>
      </c>
      <c r="AC545" s="21">
        <f t="shared" si="105"/>
        <v>45016</v>
      </c>
      <c r="AD545" s="5">
        <f>(Table1[[#This Row],[OrderDate]]-Table1[[#This Row],[Date of first order]])/30</f>
        <v>26.7</v>
      </c>
      <c r="AE545" t="str">
        <f t="shared" si="106"/>
        <v>Poor</v>
      </c>
      <c r="AF545">
        <f>COUNTIF(AE$2:AE546,AE545)</f>
        <v>392</v>
      </c>
      <c r="AG545" t="str">
        <f t="shared" si="107"/>
        <v>False</v>
      </c>
      <c r="AH545" s="7">
        <f>Table1[[#This Row],[UnitPrice]]*(1-Table1[[#This Row],[Disc Scenario]])*Table1[[#This Row],[Quantity]]</f>
        <v>9586.8057599999993</v>
      </c>
      <c r="AI545">
        <f>ROUNDDOWN((Table1[[#This Row],[Quantity]]*(1+20%)),0)</f>
        <v>21</v>
      </c>
      <c r="AJ545" s="7">
        <f>Table1[[#This Row],[Quantity increase by 20%]]*Table1[[#This Row],[UnitPrice]]</f>
        <v>12482.82</v>
      </c>
      <c r="AK545">
        <f>ROUNDDOWN(Table1[[#This Row],[Quantity]]*(1+20%),0)</f>
        <v>21</v>
      </c>
      <c r="AL545" s="7">
        <f>Table1[[#This Row],[UnitCost]]*(1+15%)</f>
        <v>368.13799999999998</v>
      </c>
      <c r="AM545" s="9">
        <f>Table1[[#This Row],[Quantity]]*Table1[[#This Row],[Cost of unit by inflation 15%]]</f>
        <v>6626.4839999999995</v>
      </c>
      <c r="AN545" s="21" cm="1">
        <f t="array" ref="AN545">_xlfn.UNIQUE(AC545)</f>
        <v>45016</v>
      </c>
    </row>
    <row r="546" spans="1:40" x14ac:dyDescent="0.35">
      <c r="A546" t="s">
        <v>97</v>
      </c>
      <c r="B546" s="21">
        <v>45791</v>
      </c>
      <c r="C546" s="10">
        <v>45801</v>
      </c>
      <c r="D546" s="3">
        <f t="shared" si="96"/>
        <v>10</v>
      </c>
      <c r="E546" s="10" t="str">
        <f t="shared" si="97"/>
        <v>Q2-2025</v>
      </c>
      <c r="F546" t="s">
        <v>648</v>
      </c>
      <c r="G546" t="s">
        <v>656</v>
      </c>
      <c r="H546" t="s">
        <v>689</v>
      </c>
      <c r="I546" t="s">
        <v>704</v>
      </c>
      <c r="J546" t="s">
        <v>708</v>
      </c>
      <c r="K546" t="s">
        <v>722</v>
      </c>
      <c r="L546" t="s">
        <v>726</v>
      </c>
      <c r="M546" t="s">
        <v>815</v>
      </c>
      <c r="N546" s="3">
        <v>170.39</v>
      </c>
      <c r="O546" s="3">
        <v>388.04</v>
      </c>
      <c r="P546" s="6">
        <v>8.4000000000000005E-2</v>
      </c>
      <c r="Q546" s="6">
        <f>IF(Table1[[#This Row],[DiscountPct]]&gt;25%,25%,Table1[[#This Row],[DiscountPct]])</f>
        <v>8.4000000000000005E-2</v>
      </c>
      <c r="R546" s="5">
        <v>15</v>
      </c>
      <c r="S546" s="6">
        <f t="shared" si="98"/>
        <v>1.2773636950525269</v>
      </c>
      <c r="T546" s="8">
        <f t="shared" si="99"/>
        <v>5331.6696000000002</v>
      </c>
      <c r="U546" s="8">
        <f t="shared" si="100"/>
        <v>2555.85</v>
      </c>
      <c r="V546" s="9">
        <f t="shared" si="101"/>
        <v>2775.8196000000003</v>
      </c>
      <c r="W546" s="6">
        <f t="shared" si="102"/>
        <v>0.52062858508711796</v>
      </c>
      <c r="X546" t="str" cm="1">
        <f t="array" ref="X546">_xlfn.IFS(S546&lt;=25%, "Low", S546&lt;=75%, "Medium", S546&gt;75%, "High")</f>
        <v>High</v>
      </c>
      <c r="Y546" s="8">
        <f>Table1[[#This Row],[Quantity]]*(Table1[[#This Row],[UnitPrice]]*(1-Table1[[#This Row],[DiscountPct]]))</f>
        <v>5331.6696000000011</v>
      </c>
      <c r="Z546" s="9">
        <f t="shared" si="103"/>
        <v>2775.8196000000012</v>
      </c>
      <c r="AA546">
        <f>COUNTIF($G$2:G547,G546)</f>
        <v>47</v>
      </c>
      <c r="AB546" s="21">
        <f t="shared" si="104"/>
        <v>44988</v>
      </c>
      <c r="AC546" s="21">
        <f t="shared" si="105"/>
        <v>45016</v>
      </c>
      <c r="AD546" s="5">
        <f>(Table1[[#This Row],[OrderDate]]-Table1[[#This Row],[Date of first order]])/30</f>
        <v>26.766666666666666</v>
      </c>
      <c r="AE546" t="str">
        <f t="shared" si="106"/>
        <v>Poor</v>
      </c>
      <c r="AF546">
        <f>COUNTIF(AE$2:AE547,AE546)</f>
        <v>393</v>
      </c>
      <c r="AG546" t="str">
        <f t="shared" si="107"/>
        <v>False</v>
      </c>
      <c r="AH546" s="7">
        <f>Table1[[#This Row],[UnitPrice]]*(1-Table1[[#This Row],[Disc Scenario]])*Table1[[#This Row],[Quantity]]</f>
        <v>5331.6696000000011</v>
      </c>
      <c r="AI546">
        <f>ROUNDDOWN((Table1[[#This Row],[Quantity]]*(1+20%)),0)</f>
        <v>18</v>
      </c>
      <c r="AJ546" s="7">
        <f>Table1[[#This Row],[Quantity increase by 20%]]*Table1[[#This Row],[UnitPrice]]</f>
        <v>6984.72</v>
      </c>
      <c r="AK546">
        <f>ROUNDDOWN(Table1[[#This Row],[Quantity]]*(1+20%),0)</f>
        <v>18</v>
      </c>
      <c r="AL546" s="7">
        <f>Table1[[#This Row],[UnitCost]]*(1+15%)</f>
        <v>195.94849999999997</v>
      </c>
      <c r="AM546" s="9">
        <f>Table1[[#This Row],[Quantity]]*Table1[[#This Row],[Cost of unit by inflation 15%]]</f>
        <v>2939.2274999999995</v>
      </c>
      <c r="AN546" s="21" cm="1">
        <f t="array" ref="AN546">_xlfn.UNIQUE(AC546)</f>
        <v>45016</v>
      </c>
    </row>
    <row r="547" spans="1:40" x14ac:dyDescent="0.35">
      <c r="A547" t="s">
        <v>502</v>
      </c>
      <c r="B547" s="21">
        <v>45792</v>
      </c>
      <c r="C547" s="10">
        <v>45813</v>
      </c>
      <c r="D547" s="3">
        <f t="shared" si="96"/>
        <v>21</v>
      </c>
      <c r="E547" s="10" t="str">
        <f t="shared" si="97"/>
        <v>Q2-2025</v>
      </c>
      <c r="F547" t="s">
        <v>646</v>
      </c>
      <c r="G547" t="s">
        <v>651</v>
      </c>
      <c r="H547" t="s">
        <v>665</v>
      </c>
      <c r="I547" t="s">
        <v>705</v>
      </c>
      <c r="J547" t="s">
        <v>710</v>
      </c>
      <c r="K547" t="s">
        <v>721</v>
      </c>
      <c r="L547" t="s">
        <v>729</v>
      </c>
      <c r="M547" t="s">
        <v>1219</v>
      </c>
      <c r="N547" s="3">
        <v>1466.5</v>
      </c>
      <c r="O547" s="3">
        <v>2778.74</v>
      </c>
      <c r="P547" s="6">
        <v>0.13500000000000001</v>
      </c>
      <c r="Q547" s="6">
        <f>IF(Table1[[#This Row],[DiscountPct]]&gt;25%,25%,Table1[[#This Row],[DiscountPct]])</f>
        <v>0.13500000000000001</v>
      </c>
      <c r="R547" s="5">
        <v>4</v>
      </c>
      <c r="S547" s="6">
        <f t="shared" si="98"/>
        <v>0.89481077395158526</v>
      </c>
      <c r="T547" s="8">
        <f t="shared" si="99"/>
        <v>9614.4403999999995</v>
      </c>
      <c r="U547" s="8">
        <f t="shared" si="100"/>
        <v>5866</v>
      </c>
      <c r="V547" s="9">
        <f t="shared" si="101"/>
        <v>3748.4403999999995</v>
      </c>
      <c r="W547" s="6">
        <f t="shared" si="102"/>
        <v>0.38987608680792279</v>
      </c>
      <c r="X547" t="str" cm="1">
        <f t="array" ref="X547">_xlfn.IFS(S547&lt;=25%, "Low", S547&lt;=75%, "Medium", S547&gt;75%, "High")</f>
        <v>High</v>
      </c>
      <c r="Y547" s="8">
        <f>Table1[[#This Row],[Quantity]]*(Table1[[#This Row],[UnitPrice]]*(1-Table1[[#This Row],[DiscountPct]]))</f>
        <v>9614.4403999999995</v>
      </c>
      <c r="Z547" s="9">
        <f t="shared" si="103"/>
        <v>3748.4403999999995</v>
      </c>
      <c r="AA547">
        <f>COUNTIF($G$2:G548,G547)</f>
        <v>51</v>
      </c>
      <c r="AB547" s="21">
        <f t="shared" si="104"/>
        <v>44988</v>
      </c>
      <c r="AC547" s="21">
        <f t="shared" si="105"/>
        <v>45016</v>
      </c>
      <c r="AD547" s="5">
        <f>(Table1[[#This Row],[OrderDate]]-Table1[[#This Row],[Date of first order]])/30</f>
        <v>26.8</v>
      </c>
      <c r="AE547" t="str">
        <f t="shared" si="106"/>
        <v>Poor</v>
      </c>
      <c r="AF547">
        <f>COUNTIF(AE$2:AE548,AE547)</f>
        <v>393</v>
      </c>
      <c r="AG547" t="str">
        <f t="shared" si="107"/>
        <v>False</v>
      </c>
      <c r="AH547" s="7">
        <f>Table1[[#This Row],[UnitPrice]]*(1-Table1[[#This Row],[Disc Scenario]])*Table1[[#This Row],[Quantity]]</f>
        <v>9614.4403999999995</v>
      </c>
      <c r="AI547">
        <f>ROUNDDOWN((Table1[[#This Row],[Quantity]]*(1+20%)),0)</f>
        <v>4</v>
      </c>
      <c r="AJ547" s="7">
        <f>Table1[[#This Row],[Quantity increase by 20%]]*Table1[[#This Row],[UnitPrice]]</f>
        <v>11114.96</v>
      </c>
      <c r="AK547">
        <f>ROUNDDOWN(Table1[[#This Row],[Quantity]]*(1+20%),0)</f>
        <v>4</v>
      </c>
      <c r="AL547" s="7">
        <f>Table1[[#This Row],[UnitCost]]*(1+15%)</f>
        <v>1686.4749999999999</v>
      </c>
      <c r="AM547" s="9">
        <f>Table1[[#This Row],[Quantity]]*Table1[[#This Row],[Cost of unit by inflation 15%]]</f>
        <v>6745.9</v>
      </c>
      <c r="AN547" s="21" cm="1">
        <f t="array" ref="AN547">_xlfn.UNIQUE(AC547)</f>
        <v>45016</v>
      </c>
    </row>
    <row r="548" spans="1:40" x14ac:dyDescent="0.35">
      <c r="A548" t="s">
        <v>616</v>
      </c>
      <c r="B548" s="21">
        <v>45793</v>
      </c>
      <c r="C548" s="10">
        <v>45795</v>
      </c>
      <c r="D548" s="3">
        <f t="shared" si="96"/>
        <v>2</v>
      </c>
      <c r="E548" s="10" t="str">
        <f t="shared" si="97"/>
        <v>Q2-2025</v>
      </c>
      <c r="F548" t="s">
        <v>646</v>
      </c>
      <c r="G548" t="s">
        <v>651</v>
      </c>
      <c r="H548" t="s">
        <v>688</v>
      </c>
      <c r="I548" t="s">
        <v>705</v>
      </c>
      <c r="J548" t="s">
        <v>706</v>
      </c>
      <c r="K548" t="s">
        <v>712</v>
      </c>
      <c r="L548" t="s">
        <v>727</v>
      </c>
      <c r="M548" t="s">
        <v>1332</v>
      </c>
      <c r="N548" s="3">
        <v>1144.3800000000001</v>
      </c>
      <c r="O548" s="3">
        <v>2755.04</v>
      </c>
      <c r="P548" s="6">
        <v>0.15</v>
      </c>
      <c r="Q548" s="6">
        <f>IF(Table1[[#This Row],[DiscountPct]]&gt;25%,25%,Table1[[#This Row],[DiscountPct]])</f>
        <v>0.15</v>
      </c>
      <c r="R548" s="5">
        <v>17</v>
      </c>
      <c r="S548" s="6">
        <f t="shared" si="98"/>
        <v>1.4074520701165694</v>
      </c>
      <c r="T548" s="8">
        <f t="shared" si="99"/>
        <v>39810.328000000001</v>
      </c>
      <c r="U548" s="8">
        <f t="shared" si="100"/>
        <v>19454.460000000003</v>
      </c>
      <c r="V548" s="9">
        <f t="shared" si="101"/>
        <v>20355.867999999999</v>
      </c>
      <c r="W548" s="6">
        <f t="shared" si="102"/>
        <v>0.51132128326096682</v>
      </c>
      <c r="X548" t="str" cm="1">
        <f t="array" ref="X548">_xlfn.IFS(S548&lt;=25%, "Low", S548&lt;=75%, "Medium", S548&gt;75%, "High")</f>
        <v>High</v>
      </c>
      <c r="Y548" s="8">
        <f>Table1[[#This Row],[Quantity]]*(Table1[[#This Row],[UnitPrice]]*(1-Table1[[#This Row],[DiscountPct]]))</f>
        <v>39810.328000000001</v>
      </c>
      <c r="Z548" s="9">
        <f t="shared" si="103"/>
        <v>20355.867999999999</v>
      </c>
      <c r="AA548">
        <f>COUNTIF($G$2:G549,G548)</f>
        <v>51</v>
      </c>
      <c r="AB548" s="21">
        <f t="shared" si="104"/>
        <v>44988</v>
      </c>
      <c r="AC548" s="21">
        <f t="shared" si="105"/>
        <v>45016</v>
      </c>
      <c r="AD548" s="5">
        <f>(Table1[[#This Row],[OrderDate]]-Table1[[#This Row],[Date of first order]])/30</f>
        <v>26.833333333333332</v>
      </c>
      <c r="AE548" t="str">
        <f t="shared" si="106"/>
        <v>Good</v>
      </c>
      <c r="AF548">
        <f>COUNTIF(AE$2:AE549,AE548)</f>
        <v>154</v>
      </c>
      <c r="AG548" t="str">
        <f t="shared" si="107"/>
        <v>False</v>
      </c>
      <c r="AH548" s="7">
        <f>Table1[[#This Row],[UnitPrice]]*(1-Table1[[#This Row],[Disc Scenario]])*Table1[[#This Row],[Quantity]]</f>
        <v>39810.328000000001</v>
      </c>
      <c r="AI548">
        <f>ROUNDDOWN((Table1[[#This Row],[Quantity]]*(1+20%)),0)</f>
        <v>20</v>
      </c>
      <c r="AJ548" s="7">
        <f>Table1[[#This Row],[Quantity increase by 20%]]*Table1[[#This Row],[UnitPrice]]</f>
        <v>55100.800000000003</v>
      </c>
      <c r="AK548">
        <f>ROUNDDOWN(Table1[[#This Row],[Quantity]]*(1+20%),0)</f>
        <v>20</v>
      </c>
      <c r="AL548" s="7">
        <f>Table1[[#This Row],[UnitCost]]*(1+15%)</f>
        <v>1316.037</v>
      </c>
      <c r="AM548" s="9">
        <f>Table1[[#This Row],[Quantity]]*Table1[[#This Row],[Cost of unit by inflation 15%]]</f>
        <v>22372.629000000001</v>
      </c>
      <c r="AN548" s="21" cm="1">
        <f t="array" ref="AN548">_xlfn.UNIQUE(AC548)</f>
        <v>45016</v>
      </c>
    </row>
    <row r="549" spans="1:40" x14ac:dyDescent="0.35">
      <c r="A549" t="s">
        <v>254</v>
      </c>
      <c r="B549" s="21">
        <v>45793</v>
      </c>
      <c r="C549" s="10">
        <v>45804</v>
      </c>
      <c r="D549" s="3">
        <f t="shared" si="96"/>
        <v>11</v>
      </c>
      <c r="E549" s="10" t="str">
        <f t="shared" si="97"/>
        <v>Q2-2025</v>
      </c>
      <c r="F549" t="s">
        <v>646</v>
      </c>
      <c r="G549" t="s">
        <v>658</v>
      </c>
      <c r="H549" t="s">
        <v>698</v>
      </c>
      <c r="I549" t="s">
        <v>705</v>
      </c>
      <c r="J549" t="s">
        <v>707</v>
      </c>
      <c r="K549" t="s">
        <v>720</v>
      </c>
      <c r="L549" t="s">
        <v>729</v>
      </c>
      <c r="M549" t="s">
        <v>972</v>
      </c>
      <c r="N549" s="3">
        <v>918.12</v>
      </c>
      <c r="O549" s="3">
        <v>1337.69</v>
      </c>
      <c r="P549" s="6">
        <v>9.5000000000000001E-2</v>
      </c>
      <c r="Q549" s="6">
        <f>IF(Table1[[#This Row],[DiscountPct]]&gt;25%,25%,Table1[[#This Row],[DiscountPct]])</f>
        <v>9.5000000000000001E-2</v>
      </c>
      <c r="R549" s="5">
        <v>8</v>
      </c>
      <c r="S549" s="6">
        <f t="shared" si="98"/>
        <v>0.45698819326449708</v>
      </c>
      <c r="T549" s="8">
        <f t="shared" si="99"/>
        <v>9684.8756000000012</v>
      </c>
      <c r="U549" s="8">
        <f t="shared" si="100"/>
        <v>7344.96</v>
      </c>
      <c r="V549" s="9">
        <f t="shared" si="101"/>
        <v>2339.9156000000012</v>
      </c>
      <c r="W549" s="6">
        <f t="shared" si="102"/>
        <v>0.24160512707050164</v>
      </c>
      <c r="X549" t="str" cm="1">
        <f t="array" ref="X549">_xlfn.IFS(S549&lt;=25%, "Low", S549&lt;=75%, "Medium", S549&gt;75%, "High")</f>
        <v>Medium</v>
      </c>
      <c r="Y549" s="8">
        <f>Table1[[#This Row],[Quantity]]*(Table1[[#This Row],[UnitPrice]]*(1-Table1[[#This Row],[DiscountPct]]))</f>
        <v>9684.8756000000012</v>
      </c>
      <c r="Z549" s="9">
        <f t="shared" si="103"/>
        <v>2339.9156000000012</v>
      </c>
      <c r="AA549">
        <f>COUNTIF($G$2:G550,G549)</f>
        <v>45</v>
      </c>
      <c r="AB549" s="21">
        <f t="shared" si="104"/>
        <v>44988</v>
      </c>
      <c r="AC549" s="21">
        <f t="shared" si="105"/>
        <v>45016</v>
      </c>
      <c r="AD549" s="5">
        <f>(Table1[[#This Row],[OrderDate]]-Table1[[#This Row],[Date of first order]])/30</f>
        <v>26.833333333333332</v>
      </c>
      <c r="AE549" t="str">
        <f t="shared" si="106"/>
        <v>Poor</v>
      </c>
      <c r="AF549">
        <f>COUNTIF(AE$2:AE550,AE549)</f>
        <v>395</v>
      </c>
      <c r="AG549" t="str">
        <f t="shared" si="107"/>
        <v>False</v>
      </c>
      <c r="AH549" s="7">
        <f>Table1[[#This Row],[UnitPrice]]*(1-Table1[[#This Row],[Disc Scenario]])*Table1[[#This Row],[Quantity]]</f>
        <v>9684.8756000000012</v>
      </c>
      <c r="AI549">
        <f>ROUNDDOWN((Table1[[#This Row],[Quantity]]*(1+20%)),0)</f>
        <v>9</v>
      </c>
      <c r="AJ549" s="7">
        <f>Table1[[#This Row],[Quantity increase by 20%]]*Table1[[#This Row],[UnitPrice]]</f>
        <v>12039.210000000001</v>
      </c>
      <c r="AK549">
        <f>ROUNDDOWN(Table1[[#This Row],[Quantity]]*(1+20%),0)</f>
        <v>9</v>
      </c>
      <c r="AL549" s="7">
        <f>Table1[[#This Row],[UnitCost]]*(1+15%)</f>
        <v>1055.838</v>
      </c>
      <c r="AM549" s="9">
        <f>Table1[[#This Row],[Quantity]]*Table1[[#This Row],[Cost of unit by inflation 15%]]</f>
        <v>8446.7039999999997</v>
      </c>
      <c r="AN549" s="21" cm="1">
        <f t="array" ref="AN549">_xlfn.UNIQUE(AC549)</f>
        <v>45016</v>
      </c>
    </row>
    <row r="550" spans="1:40" x14ac:dyDescent="0.35">
      <c r="A550" t="s">
        <v>296</v>
      </c>
      <c r="B550" s="21">
        <v>45794</v>
      </c>
      <c r="C550" s="10">
        <v>45805</v>
      </c>
      <c r="D550" s="3">
        <f t="shared" si="96"/>
        <v>11</v>
      </c>
      <c r="E550" s="10" t="str">
        <f t="shared" si="97"/>
        <v>Q2-2025</v>
      </c>
      <c r="F550" t="s">
        <v>646</v>
      </c>
      <c r="G550" t="s">
        <v>653</v>
      </c>
      <c r="H550" t="s">
        <v>667</v>
      </c>
      <c r="I550" t="s">
        <v>700</v>
      </c>
      <c r="J550" t="s">
        <v>709</v>
      </c>
      <c r="K550" t="s">
        <v>716</v>
      </c>
      <c r="L550" t="s">
        <v>730</v>
      </c>
      <c r="M550" t="s">
        <v>1014</v>
      </c>
      <c r="N550" s="3">
        <v>623.4</v>
      </c>
      <c r="O550" s="3">
        <v>1100.0899999999999</v>
      </c>
      <c r="P550" s="6">
        <v>0.114</v>
      </c>
      <c r="Q550" s="6">
        <f>IF(Table1[[#This Row],[DiscountPct]]&gt;25%,25%,Table1[[#This Row],[DiscountPct]])</f>
        <v>0.114</v>
      </c>
      <c r="R550" s="5">
        <v>12</v>
      </c>
      <c r="S550" s="6">
        <f t="shared" si="98"/>
        <v>0.764661533525826</v>
      </c>
      <c r="T550" s="8">
        <f t="shared" si="99"/>
        <v>11696.156879999999</v>
      </c>
      <c r="U550" s="8">
        <f t="shared" si="100"/>
        <v>7480.7999999999993</v>
      </c>
      <c r="V550" s="9">
        <f t="shared" si="101"/>
        <v>4215.3568799999994</v>
      </c>
      <c r="W550" s="6">
        <f t="shared" si="102"/>
        <v>0.36040529579490388</v>
      </c>
      <c r="X550" t="str" cm="1">
        <f t="array" ref="X550">_xlfn.IFS(S550&lt;=25%, "Low", S550&lt;=75%, "Medium", S550&gt;75%, "High")</f>
        <v>High</v>
      </c>
      <c r="Y550" s="8">
        <f>Table1[[#This Row],[Quantity]]*(Table1[[#This Row],[UnitPrice]]*(1-Table1[[#This Row],[DiscountPct]]))</f>
        <v>11696.156879999999</v>
      </c>
      <c r="Z550" s="9">
        <f t="shared" si="103"/>
        <v>4215.3568799999994</v>
      </c>
      <c r="AA550">
        <f>COUNTIF($G$2:G551,G550)</f>
        <v>54</v>
      </c>
      <c r="AB550" s="21">
        <f t="shared" si="104"/>
        <v>44988</v>
      </c>
      <c r="AC550" s="21">
        <f t="shared" si="105"/>
        <v>45016</v>
      </c>
      <c r="AD550" s="5">
        <f>(Table1[[#This Row],[OrderDate]]-Table1[[#This Row],[Date of first order]])/30</f>
        <v>26.866666666666667</v>
      </c>
      <c r="AE550" t="str">
        <f t="shared" si="106"/>
        <v>Poor</v>
      </c>
      <c r="AF550">
        <f>COUNTIF(AE$2:AE551,AE550)</f>
        <v>395</v>
      </c>
      <c r="AG550" t="str">
        <f t="shared" si="107"/>
        <v>False</v>
      </c>
      <c r="AH550" s="7">
        <f>Table1[[#This Row],[UnitPrice]]*(1-Table1[[#This Row],[Disc Scenario]])*Table1[[#This Row],[Quantity]]</f>
        <v>11696.156879999999</v>
      </c>
      <c r="AI550">
        <f>ROUNDDOWN((Table1[[#This Row],[Quantity]]*(1+20%)),0)</f>
        <v>14</v>
      </c>
      <c r="AJ550" s="7">
        <f>Table1[[#This Row],[Quantity increase by 20%]]*Table1[[#This Row],[UnitPrice]]</f>
        <v>15401.259999999998</v>
      </c>
      <c r="AK550">
        <f>ROUNDDOWN(Table1[[#This Row],[Quantity]]*(1+20%),0)</f>
        <v>14</v>
      </c>
      <c r="AL550" s="7">
        <f>Table1[[#This Row],[UnitCost]]*(1+15%)</f>
        <v>716.91</v>
      </c>
      <c r="AM550" s="9">
        <f>Table1[[#This Row],[Quantity]]*Table1[[#This Row],[Cost of unit by inflation 15%]]</f>
        <v>8602.92</v>
      </c>
      <c r="AN550" s="21" cm="1">
        <f t="array" ref="AN550">_xlfn.UNIQUE(AC550)</f>
        <v>45016</v>
      </c>
    </row>
    <row r="551" spans="1:40" x14ac:dyDescent="0.35">
      <c r="A551" t="s">
        <v>341</v>
      </c>
      <c r="B551" s="21">
        <v>45794</v>
      </c>
      <c r="C551" s="10">
        <v>45796</v>
      </c>
      <c r="D551" s="3">
        <f t="shared" si="96"/>
        <v>2</v>
      </c>
      <c r="E551" s="10" t="str">
        <f t="shared" si="97"/>
        <v>Q2-2025</v>
      </c>
      <c r="F551" t="s">
        <v>647</v>
      </c>
      <c r="G551" t="s">
        <v>654</v>
      </c>
      <c r="H551" t="s">
        <v>669</v>
      </c>
      <c r="I551" t="s">
        <v>704</v>
      </c>
      <c r="J551" t="s">
        <v>709</v>
      </c>
      <c r="K551" t="s">
        <v>715</v>
      </c>
      <c r="L551" t="s">
        <v>731</v>
      </c>
      <c r="M551" t="s">
        <v>1059</v>
      </c>
      <c r="N551" s="3">
        <v>383.77</v>
      </c>
      <c r="O551" s="3">
        <v>952.56</v>
      </c>
      <c r="P551" s="6">
        <v>0.14000000000000001</v>
      </c>
      <c r="Q551" s="6">
        <f>IF(Table1[[#This Row],[DiscountPct]]&gt;25%,25%,Table1[[#This Row],[DiscountPct]])</f>
        <v>0.14000000000000001</v>
      </c>
      <c r="R551" s="5">
        <v>10</v>
      </c>
      <c r="S551" s="6">
        <f t="shared" si="98"/>
        <v>1.4821116814758839</v>
      </c>
      <c r="T551" s="8">
        <f t="shared" si="99"/>
        <v>8192.0159999999978</v>
      </c>
      <c r="U551" s="8">
        <f t="shared" si="100"/>
        <v>3837.7</v>
      </c>
      <c r="V551" s="9">
        <f t="shared" si="101"/>
        <v>4354.315999999998</v>
      </c>
      <c r="W551" s="6">
        <f t="shared" si="102"/>
        <v>0.53153167669594381</v>
      </c>
      <c r="X551" t="str" cm="1">
        <f t="array" ref="X551">_xlfn.IFS(S551&lt;=25%, "Low", S551&lt;=75%, "Medium", S551&gt;75%, "High")</f>
        <v>High</v>
      </c>
      <c r="Y551" s="8">
        <f>Table1[[#This Row],[Quantity]]*(Table1[[#This Row],[UnitPrice]]*(1-Table1[[#This Row],[DiscountPct]]))</f>
        <v>8192.0159999999996</v>
      </c>
      <c r="Z551" s="9">
        <f t="shared" si="103"/>
        <v>4354.3159999999998</v>
      </c>
      <c r="AA551">
        <f>COUNTIF($G$2:G552,G551)</f>
        <v>55</v>
      </c>
      <c r="AB551" s="21">
        <f t="shared" si="104"/>
        <v>44988</v>
      </c>
      <c r="AC551" s="21">
        <f t="shared" si="105"/>
        <v>45016</v>
      </c>
      <c r="AD551" s="5">
        <f>(Table1[[#This Row],[OrderDate]]-Table1[[#This Row],[Date of first order]])/30</f>
        <v>26.866666666666667</v>
      </c>
      <c r="AE551" t="str">
        <f t="shared" si="106"/>
        <v>Good</v>
      </c>
      <c r="AF551">
        <f>COUNTIF(AE$2:AE552,AE551)</f>
        <v>155</v>
      </c>
      <c r="AG551" t="str">
        <f t="shared" si="107"/>
        <v>False</v>
      </c>
      <c r="AH551" s="7">
        <f>Table1[[#This Row],[UnitPrice]]*(1-Table1[[#This Row],[Disc Scenario]])*Table1[[#This Row],[Quantity]]</f>
        <v>8192.0159999999996</v>
      </c>
      <c r="AI551">
        <f>ROUNDDOWN((Table1[[#This Row],[Quantity]]*(1+20%)),0)</f>
        <v>12</v>
      </c>
      <c r="AJ551" s="7">
        <f>Table1[[#This Row],[Quantity increase by 20%]]*Table1[[#This Row],[UnitPrice]]</f>
        <v>11430.72</v>
      </c>
      <c r="AK551">
        <f>ROUNDDOWN(Table1[[#This Row],[Quantity]]*(1+20%),0)</f>
        <v>12</v>
      </c>
      <c r="AL551" s="7">
        <f>Table1[[#This Row],[UnitCost]]*(1+15%)</f>
        <v>441.33549999999997</v>
      </c>
      <c r="AM551" s="9">
        <f>Table1[[#This Row],[Quantity]]*Table1[[#This Row],[Cost of unit by inflation 15%]]</f>
        <v>4413.3549999999996</v>
      </c>
      <c r="AN551" s="21" cm="1">
        <f t="array" ref="AN551">_xlfn.UNIQUE(AC551)</f>
        <v>45016</v>
      </c>
    </row>
    <row r="552" spans="1:40" x14ac:dyDescent="0.35">
      <c r="A552" t="s">
        <v>530</v>
      </c>
      <c r="B552" s="21">
        <v>45794</v>
      </c>
      <c r="C552" s="10">
        <v>45807</v>
      </c>
      <c r="D552" s="3">
        <f t="shared" si="96"/>
        <v>13</v>
      </c>
      <c r="E552" s="10" t="str">
        <f t="shared" si="97"/>
        <v>Q2-2025</v>
      </c>
      <c r="F552" t="s">
        <v>645</v>
      </c>
      <c r="G552" t="s">
        <v>650</v>
      </c>
      <c r="H552" t="s">
        <v>664</v>
      </c>
      <c r="I552" t="s">
        <v>703</v>
      </c>
      <c r="J552" t="s">
        <v>709</v>
      </c>
      <c r="K552" t="s">
        <v>720</v>
      </c>
      <c r="L552" t="s">
        <v>732</v>
      </c>
      <c r="M552" t="s">
        <v>1247</v>
      </c>
      <c r="N552" s="3">
        <v>66.400000000000006</v>
      </c>
      <c r="O552" s="3">
        <v>141.43</v>
      </c>
      <c r="P552" s="6">
        <v>0.107</v>
      </c>
      <c r="Q552" s="6">
        <f>IF(Table1[[#This Row],[DiscountPct]]&gt;25%,25%,Table1[[#This Row],[DiscountPct]])</f>
        <v>0.107</v>
      </c>
      <c r="R552" s="5">
        <v>8</v>
      </c>
      <c r="S552" s="6">
        <f t="shared" si="98"/>
        <v>1.1299698795180722</v>
      </c>
      <c r="T552" s="8">
        <f t="shared" si="99"/>
        <v>1010.3759200000001</v>
      </c>
      <c r="U552" s="8">
        <f t="shared" si="100"/>
        <v>531.20000000000005</v>
      </c>
      <c r="V552" s="9">
        <f t="shared" si="101"/>
        <v>479.17592000000002</v>
      </c>
      <c r="W552" s="6">
        <f t="shared" si="102"/>
        <v>0.47425508715607551</v>
      </c>
      <c r="X552" t="str" cm="1">
        <f t="array" ref="X552">_xlfn.IFS(S552&lt;=25%, "Low", S552&lt;=75%, "Medium", S552&gt;75%, "High")</f>
        <v>High</v>
      </c>
      <c r="Y552" s="8">
        <f>Table1[[#This Row],[Quantity]]*(Table1[[#This Row],[UnitPrice]]*(1-Table1[[#This Row],[DiscountPct]]))</f>
        <v>1010.3759200000001</v>
      </c>
      <c r="Z552" s="9">
        <f t="shared" si="103"/>
        <v>479.17592000000002</v>
      </c>
      <c r="AA552">
        <f>COUNTIF($G$2:G553,G552)</f>
        <v>38</v>
      </c>
      <c r="AB552" s="21">
        <f t="shared" si="104"/>
        <v>44988</v>
      </c>
      <c r="AC552" s="21">
        <f t="shared" si="105"/>
        <v>45016</v>
      </c>
      <c r="AD552" s="5">
        <f>(Table1[[#This Row],[OrderDate]]-Table1[[#This Row],[Date of first order]])/30</f>
        <v>26.866666666666667</v>
      </c>
      <c r="AE552" t="str">
        <f t="shared" si="106"/>
        <v>Poor</v>
      </c>
      <c r="AF552">
        <f>COUNTIF(AE$2:AE553,AE552)</f>
        <v>397</v>
      </c>
      <c r="AG552" t="str">
        <f t="shared" si="107"/>
        <v>False</v>
      </c>
      <c r="AH552" s="7">
        <f>Table1[[#This Row],[UnitPrice]]*(1-Table1[[#This Row],[Disc Scenario]])*Table1[[#This Row],[Quantity]]</f>
        <v>1010.3759200000001</v>
      </c>
      <c r="AI552">
        <f>ROUNDDOWN((Table1[[#This Row],[Quantity]]*(1+20%)),0)</f>
        <v>9</v>
      </c>
      <c r="AJ552" s="7">
        <f>Table1[[#This Row],[Quantity increase by 20%]]*Table1[[#This Row],[UnitPrice]]</f>
        <v>1272.8700000000001</v>
      </c>
      <c r="AK552">
        <f>ROUNDDOWN(Table1[[#This Row],[Quantity]]*(1+20%),0)</f>
        <v>9</v>
      </c>
      <c r="AL552" s="7">
        <f>Table1[[#This Row],[UnitCost]]*(1+15%)</f>
        <v>76.36</v>
      </c>
      <c r="AM552" s="9">
        <f>Table1[[#This Row],[Quantity]]*Table1[[#This Row],[Cost of unit by inflation 15%]]</f>
        <v>610.88</v>
      </c>
      <c r="AN552" s="21" cm="1">
        <f t="array" ref="AN552">_xlfn.UNIQUE(AC552)</f>
        <v>45016</v>
      </c>
    </row>
    <row r="553" spans="1:40" x14ac:dyDescent="0.35">
      <c r="A553" t="s">
        <v>320</v>
      </c>
      <c r="B553" s="21">
        <v>45795</v>
      </c>
      <c r="C553" s="10">
        <v>45817</v>
      </c>
      <c r="D553" s="3">
        <f t="shared" si="96"/>
        <v>22</v>
      </c>
      <c r="E553" s="10" t="str">
        <f t="shared" si="97"/>
        <v>Q2-2025</v>
      </c>
      <c r="F553" t="s">
        <v>647</v>
      </c>
      <c r="G553" t="s">
        <v>659</v>
      </c>
      <c r="H553" t="s">
        <v>699</v>
      </c>
      <c r="I553" t="s">
        <v>703</v>
      </c>
      <c r="J553" t="s">
        <v>706</v>
      </c>
      <c r="K553" t="s">
        <v>721</v>
      </c>
      <c r="L553" t="s">
        <v>728</v>
      </c>
      <c r="M553" t="s">
        <v>1038</v>
      </c>
      <c r="N553" s="3">
        <v>382.96</v>
      </c>
      <c r="O553" s="3">
        <v>552.84</v>
      </c>
      <c r="P553" s="6">
        <v>0.17599999999999999</v>
      </c>
      <c r="Q553" s="6">
        <f>IF(Table1[[#This Row],[DiscountPct]]&gt;25%,25%,Table1[[#This Row],[DiscountPct]])</f>
        <v>0.17599999999999999</v>
      </c>
      <c r="R553" s="5">
        <v>8</v>
      </c>
      <c r="S553" s="6">
        <f t="shared" si="98"/>
        <v>0.44359724253185728</v>
      </c>
      <c r="T553" s="8">
        <f t="shared" si="99"/>
        <v>3644.3212800000006</v>
      </c>
      <c r="U553" s="8">
        <f t="shared" si="100"/>
        <v>3063.68</v>
      </c>
      <c r="V553" s="9">
        <f t="shared" si="101"/>
        <v>580.64128000000073</v>
      </c>
      <c r="W553" s="6">
        <f t="shared" si="102"/>
        <v>0.15932768693763483</v>
      </c>
      <c r="X553" t="str" cm="1">
        <f t="array" ref="X553">_xlfn.IFS(S553&lt;=25%, "Low", S553&lt;=75%, "Medium", S553&gt;75%, "High")</f>
        <v>Medium</v>
      </c>
      <c r="Y553" s="8">
        <f>Table1[[#This Row],[Quantity]]*(Table1[[#This Row],[UnitPrice]]*(1-Table1[[#This Row],[DiscountPct]]))</f>
        <v>3644.3212800000006</v>
      </c>
      <c r="Z553" s="9">
        <f t="shared" si="103"/>
        <v>580.64128000000073</v>
      </c>
      <c r="AA553">
        <f>COUNTIF($G$2:G554,G553)</f>
        <v>48</v>
      </c>
      <c r="AB553" s="21">
        <f t="shared" si="104"/>
        <v>44988</v>
      </c>
      <c r="AC553" s="21">
        <f t="shared" si="105"/>
        <v>45016</v>
      </c>
      <c r="AD553" s="5">
        <f>(Table1[[#This Row],[OrderDate]]-Table1[[#This Row],[Date of first order]])/30</f>
        <v>26.9</v>
      </c>
      <c r="AE553" t="str">
        <f t="shared" si="106"/>
        <v>Poor</v>
      </c>
      <c r="AF553">
        <f>COUNTIF(AE$2:AE554,AE553)</f>
        <v>397</v>
      </c>
      <c r="AG553" t="str">
        <f t="shared" si="107"/>
        <v>False</v>
      </c>
      <c r="AH553" s="7">
        <f>Table1[[#This Row],[UnitPrice]]*(1-Table1[[#This Row],[Disc Scenario]])*Table1[[#This Row],[Quantity]]</f>
        <v>3644.3212800000006</v>
      </c>
      <c r="AI553">
        <f>ROUNDDOWN((Table1[[#This Row],[Quantity]]*(1+20%)),0)</f>
        <v>9</v>
      </c>
      <c r="AJ553" s="7">
        <f>Table1[[#This Row],[Quantity increase by 20%]]*Table1[[#This Row],[UnitPrice]]</f>
        <v>4975.5600000000004</v>
      </c>
      <c r="AK553">
        <f>ROUNDDOWN(Table1[[#This Row],[Quantity]]*(1+20%),0)</f>
        <v>9</v>
      </c>
      <c r="AL553" s="7">
        <f>Table1[[#This Row],[UnitCost]]*(1+15%)</f>
        <v>440.40399999999994</v>
      </c>
      <c r="AM553" s="9">
        <f>Table1[[#This Row],[Quantity]]*Table1[[#This Row],[Cost of unit by inflation 15%]]</f>
        <v>3523.2319999999995</v>
      </c>
      <c r="AN553" s="21" cm="1">
        <f t="array" ref="AN553">_xlfn.UNIQUE(AC553)</f>
        <v>45016</v>
      </c>
    </row>
    <row r="554" spans="1:40" x14ac:dyDescent="0.35">
      <c r="A554" t="s">
        <v>34</v>
      </c>
      <c r="B554" s="21">
        <v>45796</v>
      </c>
      <c r="C554" s="10">
        <v>45798</v>
      </c>
      <c r="D554" s="3">
        <f t="shared" si="96"/>
        <v>2</v>
      </c>
      <c r="E554" s="10" t="str">
        <f t="shared" si="97"/>
        <v>Q2-2025</v>
      </c>
      <c r="F554" t="s">
        <v>648</v>
      </c>
      <c r="G554" t="s">
        <v>657</v>
      </c>
      <c r="H554" t="s">
        <v>673</v>
      </c>
      <c r="I554" t="s">
        <v>705</v>
      </c>
      <c r="J554" t="s">
        <v>707</v>
      </c>
      <c r="K554" t="s">
        <v>723</v>
      </c>
      <c r="L554" t="s">
        <v>730</v>
      </c>
      <c r="M554" t="s">
        <v>752</v>
      </c>
      <c r="N554" s="3">
        <v>1015.16</v>
      </c>
      <c r="O554" s="3">
        <v>2148.14</v>
      </c>
      <c r="P554" s="6">
        <v>3.7999999999999999E-2</v>
      </c>
      <c r="Q554" s="6">
        <f>IF(Table1[[#This Row],[DiscountPct]]&gt;25%,25%,Table1[[#This Row],[DiscountPct]])</f>
        <v>3.7999999999999999E-2</v>
      </c>
      <c r="R554" s="5">
        <v>19</v>
      </c>
      <c r="S554" s="6">
        <f t="shared" si="98"/>
        <v>1.1160605224792151</v>
      </c>
      <c r="T554" s="8">
        <f t="shared" si="99"/>
        <v>39263.702919999996</v>
      </c>
      <c r="U554" s="8">
        <f t="shared" si="100"/>
        <v>19288.04</v>
      </c>
      <c r="V554" s="9">
        <f t="shared" si="101"/>
        <v>19975.662919999995</v>
      </c>
      <c r="W554" s="6">
        <f t="shared" si="102"/>
        <v>0.50875647059322227</v>
      </c>
      <c r="X554" t="str" cm="1">
        <f t="array" ref="X554">_xlfn.IFS(S554&lt;=25%, "Low", S554&lt;=75%, "Medium", S554&gt;75%, "High")</f>
        <v>High</v>
      </c>
      <c r="Y554" s="8">
        <f>Table1[[#This Row],[Quantity]]*(Table1[[#This Row],[UnitPrice]]*(1-Table1[[#This Row],[DiscountPct]]))</f>
        <v>39263.702919999996</v>
      </c>
      <c r="Z554" s="9">
        <f t="shared" si="103"/>
        <v>19975.662919999995</v>
      </c>
      <c r="AA554">
        <f>COUNTIF($G$2:G555,G554)</f>
        <v>47</v>
      </c>
      <c r="AB554" s="21">
        <f t="shared" si="104"/>
        <v>44988</v>
      </c>
      <c r="AC554" s="21">
        <f t="shared" si="105"/>
        <v>45016</v>
      </c>
      <c r="AD554" s="5">
        <f>(Table1[[#This Row],[OrderDate]]-Table1[[#This Row],[Date of first order]])/30</f>
        <v>26.933333333333334</v>
      </c>
      <c r="AE554" t="str">
        <f t="shared" si="106"/>
        <v>Good</v>
      </c>
      <c r="AF554">
        <f>COUNTIF(AE$2:AE555,AE554)</f>
        <v>157</v>
      </c>
      <c r="AG554" t="str">
        <f t="shared" si="107"/>
        <v>False</v>
      </c>
      <c r="AH554" s="7">
        <f>Table1[[#This Row],[UnitPrice]]*(1-Table1[[#This Row],[Disc Scenario]])*Table1[[#This Row],[Quantity]]</f>
        <v>39263.702919999996</v>
      </c>
      <c r="AI554">
        <f>ROUNDDOWN((Table1[[#This Row],[Quantity]]*(1+20%)),0)</f>
        <v>22</v>
      </c>
      <c r="AJ554" s="7">
        <f>Table1[[#This Row],[Quantity increase by 20%]]*Table1[[#This Row],[UnitPrice]]</f>
        <v>47259.079999999994</v>
      </c>
      <c r="AK554">
        <f>ROUNDDOWN(Table1[[#This Row],[Quantity]]*(1+20%),0)</f>
        <v>22</v>
      </c>
      <c r="AL554" s="7">
        <f>Table1[[#This Row],[UnitCost]]*(1+15%)</f>
        <v>1167.434</v>
      </c>
      <c r="AM554" s="9">
        <f>Table1[[#This Row],[Quantity]]*Table1[[#This Row],[Cost of unit by inflation 15%]]</f>
        <v>22181.245999999999</v>
      </c>
      <c r="AN554" s="21" cm="1">
        <f t="array" ref="AN554">_xlfn.UNIQUE(AC554)</f>
        <v>45016</v>
      </c>
    </row>
    <row r="555" spans="1:40" x14ac:dyDescent="0.35">
      <c r="A555" t="s">
        <v>187</v>
      </c>
      <c r="B555" s="21">
        <v>45796</v>
      </c>
      <c r="C555" s="10">
        <v>45798</v>
      </c>
      <c r="D555" s="3">
        <f t="shared" si="96"/>
        <v>2</v>
      </c>
      <c r="E555" s="10" t="str">
        <f t="shared" si="97"/>
        <v>Q2-2025</v>
      </c>
      <c r="F555" t="s">
        <v>645</v>
      </c>
      <c r="G555" t="s">
        <v>660</v>
      </c>
      <c r="H555" t="s">
        <v>681</v>
      </c>
      <c r="I555" t="s">
        <v>702</v>
      </c>
      <c r="J555" t="s">
        <v>709</v>
      </c>
      <c r="K555" t="s">
        <v>718</v>
      </c>
      <c r="L555" t="s">
        <v>730</v>
      </c>
      <c r="M555" t="s">
        <v>905</v>
      </c>
      <c r="N555" s="3">
        <v>1263.8399999999999</v>
      </c>
      <c r="O555" s="3">
        <v>2281.7199999999998</v>
      </c>
      <c r="P555" s="6">
        <v>7.8E-2</v>
      </c>
      <c r="Q555" s="6">
        <f>IF(Table1[[#This Row],[DiscountPct]]&gt;25%,25%,Table1[[#This Row],[DiscountPct]])</f>
        <v>7.8E-2</v>
      </c>
      <c r="R555" s="5">
        <v>15</v>
      </c>
      <c r="S555" s="6">
        <f t="shared" si="98"/>
        <v>0.80538675781744518</v>
      </c>
      <c r="T555" s="8">
        <f t="shared" si="99"/>
        <v>31556.187599999997</v>
      </c>
      <c r="U555" s="8">
        <f t="shared" si="100"/>
        <v>18957.599999999999</v>
      </c>
      <c r="V555" s="9">
        <f t="shared" si="101"/>
        <v>12598.587599999999</v>
      </c>
      <c r="W555" s="6">
        <f t="shared" si="102"/>
        <v>0.39924301882398494</v>
      </c>
      <c r="X555" t="str" cm="1">
        <f t="array" ref="X555">_xlfn.IFS(S555&lt;=25%, "Low", S555&lt;=75%, "Medium", S555&gt;75%, "High")</f>
        <v>High</v>
      </c>
      <c r="Y555" s="8">
        <f>Table1[[#This Row],[Quantity]]*(Table1[[#This Row],[UnitPrice]]*(1-Table1[[#This Row],[DiscountPct]]))</f>
        <v>31556.187600000001</v>
      </c>
      <c r="Z555" s="9">
        <f t="shared" si="103"/>
        <v>12598.587600000003</v>
      </c>
      <c r="AA555">
        <f>COUNTIF($G$2:G556,G555)</f>
        <v>38</v>
      </c>
      <c r="AB555" s="21">
        <f t="shared" si="104"/>
        <v>44988</v>
      </c>
      <c r="AC555" s="21">
        <f t="shared" si="105"/>
        <v>45016</v>
      </c>
      <c r="AD555" s="5">
        <f>(Table1[[#This Row],[OrderDate]]-Table1[[#This Row],[Date of first order]])/30</f>
        <v>26.933333333333334</v>
      </c>
      <c r="AE555" t="str">
        <f t="shared" si="106"/>
        <v>Good</v>
      </c>
      <c r="AF555">
        <f>COUNTIF(AE$2:AE556,AE555)</f>
        <v>157</v>
      </c>
      <c r="AG555" t="str">
        <f t="shared" si="107"/>
        <v>False</v>
      </c>
      <c r="AH555" s="7">
        <f>Table1[[#This Row],[UnitPrice]]*(1-Table1[[#This Row],[Disc Scenario]])*Table1[[#This Row],[Quantity]]</f>
        <v>31556.187600000001</v>
      </c>
      <c r="AI555">
        <f>ROUNDDOWN((Table1[[#This Row],[Quantity]]*(1+20%)),0)</f>
        <v>18</v>
      </c>
      <c r="AJ555" s="7">
        <f>Table1[[#This Row],[Quantity increase by 20%]]*Table1[[#This Row],[UnitPrice]]</f>
        <v>41070.959999999999</v>
      </c>
      <c r="AK555">
        <f>ROUNDDOWN(Table1[[#This Row],[Quantity]]*(1+20%),0)</f>
        <v>18</v>
      </c>
      <c r="AL555" s="7">
        <f>Table1[[#This Row],[UnitCost]]*(1+15%)</f>
        <v>1453.4159999999997</v>
      </c>
      <c r="AM555" s="9">
        <f>Table1[[#This Row],[Quantity]]*Table1[[#This Row],[Cost of unit by inflation 15%]]</f>
        <v>21801.239999999994</v>
      </c>
      <c r="AN555" s="21" cm="1">
        <f t="array" ref="AN555">_xlfn.UNIQUE(AC555)</f>
        <v>45016</v>
      </c>
    </row>
    <row r="556" spans="1:40" x14ac:dyDescent="0.35">
      <c r="A556" t="s">
        <v>24</v>
      </c>
      <c r="B556" s="21">
        <v>45798</v>
      </c>
      <c r="C556" s="10">
        <v>45817</v>
      </c>
      <c r="D556" s="3">
        <f t="shared" si="96"/>
        <v>19</v>
      </c>
      <c r="E556" s="10" t="str">
        <f t="shared" si="97"/>
        <v>Q2-2025</v>
      </c>
      <c r="F556" t="s">
        <v>647</v>
      </c>
      <c r="G556" t="s">
        <v>654</v>
      </c>
      <c r="H556" t="s">
        <v>669</v>
      </c>
      <c r="I556" t="s">
        <v>702</v>
      </c>
      <c r="J556" t="s">
        <v>707</v>
      </c>
      <c r="K556" t="s">
        <v>719</v>
      </c>
      <c r="L556" t="s">
        <v>726</v>
      </c>
      <c r="M556" t="s">
        <v>742</v>
      </c>
      <c r="N556" s="3">
        <v>1331.38</v>
      </c>
      <c r="O556" s="3">
        <v>2309.56</v>
      </c>
      <c r="P556" s="6">
        <v>0.14899999999999999</v>
      </c>
      <c r="Q556" s="6">
        <f>IF(Table1[[#This Row],[DiscountPct]]&gt;25%,25%,Table1[[#This Row],[DiscountPct]])</f>
        <v>0.14899999999999999</v>
      </c>
      <c r="R556" s="5">
        <v>31</v>
      </c>
      <c r="S556" s="6">
        <f t="shared" si="98"/>
        <v>0.73471135213087158</v>
      </c>
      <c r="T556" s="8">
        <f t="shared" si="99"/>
        <v>60928.502359999999</v>
      </c>
      <c r="U556" s="8">
        <f t="shared" si="100"/>
        <v>41272.780000000006</v>
      </c>
      <c r="V556" s="9">
        <f t="shared" si="101"/>
        <v>19655.722359999992</v>
      </c>
      <c r="W556" s="6">
        <f t="shared" si="102"/>
        <v>0.32260307735553528</v>
      </c>
      <c r="X556" t="str" cm="1">
        <f t="array" ref="X556">_xlfn.IFS(S556&lt;=25%, "Low", S556&lt;=75%, "Medium", S556&gt;75%, "High")</f>
        <v>Medium</v>
      </c>
      <c r="Y556" s="8">
        <f>Table1[[#This Row],[Quantity]]*(Table1[[#This Row],[UnitPrice]]*(1-Table1[[#This Row],[DiscountPct]]))</f>
        <v>60928.502359999999</v>
      </c>
      <c r="Z556" s="9">
        <f t="shared" si="103"/>
        <v>19655.722359999992</v>
      </c>
      <c r="AA556">
        <f>COUNTIF($G$2:G557,G556)</f>
        <v>56</v>
      </c>
      <c r="AB556" s="21">
        <f t="shared" si="104"/>
        <v>44988</v>
      </c>
      <c r="AC556" s="21">
        <f t="shared" si="105"/>
        <v>45016</v>
      </c>
      <c r="AD556" s="5">
        <f>(Table1[[#This Row],[OrderDate]]-Table1[[#This Row],[Date of first order]])/30</f>
        <v>27</v>
      </c>
      <c r="AE556" t="str">
        <f t="shared" si="106"/>
        <v>Poor</v>
      </c>
      <c r="AF556">
        <f>COUNTIF(AE$2:AE557,AE556)</f>
        <v>399</v>
      </c>
      <c r="AG556" t="str">
        <f t="shared" si="107"/>
        <v>False</v>
      </c>
      <c r="AH556" s="7">
        <f>Table1[[#This Row],[UnitPrice]]*(1-Table1[[#This Row],[Disc Scenario]])*Table1[[#This Row],[Quantity]]</f>
        <v>60928.502359999999</v>
      </c>
      <c r="AI556">
        <f>ROUNDDOWN((Table1[[#This Row],[Quantity]]*(1+20%)),0)</f>
        <v>37</v>
      </c>
      <c r="AJ556" s="7">
        <f>Table1[[#This Row],[Quantity increase by 20%]]*Table1[[#This Row],[UnitPrice]]</f>
        <v>85453.72</v>
      </c>
      <c r="AK556">
        <f>ROUNDDOWN(Table1[[#This Row],[Quantity]]*(1+20%),0)</f>
        <v>37</v>
      </c>
      <c r="AL556" s="7">
        <f>Table1[[#This Row],[UnitCost]]*(1+15%)</f>
        <v>1531.087</v>
      </c>
      <c r="AM556" s="9">
        <f>Table1[[#This Row],[Quantity]]*Table1[[#This Row],[Cost of unit by inflation 15%]]</f>
        <v>47463.697</v>
      </c>
      <c r="AN556" s="21" cm="1">
        <f t="array" ref="AN556">_xlfn.UNIQUE(AC556)</f>
        <v>45016</v>
      </c>
    </row>
    <row r="557" spans="1:40" x14ac:dyDescent="0.35">
      <c r="A557" t="s">
        <v>408</v>
      </c>
      <c r="B557" s="21">
        <v>45804</v>
      </c>
      <c r="C557" s="10">
        <v>45816</v>
      </c>
      <c r="D557" s="3">
        <f t="shared" si="96"/>
        <v>12</v>
      </c>
      <c r="E557" s="10" t="str">
        <f t="shared" si="97"/>
        <v>Q2-2025</v>
      </c>
      <c r="F557" t="s">
        <v>646</v>
      </c>
      <c r="G557" t="s">
        <v>651</v>
      </c>
      <c r="H557" t="s">
        <v>665</v>
      </c>
      <c r="I557" t="s">
        <v>700</v>
      </c>
      <c r="J557" t="s">
        <v>706</v>
      </c>
      <c r="K557" t="s">
        <v>721</v>
      </c>
      <c r="L557" t="s">
        <v>732</v>
      </c>
      <c r="M557" t="s">
        <v>1125</v>
      </c>
      <c r="N557" s="3">
        <v>653.6</v>
      </c>
      <c r="O557" s="3">
        <v>842.09</v>
      </c>
      <c r="P557" s="6">
        <v>9.8000000000000004E-2</v>
      </c>
      <c r="Q557" s="6">
        <f>IF(Table1[[#This Row],[DiscountPct]]&gt;25%,25%,Table1[[#This Row],[DiscountPct]])</f>
        <v>9.8000000000000004E-2</v>
      </c>
      <c r="R557" s="5">
        <v>19</v>
      </c>
      <c r="S557" s="6">
        <f t="shared" si="98"/>
        <v>0.2883873929008568</v>
      </c>
      <c r="T557" s="8">
        <f t="shared" si="99"/>
        <v>14431.738420000001</v>
      </c>
      <c r="U557" s="8">
        <f t="shared" si="100"/>
        <v>12418.4</v>
      </c>
      <c r="V557" s="9">
        <f t="shared" si="101"/>
        <v>2013.3384200000019</v>
      </c>
      <c r="W557" s="6">
        <f t="shared" si="102"/>
        <v>0.13950768517324622</v>
      </c>
      <c r="X557" t="str" cm="1">
        <f t="array" ref="X557">_xlfn.IFS(S557&lt;=25%, "Low", S557&lt;=75%, "Medium", S557&gt;75%, "High")</f>
        <v>Medium</v>
      </c>
      <c r="Y557" s="8">
        <f>Table1[[#This Row],[Quantity]]*(Table1[[#This Row],[UnitPrice]]*(1-Table1[[#This Row],[DiscountPct]]))</f>
        <v>14431.738420000001</v>
      </c>
      <c r="Z557" s="9">
        <f t="shared" si="103"/>
        <v>2013.3384200000019</v>
      </c>
      <c r="AA557">
        <f>COUNTIF($G$2:G558,G557)</f>
        <v>52</v>
      </c>
      <c r="AB557" s="21">
        <f t="shared" si="104"/>
        <v>44988</v>
      </c>
      <c r="AC557" s="21">
        <f t="shared" si="105"/>
        <v>45016</v>
      </c>
      <c r="AD557" s="5">
        <f>(Table1[[#This Row],[OrderDate]]-Table1[[#This Row],[Date of first order]])/30</f>
        <v>27.2</v>
      </c>
      <c r="AE557" t="str">
        <f t="shared" si="106"/>
        <v>Poor</v>
      </c>
      <c r="AF557">
        <f>COUNTIF(AE$2:AE558,AE557)</f>
        <v>400</v>
      </c>
      <c r="AG557" t="str">
        <f t="shared" si="107"/>
        <v>False</v>
      </c>
      <c r="AH557" s="7">
        <f>Table1[[#This Row],[UnitPrice]]*(1-Table1[[#This Row],[Disc Scenario]])*Table1[[#This Row],[Quantity]]</f>
        <v>14431.738420000001</v>
      </c>
      <c r="AI557">
        <f>ROUNDDOWN((Table1[[#This Row],[Quantity]]*(1+20%)),0)</f>
        <v>22</v>
      </c>
      <c r="AJ557" s="7">
        <f>Table1[[#This Row],[Quantity increase by 20%]]*Table1[[#This Row],[UnitPrice]]</f>
        <v>18525.98</v>
      </c>
      <c r="AK557">
        <f>ROUNDDOWN(Table1[[#This Row],[Quantity]]*(1+20%),0)</f>
        <v>22</v>
      </c>
      <c r="AL557" s="7">
        <f>Table1[[#This Row],[UnitCost]]*(1+15%)</f>
        <v>751.64</v>
      </c>
      <c r="AM557" s="9">
        <f>Table1[[#This Row],[Quantity]]*Table1[[#This Row],[Cost of unit by inflation 15%]]</f>
        <v>14281.16</v>
      </c>
      <c r="AN557" s="21" cm="1">
        <f t="array" ref="AN557">_xlfn.UNIQUE(AC557)</f>
        <v>45016</v>
      </c>
    </row>
    <row r="558" spans="1:40" x14ac:dyDescent="0.35">
      <c r="A558" t="s">
        <v>58</v>
      </c>
      <c r="B558" s="21">
        <v>45806</v>
      </c>
      <c r="C558" s="10">
        <v>45828</v>
      </c>
      <c r="D558" s="3">
        <f t="shared" si="96"/>
        <v>22</v>
      </c>
      <c r="E558" s="10" t="str">
        <f t="shared" si="97"/>
        <v>Q2-2025</v>
      </c>
      <c r="F558" t="s">
        <v>648</v>
      </c>
      <c r="G558" t="s">
        <v>655</v>
      </c>
      <c r="H558" t="s">
        <v>670</v>
      </c>
      <c r="I558" t="s">
        <v>700</v>
      </c>
      <c r="J558" t="s">
        <v>710</v>
      </c>
      <c r="K558" t="s">
        <v>719</v>
      </c>
      <c r="L558" t="s">
        <v>727</v>
      </c>
      <c r="M558" t="s">
        <v>776</v>
      </c>
      <c r="N558" s="3">
        <v>483.47</v>
      </c>
      <c r="O558" s="3">
        <v>1135.43</v>
      </c>
      <c r="P558" s="6">
        <v>0.14599999999999999</v>
      </c>
      <c r="Q558" s="6">
        <f>IF(Table1[[#This Row],[DiscountPct]]&gt;25%,25%,Table1[[#This Row],[DiscountPct]])</f>
        <v>0.14599999999999999</v>
      </c>
      <c r="R558" s="5">
        <v>11</v>
      </c>
      <c r="S558" s="6">
        <f t="shared" si="98"/>
        <v>1.3485014582083688</v>
      </c>
      <c r="T558" s="8">
        <f t="shared" si="99"/>
        <v>10666.229420000001</v>
      </c>
      <c r="U558" s="8">
        <f t="shared" si="100"/>
        <v>5318.17</v>
      </c>
      <c r="V558" s="9">
        <f t="shared" si="101"/>
        <v>5348.0594200000014</v>
      </c>
      <c r="W558" s="6">
        <f t="shared" si="102"/>
        <v>0.50140112399719983</v>
      </c>
      <c r="X558" t="str" cm="1">
        <f t="array" ref="X558">_xlfn.IFS(S558&lt;=25%, "Low", S558&lt;=75%, "Medium", S558&gt;75%, "High")</f>
        <v>High</v>
      </c>
      <c r="Y558" s="8">
        <f>Table1[[#This Row],[Quantity]]*(Table1[[#This Row],[UnitPrice]]*(1-Table1[[#This Row],[DiscountPct]]))</f>
        <v>10666.22942</v>
      </c>
      <c r="Z558" s="9">
        <f t="shared" si="103"/>
        <v>5348.0594199999996</v>
      </c>
      <c r="AA558">
        <f>COUNTIF($G$2:G559,G558)</f>
        <v>47</v>
      </c>
      <c r="AB558" s="21">
        <f t="shared" si="104"/>
        <v>44988</v>
      </c>
      <c r="AC558" s="21">
        <f t="shared" si="105"/>
        <v>45016</v>
      </c>
      <c r="AD558" s="5">
        <f>(Table1[[#This Row],[OrderDate]]-Table1[[#This Row],[Date of first order]])/30</f>
        <v>27.266666666666666</v>
      </c>
      <c r="AE558" t="str">
        <f t="shared" si="106"/>
        <v>Poor</v>
      </c>
      <c r="AF558">
        <f>COUNTIF(AE$2:AE559,AE558)</f>
        <v>400</v>
      </c>
      <c r="AG558" t="str">
        <f t="shared" si="107"/>
        <v>False</v>
      </c>
      <c r="AH558" s="7">
        <f>Table1[[#This Row],[UnitPrice]]*(1-Table1[[#This Row],[Disc Scenario]])*Table1[[#This Row],[Quantity]]</f>
        <v>10666.22942</v>
      </c>
      <c r="AI558">
        <f>ROUNDDOWN((Table1[[#This Row],[Quantity]]*(1+20%)),0)</f>
        <v>13</v>
      </c>
      <c r="AJ558" s="7">
        <f>Table1[[#This Row],[Quantity increase by 20%]]*Table1[[#This Row],[UnitPrice]]</f>
        <v>14760.59</v>
      </c>
      <c r="AK558">
        <f>ROUNDDOWN(Table1[[#This Row],[Quantity]]*(1+20%),0)</f>
        <v>13</v>
      </c>
      <c r="AL558" s="7">
        <f>Table1[[#This Row],[UnitCost]]*(1+15%)</f>
        <v>555.9905</v>
      </c>
      <c r="AM558" s="9">
        <f>Table1[[#This Row],[Quantity]]*Table1[[#This Row],[Cost of unit by inflation 15%]]</f>
        <v>6115.8954999999996</v>
      </c>
      <c r="AN558" s="21" cm="1">
        <f t="array" ref="AN558">_xlfn.UNIQUE(AC558)</f>
        <v>45016</v>
      </c>
    </row>
    <row r="559" spans="1:40" x14ac:dyDescent="0.35">
      <c r="A559" t="s">
        <v>481</v>
      </c>
      <c r="B559" s="21">
        <v>45809</v>
      </c>
      <c r="C559" s="10">
        <v>45813</v>
      </c>
      <c r="D559" s="3">
        <f t="shared" si="96"/>
        <v>4</v>
      </c>
      <c r="E559" s="10" t="str">
        <f t="shared" si="97"/>
        <v>Q2-2025</v>
      </c>
      <c r="F559" t="s">
        <v>648</v>
      </c>
      <c r="G559" t="s">
        <v>655</v>
      </c>
      <c r="H559" t="s">
        <v>683</v>
      </c>
      <c r="I559" t="s">
        <v>705</v>
      </c>
      <c r="J559" t="s">
        <v>710</v>
      </c>
      <c r="K559" t="s">
        <v>723</v>
      </c>
      <c r="L559" t="s">
        <v>726</v>
      </c>
      <c r="M559" t="s">
        <v>1198</v>
      </c>
      <c r="N559" s="3">
        <v>1171.42</v>
      </c>
      <c r="O559" s="3">
        <v>2187.8000000000002</v>
      </c>
      <c r="P559" s="6">
        <v>0.23</v>
      </c>
      <c r="Q559" s="6">
        <f>IF(Table1[[#This Row],[DiscountPct]]&gt;25%,25%,Table1[[#This Row],[DiscountPct]])</f>
        <v>0.23</v>
      </c>
      <c r="R559" s="5">
        <v>15</v>
      </c>
      <c r="S559" s="6">
        <f t="shared" si="98"/>
        <v>0.86764781205716146</v>
      </c>
      <c r="T559" s="8">
        <f t="shared" si="99"/>
        <v>25269.09</v>
      </c>
      <c r="U559" s="8">
        <f t="shared" si="100"/>
        <v>17571.300000000003</v>
      </c>
      <c r="V559" s="9">
        <f t="shared" si="101"/>
        <v>7697.7899999999972</v>
      </c>
      <c r="W559" s="6">
        <f t="shared" si="102"/>
        <v>0.30463265594447592</v>
      </c>
      <c r="X559" t="str" cm="1">
        <f t="array" ref="X559">_xlfn.IFS(S559&lt;=25%, "Low", S559&lt;=75%, "Medium", S559&gt;75%, "High")</f>
        <v>High</v>
      </c>
      <c r="Y559" s="8">
        <f>Table1[[#This Row],[Quantity]]*(Table1[[#This Row],[UnitPrice]]*(1-Table1[[#This Row],[DiscountPct]]))</f>
        <v>25269.090000000004</v>
      </c>
      <c r="Z559" s="9">
        <f t="shared" si="103"/>
        <v>7697.7900000000009</v>
      </c>
      <c r="AA559">
        <f>COUNTIF($G$2:G560,G559)</f>
        <v>48</v>
      </c>
      <c r="AB559" s="21">
        <f t="shared" si="104"/>
        <v>44988</v>
      </c>
      <c r="AC559" s="21">
        <f t="shared" si="105"/>
        <v>45016</v>
      </c>
      <c r="AD559" s="5">
        <f>(Table1[[#This Row],[OrderDate]]-Table1[[#This Row],[Date of first order]])/30</f>
        <v>27.366666666666667</v>
      </c>
      <c r="AE559" t="str">
        <f t="shared" si="106"/>
        <v>Good</v>
      </c>
      <c r="AF559">
        <f>COUNTIF(AE$2:AE560,AE559)</f>
        <v>158</v>
      </c>
      <c r="AG559" t="str">
        <f t="shared" si="107"/>
        <v>True</v>
      </c>
      <c r="AH559" s="7">
        <f>Table1[[#This Row],[UnitPrice]]*(1-Table1[[#This Row],[Disc Scenario]])*Table1[[#This Row],[Quantity]]</f>
        <v>25269.090000000004</v>
      </c>
      <c r="AI559">
        <f>ROUNDDOWN((Table1[[#This Row],[Quantity]]*(1+20%)),0)</f>
        <v>18</v>
      </c>
      <c r="AJ559" s="7">
        <f>Table1[[#This Row],[Quantity increase by 20%]]*Table1[[#This Row],[UnitPrice]]</f>
        <v>39380.400000000001</v>
      </c>
      <c r="AK559">
        <f>ROUNDDOWN(Table1[[#This Row],[Quantity]]*(1+20%),0)</f>
        <v>18</v>
      </c>
      <c r="AL559" s="7">
        <f>Table1[[#This Row],[UnitCost]]*(1+15%)</f>
        <v>1347.133</v>
      </c>
      <c r="AM559" s="9">
        <f>Table1[[#This Row],[Quantity]]*Table1[[#This Row],[Cost of unit by inflation 15%]]</f>
        <v>20206.994999999999</v>
      </c>
      <c r="AN559" s="21" cm="1">
        <f t="array" ref="AN559">_xlfn.UNIQUE(AC559)</f>
        <v>45016</v>
      </c>
    </row>
    <row r="560" spans="1:40" x14ac:dyDescent="0.35">
      <c r="A560" t="s">
        <v>308</v>
      </c>
      <c r="B560" s="21">
        <v>45809</v>
      </c>
      <c r="C560" s="10">
        <v>45835</v>
      </c>
      <c r="D560" s="3">
        <f t="shared" si="96"/>
        <v>26</v>
      </c>
      <c r="E560" s="10" t="str">
        <f t="shared" si="97"/>
        <v>Q2-2025</v>
      </c>
      <c r="F560" t="s">
        <v>648</v>
      </c>
      <c r="G560" t="s">
        <v>655</v>
      </c>
      <c r="H560" t="s">
        <v>683</v>
      </c>
      <c r="I560" t="s">
        <v>703</v>
      </c>
      <c r="J560" t="s">
        <v>709</v>
      </c>
      <c r="K560" t="s">
        <v>717</v>
      </c>
      <c r="L560" t="s">
        <v>730</v>
      </c>
      <c r="M560" t="s">
        <v>1026</v>
      </c>
      <c r="N560" s="3">
        <v>1362.31</v>
      </c>
      <c r="O560" s="3">
        <v>3294.57</v>
      </c>
      <c r="P560" s="6">
        <v>0.113</v>
      </c>
      <c r="Q560" s="6">
        <f>IF(Table1[[#This Row],[DiscountPct]]&gt;25%,25%,Table1[[#This Row],[DiscountPct]])</f>
        <v>0.113</v>
      </c>
      <c r="R560" s="5">
        <v>7</v>
      </c>
      <c r="S560" s="6">
        <f t="shared" si="98"/>
        <v>1.418370268147485</v>
      </c>
      <c r="T560" s="8">
        <f t="shared" si="99"/>
        <v>20455.985130000001</v>
      </c>
      <c r="U560" s="8">
        <f t="shared" si="100"/>
        <v>9536.17</v>
      </c>
      <c r="V560" s="9">
        <f t="shared" si="101"/>
        <v>10919.815130000001</v>
      </c>
      <c r="W560" s="6">
        <f t="shared" si="102"/>
        <v>0.5338200561157721</v>
      </c>
      <c r="X560" t="str" cm="1">
        <f t="array" ref="X560">_xlfn.IFS(S560&lt;=25%, "Low", S560&lt;=75%, "Medium", S560&gt;75%, "High")</f>
        <v>High</v>
      </c>
      <c r="Y560" s="8">
        <f>Table1[[#This Row],[Quantity]]*(Table1[[#This Row],[UnitPrice]]*(1-Table1[[#This Row],[DiscountPct]]))</f>
        <v>20455.985130000001</v>
      </c>
      <c r="Z560" s="9">
        <f t="shared" si="103"/>
        <v>10919.815130000001</v>
      </c>
      <c r="AA560">
        <f>COUNTIF($G$2:G561,G560)</f>
        <v>48</v>
      </c>
      <c r="AB560" s="21">
        <f t="shared" si="104"/>
        <v>44988</v>
      </c>
      <c r="AC560" s="21">
        <f t="shared" si="105"/>
        <v>45016</v>
      </c>
      <c r="AD560" s="5">
        <f>(Table1[[#This Row],[OrderDate]]-Table1[[#This Row],[Date of first order]])/30</f>
        <v>27.366666666666667</v>
      </c>
      <c r="AE560" t="str">
        <f t="shared" si="106"/>
        <v>Poor</v>
      </c>
      <c r="AF560">
        <f>COUNTIF(AE$2:AE561,AE560)</f>
        <v>401</v>
      </c>
      <c r="AG560" t="str">
        <f t="shared" si="107"/>
        <v>False</v>
      </c>
      <c r="AH560" s="7">
        <f>Table1[[#This Row],[UnitPrice]]*(1-Table1[[#This Row],[Disc Scenario]])*Table1[[#This Row],[Quantity]]</f>
        <v>20455.985130000001</v>
      </c>
      <c r="AI560">
        <f>ROUNDDOWN((Table1[[#This Row],[Quantity]]*(1+20%)),0)</f>
        <v>8</v>
      </c>
      <c r="AJ560" s="7">
        <f>Table1[[#This Row],[Quantity increase by 20%]]*Table1[[#This Row],[UnitPrice]]</f>
        <v>26356.560000000001</v>
      </c>
      <c r="AK560">
        <f>ROUNDDOWN(Table1[[#This Row],[Quantity]]*(1+20%),0)</f>
        <v>8</v>
      </c>
      <c r="AL560" s="7">
        <f>Table1[[#This Row],[UnitCost]]*(1+15%)</f>
        <v>1566.6564999999998</v>
      </c>
      <c r="AM560" s="9">
        <f>Table1[[#This Row],[Quantity]]*Table1[[#This Row],[Cost of unit by inflation 15%]]</f>
        <v>10966.595499999999</v>
      </c>
      <c r="AN560" s="21" cm="1">
        <f t="array" ref="AN560">_xlfn.UNIQUE(AC560)</f>
        <v>45016</v>
      </c>
    </row>
    <row r="561" spans="1:40" x14ac:dyDescent="0.35">
      <c r="A561" t="s">
        <v>328</v>
      </c>
      <c r="B561" s="21">
        <v>45809</v>
      </c>
      <c r="C561" s="10">
        <v>45814</v>
      </c>
      <c r="D561" s="3">
        <f t="shared" si="96"/>
        <v>5</v>
      </c>
      <c r="E561" s="10" t="str">
        <f t="shared" si="97"/>
        <v>Q2-2025</v>
      </c>
      <c r="F561" t="s">
        <v>648</v>
      </c>
      <c r="G561" t="s">
        <v>656</v>
      </c>
      <c r="H561" t="s">
        <v>689</v>
      </c>
      <c r="I561" t="s">
        <v>703</v>
      </c>
      <c r="J561" t="s">
        <v>709</v>
      </c>
      <c r="K561" t="s">
        <v>714</v>
      </c>
      <c r="L561" t="s">
        <v>726</v>
      </c>
      <c r="M561" t="s">
        <v>1046</v>
      </c>
      <c r="N561" s="3">
        <v>379.45</v>
      </c>
      <c r="O561" s="3">
        <v>742.23</v>
      </c>
      <c r="P561" s="6">
        <v>0.09</v>
      </c>
      <c r="Q561" s="6">
        <f>IF(Table1[[#This Row],[DiscountPct]]&gt;25%,25%,Table1[[#This Row],[DiscountPct]])</f>
        <v>0.09</v>
      </c>
      <c r="R561" s="5">
        <v>13</v>
      </c>
      <c r="S561" s="6">
        <f t="shared" si="98"/>
        <v>0.95606799314797741</v>
      </c>
      <c r="T561" s="8">
        <f t="shared" si="99"/>
        <v>8780.5809000000008</v>
      </c>
      <c r="U561" s="8">
        <f t="shared" si="100"/>
        <v>4932.8499999999995</v>
      </c>
      <c r="V561" s="9">
        <f t="shared" si="101"/>
        <v>3847.7309000000014</v>
      </c>
      <c r="W561" s="6">
        <f t="shared" si="102"/>
        <v>0.43820915083192286</v>
      </c>
      <c r="X561" t="str" cm="1">
        <f t="array" ref="X561">_xlfn.IFS(S561&lt;=25%, "Low", S561&lt;=75%, "Medium", S561&gt;75%, "High")</f>
        <v>High</v>
      </c>
      <c r="Y561" s="8">
        <f>Table1[[#This Row],[Quantity]]*(Table1[[#This Row],[UnitPrice]]*(1-Table1[[#This Row],[DiscountPct]]))</f>
        <v>8780.5809000000008</v>
      </c>
      <c r="Z561" s="9">
        <f t="shared" si="103"/>
        <v>3847.7309000000014</v>
      </c>
      <c r="AA561">
        <f>COUNTIF($G$2:G562,G561)</f>
        <v>48</v>
      </c>
      <c r="AB561" s="21">
        <f t="shared" si="104"/>
        <v>44988</v>
      </c>
      <c r="AC561" s="21">
        <f t="shared" si="105"/>
        <v>45016</v>
      </c>
      <c r="AD561" s="5">
        <f>(Table1[[#This Row],[OrderDate]]-Table1[[#This Row],[Date of first order]])/30</f>
        <v>27.366666666666667</v>
      </c>
      <c r="AE561" t="str">
        <f t="shared" si="106"/>
        <v>Good</v>
      </c>
      <c r="AF561">
        <f>COUNTIF(AE$2:AE562,AE561)</f>
        <v>160</v>
      </c>
      <c r="AG561" t="str">
        <f t="shared" si="107"/>
        <v>False</v>
      </c>
      <c r="AH561" s="7">
        <f>Table1[[#This Row],[UnitPrice]]*(1-Table1[[#This Row],[Disc Scenario]])*Table1[[#This Row],[Quantity]]</f>
        <v>8780.5809000000008</v>
      </c>
      <c r="AI561">
        <f>ROUNDDOWN((Table1[[#This Row],[Quantity]]*(1+20%)),0)</f>
        <v>15</v>
      </c>
      <c r="AJ561" s="7">
        <f>Table1[[#This Row],[Quantity increase by 20%]]*Table1[[#This Row],[UnitPrice]]</f>
        <v>11133.45</v>
      </c>
      <c r="AK561">
        <f>ROUNDDOWN(Table1[[#This Row],[Quantity]]*(1+20%),0)</f>
        <v>15</v>
      </c>
      <c r="AL561" s="7">
        <f>Table1[[#This Row],[UnitCost]]*(1+15%)</f>
        <v>436.36749999999995</v>
      </c>
      <c r="AM561" s="9">
        <f>Table1[[#This Row],[Quantity]]*Table1[[#This Row],[Cost of unit by inflation 15%]]</f>
        <v>5672.7774999999992</v>
      </c>
      <c r="AN561" s="21" cm="1">
        <f t="array" ref="AN561">_xlfn.UNIQUE(AC561)</f>
        <v>45016</v>
      </c>
    </row>
    <row r="562" spans="1:40" x14ac:dyDescent="0.35">
      <c r="A562" t="s">
        <v>131</v>
      </c>
      <c r="B562" s="21">
        <v>45811</v>
      </c>
      <c r="C562" s="10">
        <v>45818</v>
      </c>
      <c r="D562" s="3">
        <f t="shared" si="96"/>
        <v>7</v>
      </c>
      <c r="E562" s="10" t="str">
        <f t="shared" si="97"/>
        <v>Q2-2025</v>
      </c>
      <c r="F562" t="s">
        <v>647</v>
      </c>
      <c r="G562" t="s">
        <v>652</v>
      </c>
      <c r="H562" t="s">
        <v>666</v>
      </c>
      <c r="I562" t="s">
        <v>703</v>
      </c>
      <c r="J562" t="s">
        <v>709</v>
      </c>
      <c r="K562" t="s">
        <v>718</v>
      </c>
      <c r="L562" t="s">
        <v>727</v>
      </c>
      <c r="M562" t="s">
        <v>849</v>
      </c>
      <c r="N562" s="3">
        <v>75.180000000000007</v>
      </c>
      <c r="O562" s="3">
        <v>137.57940000000002</v>
      </c>
      <c r="P562" s="6">
        <v>0.157</v>
      </c>
      <c r="Q562" s="6">
        <f>IF(Table1[[#This Row],[DiscountPct]]&gt;25%,25%,Table1[[#This Row],[DiscountPct]])</f>
        <v>0.157</v>
      </c>
      <c r="R562" s="5">
        <v>17</v>
      </c>
      <c r="S562" s="6">
        <f t="shared" si="98"/>
        <v>0.83000000000000007</v>
      </c>
      <c r="T562" s="8">
        <f t="shared" si="99"/>
        <v>1971.6503814000002</v>
      </c>
      <c r="U562" s="8">
        <f t="shared" si="100"/>
        <v>1278.0600000000002</v>
      </c>
      <c r="V562" s="9">
        <f t="shared" si="101"/>
        <v>693.59038140000007</v>
      </c>
      <c r="W562" s="6">
        <f t="shared" si="102"/>
        <v>0.35178162819490627</v>
      </c>
      <c r="X562" t="str" cm="1">
        <f t="array" ref="X562">_xlfn.IFS(S562&lt;=25%, "Low", S562&lt;=75%, "Medium", S562&gt;75%, "High")</f>
        <v>High</v>
      </c>
      <c r="Y562" s="8">
        <f>Table1[[#This Row],[Quantity]]*(Table1[[#This Row],[UnitPrice]]*(1-Table1[[#This Row],[DiscountPct]]))</f>
        <v>1971.6503814000002</v>
      </c>
      <c r="Z562" s="9">
        <f t="shared" si="103"/>
        <v>693.59038140000007</v>
      </c>
      <c r="AA562">
        <f>COUNTIF($G$2:G563,G562)</f>
        <v>37</v>
      </c>
      <c r="AB562" s="21">
        <f t="shared" si="104"/>
        <v>44988</v>
      </c>
      <c r="AC562" s="21">
        <f t="shared" si="105"/>
        <v>45016</v>
      </c>
      <c r="AD562" s="5">
        <f>(Table1[[#This Row],[OrderDate]]-Table1[[#This Row],[Date of first order]])/30</f>
        <v>27.433333333333334</v>
      </c>
      <c r="AE562" t="str">
        <f t="shared" si="106"/>
        <v>Good</v>
      </c>
      <c r="AF562">
        <f>COUNTIF(AE$2:AE563,AE562)</f>
        <v>160</v>
      </c>
      <c r="AG562" t="str">
        <f t="shared" si="107"/>
        <v>False</v>
      </c>
      <c r="AH562" s="7">
        <f>Table1[[#This Row],[UnitPrice]]*(1-Table1[[#This Row],[Disc Scenario]])*Table1[[#This Row],[Quantity]]</f>
        <v>1971.6503814000002</v>
      </c>
      <c r="AI562">
        <f>ROUNDDOWN((Table1[[#This Row],[Quantity]]*(1+20%)),0)</f>
        <v>20</v>
      </c>
      <c r="AJ562" s="7">
        <f>Table1[[#This Row],[Quantity increase by 20%]]*Table1[[#This Row],[UnitPrice]]</f>
        <v>2751.5880000000006</v>
      </c>
      <c r="AK562">
        <f>ROUNDDOWN(Table1[[#This Row],[Quantity]]*(1+20%),0)</f>
        <v>20</v>
      </c>
      <c r="AL562" s="7">
        <f>Table1[[#This Row],[UnitCost]]*(1+15%)</f>
        <v>86.457000000000008</v>
      </c>
      <c r="AM562" s="9">
        <f>Table1[[#This Row],[Quantity]]*Table1[[#This Row],[Cost of unit by inflation 15%]]</f>
        <v>1469.7690000000002</v>
      </c>
      <c r="AN562" s="21" cm="1">
        <f t="array" ref="AN562">_xlfn.UNIQUE(AC562)</f>
        <v>45016</v>
      </c>
    </row>
    <row r="563" spans="1:40" x14ac:dyDescent="0.35">
      <c r="A563" t="s">
        <v>430</v>
      </c>
      <c r="B563" s="21">
        <v>45813</v>
      </c>
      <c r="C563" s="10">
        <v>45822</v>
      </c>
      <c r="D563" s="3">
        <f t="shared" si="96"/>
        <v>9</v>
      </c>
      <c r="E563" s="10" t="str">
        <f t="shared" si="97"/>
        <v>Q2-2025</v>
      </c>
      <c r="F563" t="s">
        <v>646</v>
      </c>
      <c r="G563" t="s">
        <v>653</v>
      </c>
      <c r="H563" t="s">
        <v>679</v>
      </c>
      <c r="I563" t="s">
        <v>702</v>
      </c>
      <c r="J563" t="s">
        <v>706</v>
      </c>
      <c r="K563" t="s">
        <v>719</v>
      </c>
      <c r="L563" t="s">
        <v>732</v>
      </c>
      <c r="M563" t="s">
        <v>1147</v>
      </c>
      <c r="N563" s="3">
        <v>618.69000000000005</v>
      </c>
      <c r="O563" s="3">
        <v>796.15</v>
      </c>
      <c r="P563" s="6">
        <v>0.09</v>
      </c>
      <c r="Q563" s="6">
        <f>IF(Table1[[#This Row],[DiscountPct]]&gt;25%,25%,Table1[[#This Row],[DiscountPct]])</f>
        <v>0.09</v>
      </c>
      <c r="R563" s="5">
        <v>11</v>
      </c>
      <c r="S563" s="6">
        <f t="shared" si="98"/>
        <v>0.2868318544020429</v>
      </c>
      <c r="T563" s="8">
        <f t="shared" si="99"/>
        <v>7969.4615000000003</v>
      </c>
      <c r="U563" s="8">
        <f t="shared" si="100"/>
        <v>6805.59</v>
      </c>
      <c r="V563" s="9">
        <f t="shared" si="101"/>
        <v>1163.8715000000002</v>
      </c>
      <c r="W563" s="6">
        <f t="shared" si="102"/>
        <v>0.14604142325049191</v>
      </c>
      <c r="X563" t="str" cm="1">
        <f t="array" ref="X563">_xlfn.IFS(S563&lt;=25%, "Low", S563&lt;=75%, "Medium", S563&gt;75%, "High")</f>
        <v>Medium</v>
      </c>
      <c r="Y563" s="8">
        <f>Table1[[#This Row],[Quantity]]*(Table1[[#This Row],[UnitPrice]]*(1-Table1[[#This Row],[DiscountPct]]))</f>
        <v>7969.4614999999994</v>
      </c>
      <c r="Z563" s="9">
        <f t="shared" si="103"/>
        <v>1163.8714999999993</v>
      </c>
      <c r="AA563">
        <f>COUNTIF($G$2:G564,G563)</f>
        <v>55</v>
      </c>
      <c r="AB563" s="21">
        <f t="shared" si="104"/>
        <v>44988</v>
      </c>
      <c r="AC563" s="21">
        <f t="shared" si="105"/>
        <v>45016</v>
      </c>
      <c r="AD563" s="5">
        <f>(Table1[[#This Row],[OrderDate]]-Table1[[#This Row],[Date of first order]])/30</f>
        <v>27.5</v>
      </c>
      <c r="AE563" t="str">
        <f t="shared" si="106"/>
        <v>Poor</v>
      </c>
      <c r="AF563">
        <f>COUNTIF(AE$2:AE564,AE563)</f>
        <v>403</v>
      </c>
      <c r="AG563" t="str">
        <f t="shared" si="107"/>
        <v>False</v>
      </c>
      <c r="AH563" s="7">
        <f>Table1[[#This Row],[UnitPrice]]*(1-Table1[[#This Row],[Disc Scenario]])*Table1[[#This Row],[Quantity]]</f>
        <v>7969.4614999999994</v>
      </c>
      <c r="AI563">
        <f>ROUNDDOWN((Table1[[#This Row],[Quantity]]*(1+20%)),0)</f>
        <v>13</v>
      </c>
      <c r="AJ563" s="7">
        <f>Table1[[#This Row],[Quantity increase by 20%]]*Table1[[#This Row],[UnitPrice]]</f>
        <v>10349.949999999999</v>
      </c>
      <c r="AK563">
        <f>ROUNDDOWN(Table1[[#This Row],[Quantity]]*(1+20%),0)</f>
        <v>13</v>
      </c>
      <c r="AL563" s="7">
        <f>Table1[[#This Row],[UnitCost]]*(1+15%)</f>
        <v>711.49350000000004</v>
      </c>
      <c r="AM563" s="9">
        <f>Table1[[#This Row],[Quantity]]*Table1[[#This Row],[Cost of unit by inflation 15%]]</f>
        <v>7826.4285</v>
      </c>
      <c r="AN563" s="21" cm="1">
        <f t="array" ref="AN563">_xlfn.UNIQUE(AC563)</f>
        <v>45016</v>
      </c>
    </row>
    <row r="564" spans="1:40" x14ac:dyDescent="0.35">
      <c r="A564" t="s">
        <v>73</v>
      </c>
      <c r="B564" s="21">
        <v>45817</v>
      </c>
      <c r="C564" s="10">
        <v>45826</v>
      </c>
      <c r="D564" s="3">
        <f t="shared" si="96"/>
        <v>9</v>
      </c>
      <c r="E564" s="10" t="str">
        <f t="shared" si="97"/>
        <v>Q2-2025</v>
      </c>
      <c r="F564" t="s">
        <v>648</v>
      </c>
      <c r="G564" t="s">
        <v>656</v>
      </c>
      <c r="H564" t="s">
        <v>672</v>
      </c>
      <c r="I564" t="s">
        <v>704</v>
      </c>
      <c r="J564" t="s">
        <v>708</v>
      </c>
      <c r="K564" t="s">
        <v>721</v>
      </c>
      <c r="L564" t="s">
        <v>732</v>
      </c>
      <c r="M564" t="s">
        <v>791</v>
      </c>
      <c r="N564" s="3">
        <v>1225.5</v>
      </c>
      <c r="O564" s="3">
        <v>2132.37</v>
      </c>
      <c r="P564" s="6">
        <v>7.4999999999999997E-2</v>
      </c>
      <c r="Q564" s="6">
        <f>IF(Table1[[#This Row],[DiscountPct]]&gt;25%,25%,Table1[[#This Row],[DiscountPct]])</f>
        <v>7.4999999999999997E-2</v>
      </c>
      <c r="R564" s="5">
        <v>56</v>
      </c>
      <c r="S564" s="6">
        <f t="shared" si="98"/>
        <v>0.73999999999999988</v>
      </c>
      <c r="T564" s="8">
        <f t="shared" si="99"/>
        <v>110456.766</v>
      </c>
      <c r="U564" s="8">
        <f t="shared" si="100"/>
        <v>68628</v>
      </c>
      <c r="V564" s="9">
        <f t="shared" si="101"/>
        <v>41828.766000000003</v>
      </c>
      <c r="W564" s="6">
        <f t="shared" si="102"/>
        <v>0.3786890338614477</v>
      </c>
      <c r="X564" t="str" cm="1">
        <f t="array" ref="X564">_xlfn.IFS(S564&lt;=25%, "Low", S564&lt;=75%, "Medium", S564&gt;75%, "High")</f>
        <v>Medium</v>
      </c>
      <c r="Y564" s="8">
        <f>Table1[[#This Row],[Quantity]]*(Table1[[#This Row],[UnitPrice]]*(1-Table1[[#This Row],[DiscountPct]]))</f>
        <v>110456.766</v>
      </c>
      <c r="Z564" s="9">
        <f t="shared" si="103"/>
        <v>41828.766000000003</v>
      </c>
      <c r="AA564">
        <f>COUNTIF($G$2:G565,G564)</f>
        <v>49</v>
      </c>
      <c r="AB564" s="21">
        <f t="shared" si="104"/>
        <v>44988</v>
      </c>
      <c r="AC564" s="21">
        <f t="shared" si="105"/>
        <v>45016</v>
      </c>
      <c r="AD564" s="5">
        <f>(Table1[[#This Row],[OrderDate]]-Table1[[#This Row],[Date of first order]])/30</f>
        <v>27.633333333333333</v>
      </c>
      <c r="AE564" t="str">
        <f t="shared" si="106"/>
        <v>Poor</v>
      </c>
      <c r="AF564">
        <f>COUNTIF(AE$2:AE565,AE564)</f>
        <v>404</v>
      </c>
      <c r="AG564" t="str">
        <f t="shared" si="107"/>
        <v>False</v>
      </c>
      <c r="AH564" s="7">
        <f>Table1[[#This Row],[UnitPrice]]*(1-Table1[[#This Row],[Disc Scenario]])*Table1[[#This Row],[Quantity]]</f>
        <v>110456.766</v>
      </c>
      <c r="AI564">
        <f>ROUNDDOWN((Table1[[#This Row],[Quantity]]*(1+20%)),0)</f>
        <v>67</v>
      </c>
      <c r="AJ564" s="7">
        <f>Table1[[#This Row],[Quantity increase by 20%]]*Table1[[#This Row],[UnitPrice]]</f>
        <v>142868.78999999998</v>
      </c>
      <c r="AK564">
        <f>ROUNDDOWN(Table1[[#This Row],[Quantity]]*(1+20%),0)</f>
        <v>67</v>
      </c>
      <c r="AL564" s="7">
        <f>Table1[[#This Row],[UnitCost]]*(1+15%)</f>
        <v>1409.3249999999998</v>
      </c>
      <c r="AM564" s="9">
        <f>Table1[[#This Row],[Quantity]]*Table1[[#This Row],[Cost of unit by inflation 15%]]</f>
        <v>78922.199999999983</v>
      </c>
      <c r="AN564" s="21" cm="1">
        <f t="array" ref="AN564">_xlfn.UNIQUE(AC564)</f>
        <v>45016</v>
      </c>
    </row>
    <row r="565" spans="1:40" x14ac:dyDescent="0.35">
      <c r="A565" t="s">
        <v>106</v>
      </c>
      <c r="B565" s="21">
        <v>45817</v>
      </c>
      <c r="C565" s="10">
        <v>45833</v>
      </c>
      <c r="D565" s="3">
        <f t="shared" si="96"/>
        <v>16</v>
      </c>
      <c r="E565" s="10" t="str">
        <f t="shared" si="97"/>
        <v>Q2-2025</v>
      </c>
      <c r="F565" t="s">
        <v>646</v>
      </c>
      <c r="G565" t="s">
        <v>653</v>
      </c>
      <c r="H565" t="s">
        <v>695</v>
      </c>
      <c r="I565" t="s">
        <v>705</v>
      </c>
      <c r="J565" t="s">
        <v>709</v>
      </c>
      <c r="K565" t="s">
        <v>723</v>
      </c>
      <c r="L565" t="s">
        <v>729</v>
      </c>
      <c r="M565" t="s">
        <v>824</v>
      </c>
      <c r="N565" s="3">
        <v>527.33000000000004</v>
      </c>
      <c r="O565" s="3">
        <v>911.72</v>
      </c>
      <c r="P565" s="6">
        <v>0.14399999999999999</v>
      </c>
      <c r="Q565" s="6">
        <f>IF(Table1[[#This Row],[DiscountPct]]&gt;25%,25%,Table1[[#This Row],[DiscountPct]])</f>
        <v>0.14399999999999999</v>
      </c>
      <c r="R565" s="5">
        <v>25</v>
      </c>
      <c r="S565" s="6">
        <f t="shared" si="98"/>
        <v>0.72893633967344917</v>
      </c>
      <c r="T565" s="8">
        <f t="shared" si="99"/>
        <v>19510.808000000001</v>
      </c>
      <c r="U565" s="8">
        <f t="shared" si="100"/>
        <v>13183.250000000002</v>
      </c>
      <c r="V565" s="9">
        <f t="shared" si="101"/>
        <v>6327.5579999999991</v>
      </c>
      <c r="W565" s="6">
        <f t="shared" si="102"/>
        <v>0.32431040272652978</v>
      </c>
      <c r="X565" t="str" cm="1">
        <f t="array" ref="X565">_xlfn.IFS(S565&lt;=25%, "Low", S565&lt;=75%, "Medium", S565&gt;75%, "High")</f>
        <v>Medium</v>
      </c>
      <c r="Y565" s="8">
        <f>Table1[[#This Row],[Quantity]]*(Table1[[#This Row],[UnitPrice]]*(1-Table1[[#This Row],[DiscountPct]]))</f>
        <v>19510.808000000001</v>
      </c>
      <c r="Z565" s="9">
        <f t="shared" si="103"/>
        <v>6327.5579999999991</v>
      </c>
      <c r="AA565">
        <f>COUNTIF($G$2:G566,G565)</f>
        <v>56</v>
      </c>
      <c r="AB565" s="21">
        <f t="shared" si="104"/>
        <v>44988</v>
      </c>
      <c r="AC565" s="21">
        <f t="shared" si="105"/>
        <v>45016</v>
      </c>
      <c r="AD565" s="5">
        <f>(Table1[[#This Row],[OrderDate]]-Table1[[#This Row],[Date of first order]])/30</f>
        <v>27.633333333333333</v>
      </c>
      <c r="AE565" t="str">
        <f t="shared" si="106"/>
        <v>Poor</v>
      </c>
      <c r="AF565">
        <f>COUNTIF(AE$2:AE566,AE565)</f>
        <v>405</v>
      </c>
      <c r="AG565" t="str">
        <f t="shared" si="107"/>
        <v>False</v>
      </c>
      <c r="AH565" s="7">
        <f>Table1[[#This Row],[UnitPrice]]*(1-Table1[[#This Row],[Disc Scenario]])*Table1[[#This Row],[Quantity]]</f>
        <v>19510.808000000001</v>
      </c>
      <c r="AI565">
        <f>ROUNDDOWN((Table1[[#This Row],[Quantity]]*(1+20%)),0)</f>
        <v>30</v>
      </c>
      <c r="AJ565" s="7">
        <f>Table1[[#This Row],[Quantity increase by 20%]]*Table1[[#This Row],[UnitPrice]]</f>
        <v>27351.600000000002</v>
      </c>
      <c r="AK565">
        <f>ROUNDDOWN(Table1[[#This Row],[Quantity]]*(1+20%),0)</f>
        <v>30</v>
      </c>
      <c r="AL565" s="7">
        <f>Table1[[#This Row],[UnitCost]]*(1+15%)</f>
        <v>606.42949999999996</v>
      </c>
      <c r="AM565" s="9">
        <f>Table1[[#This Row],[Quantity]]*Table1[[#This Row],[Cost of unit by inflation 15%]]</f>
        <v>15160.737499999999</v>
      </c>
      <c r="AN565" s="21" cm="1">
        <f t="array" ref="AN565">_xlfn.UNIQUE(AC565)</f>
        <v>45016</v>
      </c>
    </row>
    <row r="566" spans="1:40" x14ac:dyDescent="0.35">
      <c r="A566" t="s">
        <v>466</v>
      </c>
      <c r="B566" s="21">
        <v>45817</v>
      </c>
      <c r="C566" s="10">
        <v>45832</v>
      </c>
      <c r="D566" s="3">
        <f t="shared" si="96"/>
        <v>15</v>
      </c>
      <c r="E566" s="10" t="str">
        <f t="shared" si="97"/>
        <v>Q2-2025</v>
      </c>
      <c r="F566" t="s">
        <v>646</v>
      </c>
      <c r="G566" t="s">
        <v>651</v>
      </c>
      <c r="H566" t="s">
        <v>693</v>
      </c>
      <c r="I566" t="s">
        <v>700</v>
      </c>
      <c r="J566" t="s">
        <v>710</v>
      </c>
      <c r="K566" t="s">
        <v>716</v>
      </c>
      <c r="L566" t="s">
        <v>729</v>
      </c>
      <c r="M566" t="s">
        <v>1183</v>
      </c>
      <c r="N566" s="3">
        <v>400.39</v>
      </c>
      <c r="O566" s="3">
        <v>712.75</v>
      </c>
      <c r="P566" s="6">
        <v>0.115</v>
      </c>
      <c r="Q566" s="6">
        <f>IF(Table1[[#This Row],[DiscountPct]]&gt;25%,25%,Table1[[#This Row],[DiscountPct]])</f>
        <v>0.115</v>
      </c>
      <c r="R566" s="5">
        <v>19</v>
      </c>
      <c r="S566" s="6">
        <f t="shared" si="98"/>
        <v>0.78013936411998308</v>
      </c>
      <c r="T566" s="8">
        <f t="shared" si="99"/>
        <v>11984.891250000001</v>
      </c>
      <c r="U566" s="8">
        <f t="shared" si="100"/>
        <v>7607.41</v>
      </c>
      <c r="V566" s="9">
        <f t="shared" si="101"/>
        <v>4377.4812500000007</v>
      </c>
      <c r="W566" s="6">
        <f t="shared" si="102"/>
        <v>0.36524997671547504</v>
      </c>
      <c r="X566" t="str" cm="1">
        <f t="array" ref="X566">_xlfn.IFS(S566&lt;=25%, "Low", S566&lt;=75%, "Medium", S566&gt;75%, "High")</f>
        <v>High</v>
      </c>
      <c r="Y566" s="8">
        <f>Table1[[#This Row],[Quantity]]*(Table1[[#This Row],[UnitPrice]]*(1-Table1[[#This Row],[DiscountPct]]))</f>
        <v>11984.891250000001</v>
      </c>
      <c r="Z566" s="9">
        <f t="shared" si="103"/>
        <v>4377.4812500000007</v>
      </c>
      <c r="AA566">
        <f>COUNTIF($G$2:G567,G566)</f>
        <v>53</v>
      </c>
      <c r="AB566" s="21">
        <f t="shared" si="104"/>
        <v>44988</v>
      </c>
      <c r="AC566" s="21">
        <f t="shared" si="105"/>
        <v>45016</v>
      </c>
      <c r="AD566" s="5">
        <f>(Table1[[#This Row],[OrderDate]]-Table1[[#This Row],[Date of first order]])/30</f>
        <v>27.633333333333333</v>
      </c>
      <c r="AE566" t="str">
        <f t="shared" si="106"/>
        <v>Poor</v>
      </c>
      <c r="AF566">
        <f>COUNTIF(AE$2:AE567,AE566)</f>
        <v>406</v>
      </c>
      <c r="AG566" t="str">
        <f t="shared" si="107"/>
        <v>False</v>
      </c>
      <c r="AH566" s="7">
        <f>Table1[[#This Row],[UnitPrice]]*(1-Table1[[#This Row],[Disc Scenario]])*Table1[[#This Row],[Quantity]]</f>
        <v>11984.891250000001</v>
      </c>
      <c r="AI566">
        <f>ROUNDDOWN((Table1[[#This Row],[Quantity]]*(1+20%)),0)</f>
        <v>22</v>
      </c>
      <c r="AJ566" s="7">
        <f>Table1[[#This Row],[Quantity increase by 20%]]*Table1[[#This Row],[UnitPrice]]</f>
        <v>15680.5</v>
      </c>
      <c r="AK566">
        <f>ROUNDDOWN(Table1[[#This Row],[Quantity]]*(1+20%),0)</f>
        <v>22</v>
      </c>
      <c r="AL566" s="7">
        <f>Table1[[#This Row],[UnitCost]]*(1+15%)</f>
        <v>460.44849999999997</v>
      </c>
      <c r="AM566" s="9">
        <f>Table1[[#This Row],[Quantity]]*Table1[[#This Row],[Cost of unit by inflation 15%]]</f>
        <v>8748.5214999999989</v>
      </c>
      <c r="AN566" s="21" cm="1">
        <f t="array" ref="AN566">_xlfn.UNIQUE(AC566)</f>
        <v>45016</v>
      </c>
    </row>
    <row r="567" spans="1:40" x14ac:dyDescent="0.35">
      <c r="A567" t="s">
        <v>37</v>
      </c>
      <c r="B567" s="21">
        <v>45822</v>
      </c>
      <c r="C567" s="10">
        <v>45837</v>
      </c>
      <c r="D567" s="3">
        <f t="shared" si="96"/>
        <v>15</v>
      </c>
      <c r="E567" s="10" t="str">
        <f t="shared" si="97"/>
        <v>Q2-2025</v>
      </c>
      <c r="F567" t="s">
        <v>645</v>
      </c>
      <c r="G567" t="s">
        <v>650</v>
      </c>
      <c r="H567" t="s">
        <v>662</v>
      </c>
      <c r="I567" t="s">
        <v>703</v>
      </c>
      <c r="J567" t="s">
        <v>708</v>
      </c>
      <c r="K567" t="s">
        <v>723</v>
      </c>
      <c r="L567" t="s">
        <v>732</v>
      </c>
      <c r="M567" t="s">
        <v>755</v>
      </c>
      <c r="N567" s="3">
        <v>730.99</v>
      </c>
      <c r="O567" s="3">
        <v>1242.8399999999999</v>
      </c>
      <c r="P567" s="6">
        <v>0.12</v>
      </c>
      <c r="Q567" s="6">
        <f>IF(Table1[[#This Row],[DiscountPct]]&gt;25%,25%,Table1[[#This Row],[DiscountPct]])</f>
        <v>0.12</v>
      </c>
      <c r="R567" s="5">
        <v>10</v>
      </c>
      <c r="S567" s="6">
        <f t="shared" si="98"/>
        <v>0.70021477721993453</v>
      </c>
      <c r="T567" s="8">
        <f t="shared" si="99"/>
        <v>10936.992</v>
      </c>
      <c r="U567" s="8">
        <f t="shared" si="100"/>
        <v>7309.9</v>
      </c>
      <c r="V567" s="9">
        <f t="shared" si="101"/>
        <v>3627.0920000000006</v>
      </c>
      <c r="W567" s="6">
        <f t="shared" si="102"/>
        <v>0.33163524303574515</v>
      </c>
      <c r="X567" t="str" cm="1">
        <f t="array" ref="X567">_xlfn.IFS(S567&lt;=25%, "Low", S567&lt;=75%, "Medium", S567&gt;75%, "High")</f>
        <v>Medium</v>
      </c>
      <c r="Y567" s="8">
        <f>Table1[[#This Row],[Quantity]]*(Table1[[#This Row],[UnitPrice]]*(1-Table1[[#This Row],[DiscountPct]]))</f>
        <v>10936.992</v>
      </c>
      <c r="Z567" s="9">
        <f t="shared" si="103"/>
        <v>3627.0920000000006</v>
      </c>
      <c r="AA567">
        <f>COUNTIF($G$2:G568,G567)</f>
        <v>39</v>
      </c>
      <c r="AB567" s="21">
        <f t="shared" si="104"/>
        <v>44988</v>
      </c>
      <c r="AC567" s="21">
        <f t="shared" si="105"/>
        <v>45016</v>
      </c>
      <c r="AD567" s="5">
        <f>(Table1[[#This Row],[OrderDate]]-Table1[[#This Row],[Date of first order]])/30</f>
        <v>27.8</v>
      </c>
      <c r="AE567" t="str">
        <f t="shared" si="106"/>
        <v>Poor</v>
      </c>
      <c r="AF567">
        <f>COUNTIF(AE$2:AE568,AE567)</f>
        <v>407</v>
      </c>
      <c r="AG567" t="str">
        <f t="shared" si="107"/>
        <v>False</v>
      </c>
      <c r="AH567" s="7">
        <f>Table1[[#This Row],[UnitPrice]]*(1-Table1[[#This Row],[Disc Scenario]])*Table1[[#This Row],[Quantity]]</f>
        <v>10936.992</v>
      </c>
      <c r="AI567">
        <f>ROUNDDOWN((Table1[[#This Row],[Quantity]]*(1+20%)),0)</f>
        <v>12</v>
      </c>
      <c r="AJ567" s="7">
        <f>Table1[[#This Row],[Quantity increase by 20%]]*Table1[[#This Row],[UnitPrice]]</f>
        <v>14914.079999999998</v>
      </c>
      <c r="AK567">
        <f>ROUNDDOWN(Table1[[#This Row],[Quantity]]*(1+20%),0)</f>
        <v>12</v>
      </c>
      <c r="AL567" s="7">
        <f>Table1[[#This Row],[UnitCost]]*(1+15%)</f>
        <v>840.63849999999991</v>
      </c>
      <c r="AM567" s="9">
        <f>Table1[[#This Row],[Quantity]]*Table1[[#This Row],[Cost of unit by inflation 15%]]</f>
        <v>8406.3849999999984</v>
      </c>
      <c r="AN567" s="21" cm="1">
        <f t="array" ref="AN567">_xlfn.UNIQUE(AC567)</f>
        <v>45016</v>
      </c>
    </row>
    <row r="568" spans="1:40" x14ac:dyDescent="0.35">
      <c r="A568" t="s">
        <v>403</v>
      </c>
      <c r="B568" s="21">
        <v>45823</v>
      </c>
      <c r="C568" s="10">
        <v>45838</v>
      </c>
      <c r="D568" s="3">
        <f t="shared" si="96"/>
        <v>15</v>
      </c>
      <c r="E568" s="10" t="str">
        <f t="shared" si="97"/>
        <v>Q2-2025</v>
      </c>
      <c r="F568" t="s">
        <v>645</v>
      </c>
      <c r="G568" t="s">
        <v>660</v>
      </c>
      <c r="H568" t="s">
        <v>681</v>
      </c>
      <c r="I568" t="s">
        <v>704</v>
      </c>
      <c r="J568" t="s">
        <v>710</v>
      </c>
      <c r="K568" t="s">
        <v>711</v>
      </c>
      <c r="L568" t="s">
        <v>731</v>
      </c>
      <c r="M568" t="s">
        <v>1120</v>
      </c>
      <c r="N568" s="3">
        <v>1487.59</v>
      </c>
      <c r="O568" s="3">
        <v>2484.2752999999998</v>
      </c>
      <c r="P568" s="6">
        <v>8.9999999999999993E-3</v>
      </c>
      <c r="Q568" s="6">
        <f>IF(Table1[[#This Row],[DiscountPct]]&gt;25%,25%,Table1[[#This Row],[DiscountPct]])</f>
        <v>8.9999999999999993E-3</v>
      </c>
      <c r="R568" s="5">
        <v>11</v>
      </c>
      <c r="S568" s="6">
        <f t="shared" si="98"/>
        <v>0.66999999999999993</v>
      </c>
      <c r="T568" s="8">
        <f t="shared" si="99"/>
        <v>27081.085045299998</v>
      </c>
      <c r="U568" s="8">
        <f t="shared" si="100"/>
        <v>16363.49</v>
      </c>
      <c r="V568" s="9">
        <f t="shared" si="101"/>
        <v>10717.595045299999</v>
      </c>
      <c r="W568" s="6">
        <f t="shared" si="102"/>
        <v>0.39575943974815253</v>
      </c>
      <c r="X568" t="str" cm="1">
        <f t="array" ref="X568">_xlfn.IFS(S568&lt;=25%, "Low", S568&lt;=75%, "Medium", S568&gt;75%, "High")</f>
        <v>Medium</v>
      </c>
      <c r="Y568" s="8">
        <f>Table1[[#This Row],[Quantity]]*(Table1[[#This Row],[UnitPrice]]*(1-Table1[[#This Row],[DiscountPct]]))</f>
        <v>27081.085045299995</v>
      </c>
      <c r="Z568" s="9">
        <f t="shared" si="103"/>
        <v>10717.595045299995</v>
      </c>
      <c r="AA568">
        <f>COUNTIF($G$2:G569,G568)</f>
        <v>39</v>
      </c>
      <c r="AB568" s="21">
        <f t="shared" si="104"/>
        <v>44988</v>
      </c>
      <c r="AC568" s="21">
        <f t="shared" si="105"/>
        <v>45016</v>
      </c>
      <c r="AD568" s="5">
        <f>(Table1[[#This Row],[OrderDate]]-Table1[[#This Row],[Date of first order]])/30</f>
        <v>27.833333333333332</v>
      </c>
      <c r="AE568" t="str">
        <f t="shared" si="106"/>
        <v>Poor</v>
      </c>
      <c r="AF568">
        <f>COUNTIF(AE$2:AE569,AE568)</f>
        <v>408</v>
      </c>
      <c r="AG568" t="str">
        <f t="shared" si="107"/>
        <v>False</v>
      </c>
      <c r="AH568" s="7">
        <f>Table1[[#This Row],[UnitPrice]]*(1-Table1[[#This Row],[Disc Scenario]])*Table1[[#This Row],[Quantity]]</f>
        <v>27081.085045299995</v>
      </c>
      <c r="AI568">
        <f>ROUNDDOWN((Table1[[#This Row],[Quantity]]*(1+20%)),0)</f>
        <v>13</v>
      </c>
      <c r="AJ568" s="7">
        <f>Table1[[#This Row],[Quantity increase by 20%]]*Table1[[#This Row],[UnitPrice]]</f>
        <v>32295.578899999997</v>
      </c>
      <c r="AK568">
        <f>ROUNDDOWN(Table1[[#This Row],[Quantity]]*(1+20%),0)</f>
        <v>13</v>
      </c>
      <c r="AL568" s="7">
        <f>Table1[[#This Row],[UnitCost]]*(1+15%)</f>
        <v>1710.7284999999997</v>
      </c>
      <c r="AM568" s="9">
        <f>Table1[[#This Row],[Quantity]]*Table1[[#This Row],[Cost of unit by inflation 15%]]</f>
        <v>18818.013499999997</v>
      </c>
      <c r="AN568" s="21" cm="1">
        <f t="array" ref="AN568">_xlfn.UNIQUE(AC568)</f>
        <v>45016</v>
      </c>
    </row>
    <row r="569" spans="1:40" x14ac:dyDescent="0.35">
      <c r="A569" t="s">
        <v>607</v>
      </c>
      <c r="B569" s="21">
        <v>45823</v>
      </c>
      <c r="C569" s="10">
        <v>45850</v>
      </c>
      <c r="D569" s="3">
        <f t="shared" si="96"/>
        <v>27</v>
      </c>
      <c r="E569" s="10" t="str">
        <f t="shared" si="97"/>
        <v>Q2-2025</v>
      </c>
      <c r="F569" t="s">
        <v>648</v>
      </c>
      <c r="G569" t="s">
        <v>656</v>
      </c>
      <c r="H569" t="s">
        <v>672</v>
      </c>
      <c r="I569" t="s">
        <v>703</v>
      </c>
      <c r="J569" t="s">
        <v>710</v>
      </c>
      <c r="K569" t="s">
        <v>711</v>
      </c>
      <c r="L569" t="s">
        <v>732</v>
      </c>
      <c r="M569" t="s">
        <v>1323</v>
      </c>
      <c r="N569" s="3">
        <v>318.83</v>
      </c>
      <c r="O569" s="3">
        <v>699.5</v>
      </c>
      <c r="P569" s="6">
        <v>0.08</v>
      </c>
      <c r="Q569" s="6">
        <f>IF(Table1[[#This Row],[DiscountPct]]&gt;25%,25%,Table1[[#This Row],[DiscountPct]])</f>
        <v>0.08</v>
      </c>
      <c r="R569" s="5">
        <v>13</v>
      </c>
      <c r="S569" s="6">
        <f t="shared" si="98"/>
        <v>1.1939591631904152</v>
      </c>
      <c r="T569" s="8">
        <f t="shared" si="99"/>
        <v>8366.02</v>
      </c>
      <c r="U569" s="8">
        <f t="shared" si="100"/>
        <v>4144.79</v>
      </c>
      <c r="V569" s="9">
        <f t="shared" si="101"/>
        <v>4221.2300000000005</v>
      </c>
      <c r="W569" s="6">
        <f t="shared" si="102"/>
        <v>0.50456848059172699</v>
      </c>
      <c r="X569" t="str" cm="1">
        <f t="array" ref="X569">_xlfn.IFS(S569&lt;=25%, "Low", S569&lt;=75%, "Medium", S569&gt;75%, "High")</f>
        <v>High</v>
      </c>
      <c r="Y569" s="8">
        <f>Table1[[#This Row],[Quantity]]*(Table1[[#This Row],[UnitPrice]]*(1-Table1[[#This Row],[DiscountPct]]))</f>
        <v>8366.02</v>
      </c>
      <c r="Z569" s="9">
        <f t="shared" si="103"/>
        <v>4221.2300000000005</v>
      </c>
      <c r="AA569">
        <f>COUNTIF($G$2:G570,G569)</f>
        <v>50</v>
      </c>
      <c r="AB569" s="21">
        <f t="shared" si="104"/>
        <v>44988</v>
      </c>
      <c r="AC569" s="21">
        <f t="shared" si="105"/>
        <v>45016</v>
      </c>
      <c r="AD569" s="5">
        <f>(Table1[[#This Row],[OrderDate]]-Table1[[#This Row],[Date of first order]])/30</f>
        <v>27.833333333333332</v>
      </c>
      <c r="AE569" t="str">
        <f t="shared" si="106"/>
        <v>Poor</v>
      </c>
      <c r="AF569">
        <f>COUNTIF(AE$2:AE570,AE569)</f>
        <v>409</v>
      </c>
      <c r="AG569" t="str">
        <f t="shared" si="107"/>
        <v>False</v>
      </c>
      <c r="AH569" s="7">
        <f>Table1[[#This Row],[UnitPrice]]*(1-Table1[[#This Row],[Disc Scenario]])*Table1[[#This Row],[Quantity]]</f>
        <v>8366.02</v>
      </c>
      <c r="AI569">
        <f>ROUNDDOWN((Table1[[#This Row],[Quantity]]*(1+20%)),0)</f>
        <v>15</v>
      </c>
      <c r="AJ569" s="7">
        <f>Table1[[#This Row],[Quantity increase by 20%]]*Table1[[#This Row],[UnitPrice]]</f>
        <v>10492.5</v>
      </c>
      <c r="AK569">
        <f>ROUNDDOWN(Table1[[#This Row],[Quantity]]*(1+20%),0)</f>
        <v>15</v>
      </c>
      <c r="AL569" s="7">
        <f>Table1[[#This Row],[UnitCost]]*(1+15%)</f>
        <v>366.65449999999993</v>
      </c>
      <c r="AM569" s="9">
        <f>Table1[[#This Row],[Quantity]]*Table1[[#This Row],[Cost of unit by inflation 15%]]</f>
        <v>4766.508499999999</v>
      </c>
      <c r="AN569" s="21" cm="1">
        <f t="array" ref="AN569">_xlfn.UNIQUE(AC569)</f>
        <v>45016</v>
      </c>
    </row>
    <row r="570" spans="1:40" x14ac:dyDescent="0.35">
      <c r="A570" t="s">
        <v>362</v>
      </c>
      <c r="B570" s="21">
        <v>45825</v>
      </c>
      <c r="C570" s="10">
        <v>45843</v>
      </c>
      <c r="D570" s="3">
        <f t="shared" si="96"/>
        <v>18</v>
      </c>
      <c r="E570" s="10" t="str">
        <f t="shared" si="97"/>
        <v>Q2-2025</v>
      </c>
      <c r="F570" t="s">
        <v>646</v>
      </c>
      <c r="G570" t="s">
        <v>653</v>
      </c>
      <c r="H570" t="s">
        <v>679</v>
      </c>
      <c r="I570" t="s">
        <v>703</v>
      </c>
      <c r="J570" t="s">
        <v>708</v>
      </c>
      <c r="K570" t="s">
        <v>715</v>
      </c>
      <c r="L570" t="s">
        <v>730</v>
      </c>
      <c r="M570" t="s">
        <v>1080</v>
      </c>
      <c r="N570" s="3">
        <v>982.93</v>
      </c>
      <c r="O570" s="3">
        <v>2299.3000000000002</v>
      </c>
      <c r="P570" s="6">
        <v>0.113</v>
      </c>
      <c r="Q570" s="6">
        <f>IF(Table1[[#This Row],[DiscountPct]]&gt;25%,25%,Table1[[#This Row],[DiscountPct]])</f>
        <v>0.113</v>
      </c>
      <c r="R570" s="5">
        <v>6</v>
      </c>
      <c r="S570" s="6">
        <f t="shared" si="98"/>
        <v>1.3392306674941252</v>
      </c>
      <c r="T570" s="8">
        <f t="shared" si="99"/>
        <v>12236.874600000001</v>
      </c>
      <c r="U570" s="8">
        <f t="shared" si="100"/>
        <v>5897.58</v>
      </c>
      <c r="V570" s="9">
        <f t="shared" si="101"/>
        <v>6339.2946000000011</v>
      </c>
      <c r="W570" s="6">
        <f t="shared" si="102"/>
        <v>0.51804850562087157</v>
      </c>
      <c r="X570" t="str" cm="1">
        <f t="array" ref="X570">_xlfn.IFS(S570&lt;=25%, "Low", S570&lt;=75%, "Medium", S570&gt;75%, "High")</f>
        <v>High</v>
      </c>
      <c r="Y570" s="8">
        <f>Table1[[#This Row],[Quantity]]*(Table1[[#This Row],[UnitPrice]]*(1-Table1[[#This Row],[DiscountPct]]))</f>
        <v>12236.874600000001</v>
      </c>
      <c r="Z570" s="9">
        <f t="shared" si="103"/>
        <v>6339.2946000000011</v>
      </c>
      <c r="AA570">
        <f>COUNTIF($G$2:G571,G570)</f>
        <v>57</v>
      </c>
      <c r="AB570" s="21">
        <f t="shared" si="104"/>
        <v>44988</v>
      </c>
      <c r="AC570" s="21">
        <f t="shared" si="105"/>
        <v>45016</v>
      </c>
      <c r="AD570" s="5">
        <f>(Table1[[#This Row],[OrderDate]]-Table1[[#This Row],[Date of first order]])/30</f>
        <v>27.9</v>
      </c>
      <c r="AE570" t="str">
        <f t="shared" si="106"/>
        <v>Poor</v>
      </c>
      <c r="AF570">
        <f>COUNTIF(AE$2:AE571,AE570)</f>
        <v>410</v>
      </c>
      <c r="AG570" t="str">
        <f t="shared" si="107"/>
        <v>False</v>
      </c>
      <c r="AH570" s="7">
        <f>Table1[[#This Row],[UnitPrice]]*(1-Table1[[#This Row],[Disc Scenario]])*Table1[[#This Row],[Quantity]]</f>
        <v>12236.874600000001</v>
      </c>
      <c r="AI570">
        <f>ROUNDDOWN((Table1[[#This Row],[Quantity]]*(1+20%)),0)</f>
        <v>7</v>
      </c>
      <c r="AJ570" s="7">
        <f>Table1[[#This Row],[Quantity increase by 20%]]*Table1[[#This Row],[UnitPrice]]</f>
        <v>16095.100000000002</v>
      </c>
      <c r="AK570">
        <f>ROUNDDOWN(Table1[[#This Row],[Quantity]]*(1+20%),0)</f>
        <v>7</v>
      </c>
      <c r="AL570" s="7">
        <f>Table1[[#This Row],[UnitCost]]*(1+15%)</f>
        <v>1130.3694999999998</v>
      </c>
      <c r="AM570" s="9">
        <f>Table1[[#This Row],[Quantity]]*Table1[[#This Row],[Cost of unit by inflation 15%]]</f>
        <v>6782.2169999999987</v>
      </c>
      <c r="AN570" s="21" cm="1">
        <f t="array" ref="AN570">_xlfn.UNIQUE(AC570)</f>
        <v>45016</v>
      </c>
    </row>
    <row r="571" spans="1:40" x14ac:dyDescent="0.35">
      <c r="A571" t="s">
        <v>135</v>
      </c>
      <c r="B571" s="21">
        <v>45827</v>
      </c>
      <c r="C571" s="10">
        <v>45850</v>
      </c>
      <c r="D571" s="3">
        <f t="shared" si="96"/>
        <v>23</v>
      </c>
      <c r="E571" s="10" t="str">
        <f t="shared" si="97"/>
        <v>Q2-2025</v>
      </c>
      <c r="F571" t="s">
        <v>648</v>
      </c>
      <c r="G571" t="s">
        <v>657</v>
      </c>
      <c r="H571" t="s">
        <v>682</v>
      </c>
      <c r="I571" t="s">
        <v>702</v>
      </c>
      <c r="J571" t="s">
        <v>710</v>
      </c>
      <c r="K571" t="s">
        <v>721</v>
      </c>
      <c r="L571" t="s">
        <v>728</v>
      </c>
      <c r="M571" t="s">
        <v>853</v>
      </c>
      <c r="N571" s="3">
        <v>801.24</v>
      </c>
      <c r="O571" s="3">
        <v>1959.09</v>
      </c>
      <c r="P571" s="6">
        <v>0.123</v>
      </c>
      <c r="Q571" s="6">
        <f>IF(Table1[[#This Row],[DiscountPct]]&gt;25%,25%,Table1[[#This Row],[DiscountPct]])</f>
        <v>0.123</v>
      </c>
      <c r="R571" s="5">
        <v>23</v>
      </c>
      <c r="S571" s="6">
        <f t="shared" si="98"/>
        <v>1.4450726374120113</v>
      </c>
      <c r="T571" s="8">
        <f t="shared" si="99"/>
        <v>39516.804389999998</v>
      </c>
      <c r="U571" s="8">
        <f t="shared" si="100"/>
        <v>18428.52</v>
      </c>
      <c r="V571" s="9">
        <f t="shared" si="101"/>
        <v>21088.284389999997</v>
      </c>
      <c r="W571" s="6">
        <f t="shared" si="102"/>
        <v>0.53365358650651762</v>
      </c>
      <c r="X571" t="str" cm="1">
        <f t="array" ref="X571">_xlfn.IFS(S571&lt;=25%, "Low", S571&lt;=75%, "Medium", S571&gt;75%, "High")</f>
        <v>High</v>
      </c>
      <c r="Y571" s="8">
        <f>Table1[[#This Row],[Quantity]]*(Table1[[#This Row],[UnitPrice]]*(1-Table1[[#This Row],[DiscountPct]]))</f>
        <v>39516.804389999998</v>
      </c>
      <c r="Z571" s="9">
        <f t="shared" si="103"/>
        <v>21088.284389999997</v>
      </c>
      <c r="AA571">
        <f>COUNTIF($G$2:G572,G571)</f>
        <v>48</v>
      </c>
      <c r="AB571" s="21">
        <f t="shared" si="104"/>
        <v>44988</v>
      </c>
      <c r="AC571" s="21">
        <f t="shared" si="105"/>
        <v>45016</v>
      </c>
      <c r="AD571" s="5">
        <f>(Table1[[#This Row],[OrderDate]]-Table1[[#This Row],[Date of first order]])/30</f>
        <v>27.966666666666665</v>
      </c>
      <c r="AE571" t="str">
        <f t="shared" si="106"/>
        <v>Poor</v>
      </c>
      <c r="AF571">
        <f>COUNTIF(AE$2:AE572,AE571)</f>
        <v>410</v>
      </c>
      <c r="AG571" t="str">
        <f t="shared" si="107"/>
        <v>False</v>
      </c>
      <c r="AH571" s="7">
        <f>Table1[[#This Row],[UnitPrice]]*(1-Table1[[#This Row],[Disc Scenario]])*Table1[[#This Row],[Quantity]]</f>
        <v>39516.804389999998</v>
      </c>
      <c r="AI571">
        <f>ROUNDDOWN((Table1[[#This Row],[Quantity]]*(1+20%)),0)</f>
        <v>27</v>
      </c>
      <c r="AJ571" s="7">
        <f>Table1[[#This Row],[Quantity increase by 20%]]*Table1[[#This Row],[UnitPrice]]</f>
        <v>52895.43</v>
      </c>
      <c r="AK571">
        <f>ROUNDDOWN(Table1[[#This Row],[Quantity]]*(1+20%),0)</f>
        <v>27</v>
      </c>
      <c r="AL571" s="7">
        <f>Table1[[#This Row],[UnitCost]]*(1+15%)</f>
        <v>921.42599999999993</v>
      </c>
      <c r="AM571" s="9">
        <f>Table1[[#This Row],[Quantity]]*Table1[[#This Row],[Cost of unit by inflation 15%]]</f>
        <v>21192.797999999999</v>
      </c>
      <c r="AN571" s="21" cm="1">
        <f t="array" ref="AN571">_xlfn.UNIQUE(AC571)</f>
        <v>45016</v>
      </c>
    </row>
    <row r="572" spans="1:40" x14ac:dyDescent="0.35">
      <c r="A572" t="s">
        <v>620</v>
      </c>
      <c r="B572" s="21">
        <v>45827</v>
      </c>
      <c r="C572" s="10">
        <v>45829</v>
      </c>
      <c r="D572" s="3">
        <f t="shared" si="96"/>
        <v>2</v>
      </c>
      <c r="E572" s="10" t="str">
        <f t="shared" si="97"/>
        <v>Q2-2025</v>
      </c>
      <c r="F572" t="s">
        <v>645</v>
      </c>
      <c r="G572" t="s">
        <v>660</v>
      </c>
      <c r="H572" t="s">
        <v>681</v>
      </c>
      <c r="I572" t="s">
        <v>704</v>
      </c>
      <c r="J572" t="s">
        <v>710</v>
      </c>
      <c r="K572" t="s">
        <v>721</v>
      </c>
      <c r="L572" t="s">
        <v>729</v>
      </c>
      <c r="M572" t="s">
        <v>1336</v>
      </c>
      <c r="N572" s="3">
        <v>1466.27</v>
      </c>
      <c r="O572" s="3">
        <v>3589.89</v>
      </c>
      <c r="P572" s="6">
        <v>9.7000000000000003E-2</v>
      </c>
      <c r="Q572" s="6">
        <f>IF(Table1[[#This Row],[DiscountPct]]&gt;25%,25%,Table1[[#This Row],[DiscountPct]])</f>
        <v>9.7000000000000003E-2</v>
      </c>
      <c r="R572" s="5">
        <v>9</v>
      </c>
      <c r="S572" s="6">
        <f t="shared" si="98"/>
        <v>1.4483144304937017</v>
      </c>
      <c r="T572" s="8">
        <f t="shared" si="99"/>
        <v>29175.036029999999</v>
      </c>
      <c r="U572" s="8">
        <f t="shared" si="100"/>
        <v>13196.43</v>
      </c>
      <c r="V572" s="9">
        <f t="shared" si="101"/>
        <v>15978.606029999999</v>
      </c>
      <c r="W572" s="6">
        <f t="shared" si="102"/>
        <v>0.54768076425234147</v>
      </c>
      <c r="X572" t="str" cm="1">
        <f t="array" ref="X572">_xlfn.IFS(S572&lt;=25%, "Low", S572&lt;=75%, "Medium", S572&gt;75%, "High")</f>
        <v>High</v>
      </c>
      <c r="Y572" s="8">
        <f>Table1[[#This Row],[Quantity]]*(Table1[[#This Row],[UnitPrice]]*(1-Table1[[#This Row],[DiscountPct]]))</f>
        <v>29175.036029999999</v>
      </c>
      <c r="Z572" s="9">
        <f t="shared" si="103"/>
        <v>15978.606029999999</v>
      </c>
      <c r="AA572">
        <f>COUNTIF($G$2:G573,G572)</f>
        <v>41</v>
      </c>
      <c r="AB572" s="21">
        <f t="shared" si="104"/>
        <v>44988</v>
      </c>
      <c r="AC572" s="21">
        <f t="shared" si="105"/>
        <v>45016</v>
      </c>
      <c r="AD572" s="5">
        <f>(Table1[[#This Row],[OrderDate]]-Table1[[#This Row],[Date of first order]])/30</f>
        <v>27.966666666666665</v>
      </c>
      <c r="AE572" t="str">
        <f t="shared" si="106"/>
        <v>Good</v>
      </c>
      <c r="AF572">
        <f>COUNTIF(AE$2:AE573,AE572)</f>
        <v>162</v>
      </c>
      <c r="AG572" t="str">
        <f t="shared" si="107"/>
        <v>False</v>
      </c>
      <c r="AH572" s="7">
        <f>Table1[[#This Row],[UnitPrice]]*(1-Table1[[#This Row],[Disc Scenario]])*Table1[[#This Row],[Quantity]]</f>
        <v>29175.036029999999</v>
      </c>
      <c r="AI572">
        <f>ROUNDDOWN((Table1[[#This Row],[Quantity]]*(1+20%)),0)</f>
        <v>10</v>
      </c>
      <c r="AJ572" s="7">
        <f>Table1[[#This Row],[Quantity increase by 20%]]*Table1[[#This Row],[UnitPrice]]</f>
        <v>35898.9</v>
      </c>
      <c r="AK572">
        <f>ROUNDDOWN(Table1[[#This Row],[Quantity]]*(1+20%),0)</f>
        <v>10</v>
      </c>
      <c r="AL572" s="7">
        <f>Table1[[#This Row],[UnitCost]]*(1+15%)</f>
        <v>1686.2104999999999</v>
      </c>
      <c r="AM572" s="9">
        <f>Table1[[#This Row],[Quantity]]*Table1[[#This Row],[Cost of unit by inflation 15%]]</f>
        <v>15175.894499999999</v>
      </c>
      <c r="AN572" s="21" cm="1">
        <f t="array" ref="AN572">_xlfn.UNIQUE(AC572)</f>
        <v>45016</v>
      </c>
    </row>
    <row r="573" spans="1:40" x14ac:dyDescent="0.35">
      <c r="A573" t="s">
        <v>276</v>
      </c>
      <c r="B573" s="21">
        <v>45829</v>
      </c>
      <c r="C573" s="10">
        <v>45835</v>
      </c>
      <c r="D573" s="3">
        <f t="shared" si="96"/>
        <v>6</v>
      </c>
      <c r="E573" s="10" t="str">
        <f t="shared" si="97"/>
        <v>Q2-2025</v>
      </c>
      <c r="F573" t="s">
        <v>645</v>
      </c>
      <c r="G573" t="s">
        <v>660</v>
      </c>
      <c r="H573" t="s">
        <v>686</v>
      </c>
      <c r="I573" t="s">
        <v>705</v>
      </c>
      <c r="J573" t="s">
        <v>709</v>
      </c>
      <c r="K573" t="s">
        <v>724</v>
      </c>
      <c r="L573" t="s">
        <v>729</v>
      </c>
      <c r="M573" t="s">
        <v>994</v>
      </c>
      <c r="N573" s="3">
        <v>93.91</v>
      </c>
      <c r="O573" s="3">
        <v>99.04</v>
      </c>
      <c r="P573" s="6">
        <v>5.7000000000000002E-2</v>
      </c>
      <c r="Q573" s="6">
        <f>IF(Table1[[#This Row],[DiscountPct]]&gt;25%,25%,Table1[[#This Row],[DiscountPct]])</f>
        <v>5.7000000000000002E-2</v>
      </c>
      <c r="R573" s="5">
        <v>6</v>
      </c>
      <c r="S573" s="6">
        <f t="shared" si="98"/>
        <v>5.4626770312000958E-2</v>
      </c>
      <c r="T573" s="8">
        <f t="shared" si="99"/>
        <v>560.36831999999993</v>
      </c>
      <c r="U573" s="8">
        <f t="shared" si="100"/>
        <v>563.46</v>
      </c>
      <c r="V573" s="9">
        <f t="shared" si="101"/>
        <v>-3.0916800000001103</v>
      </c>
      <c r="W573" s="6">
        <f t="shared" si="102"/>
        <v>-5.5172283829323376E-3</v>
      </c>
      <c r="X573" t="str" cm="1">
        <f t="array" ref="X573">_xlfn.IFS(S573&lt;=25%, "Low", S573&lt;=75%, "Medium", S573&gt;75%, "High")</f>
        <v>Low</v>
      </c>
      <c r="Y573" s="8">
        <f>Table1[[#This Row],[Quantity]]*(Table1[[#This Row],[UnitPrice]]*(1-Table1[[#This Row],[DiscountPct]]))</f>
        <v>560.36832000000004</v>
      </c>
      <c r="Z573" s="9">
        <f t="shared" si="103"/>
        <v>-3.0916799999999967</v>
      </c>
      <c r="AA573">
        <f>COUNTIF($G$2:G574,G573)</f>
        <v>41</v>
      </c>
      <c r="AB573" s="21">
        <f t="shared" si="104"/>
        <v>44988</v>
      </c>
      <c r="AC573" s="21">
        <f t="shared" si="105"/>
        <v>45016</v>
      </c>
      <c r="AD573" s="5">
        <f>(Table1[[#This Row],[OrderDate]]-Table1[[#This Row],[Date of first order]])/30</f>
        <v>28.033333333333335</v>
      </c>
      <c r="AE573" t="str">
        <f t="shared" si="106"/>
        <v>Good</v>
      </c>
      <c r="AF573">
        <f>COUNTIF(AE$2:AE574,AE573)</f>
        <v>162</v>
      </c>
      <c r="AG573" t="str">
        <f t="shared" si="107"/>
        <v>False</v>
      </c>
      <c r="AH573" s="7">
        <f>Table1[[#This Row],[UnitPrice]]*(1-Table1[[#This Row],[Disc Scenario]])*Table1[[#This Row],[Quantity]]</f>
        <v>560.36832000000004</v>
      </c>
      <c r="AI573">
        <f>ROUNDDOWN((Table1[[#This Row],[Quantity]]*(1+20%)),0)</f>
        <v>7</v>
      </c>
      <c r="AJ573" s="7">
        <f>Table1[[#This Row],[Quantity increase by 20%]]*Table1[[#This Row],[UnitPrice]]</f>
        <v>693.28000000000009</v>
      </c>
      <c r="AK573">
        <f>ROUNDDOWN(Table1[[#This Row],[Quantity]]*(1+20%),0)</f>
        <v>7</v>
      </c>
      <c r="AL573" s="7">
        <f>Table1[[#This Row],[UnitCost]]*(1+15%)</f>
        <v>107.99649999999998</v>
      </c>
      <c r="AM573" s="9">
        <f>Table1[[#This Row],[Quantity]]*Table1[[#This Row],[Cost of unit by inflation 15%]]</f>
        <v>647.97899999999993</v>
      </c>
      <c r="AN573" s="21" cm="1">
        <f t="array" ref="AN573">_xlfn.UNIQUE(AC573)</f>
        <v>45016</v>
      </c>
    </row>
    <row r="574" spans="1:40" x14ac:dyDescent="0.35">
      <c r="A574" t="s">
        <v>316</v>
      </c>
      <c r="B574" s="21">
        <v>45830</v>
      </c>
      <c r="C574" s="10">
        <v>45846</v>
      </c>
      <c r="D574" s="3">
        <f t="shared" si="96"/>
        <v>16</v>
      </c>
      <c r="E574" s="10" t="str">
        <f t="shared" si="97"/>
        <v>Q2-2025</v>
      </c>
      <c r="F574" t="s">
        <v>648</v>
      </c>
      <c r="G574" t="s">
        <v>657</v>
      </c>
      <c r="H574" t="s">
        <v>682</v>
      </c>
      <c r="I574" t="s">
        <v>701</v>
      </c>
      <c r="J574" t="s">
        <v>710</v>
      </c>
      <c r="K574" t="s">
        <v>719</v>
      </c>
      <c r="L574" t="s">
        <v>729</v>
      </c>
      <c r="M574" t="s">
        <v>1034</v>
      </c>
      <c r="N574" s="3">
        <v>892.73</v>
      </c>
      <c r="O574" s="3">
        <v>979.84</v>
      </c>
      <c r="P574" s="6">
        <v>0.17399999999999999</v>
      </c>
      <c r="Q574" s="6">
        <f>IF(Table1[[#This Row],[DiscountPct]]&gt;25%,25%,Table1[[#This Row],[DiscountPct]])</f>
        <v>0.17399999999999999</v>
      </c>
      <c r="R574" s="5">
        <v>10</v>
      </c>
      <c r="S574" s="6">
        <f t="shared" si="98"/>
        <v>9.7577094978324924E-2</v>
      </c>
      <c r="T574" s="8">
        <f t="shared" si="99"/>
        <v>8093.4784</v>
      </c>
      <c r="U574" s="8">
        <f t="shared" si="100"/>
        <v>8927.2999999999993</v>
      </c>
      <c r="V574" s="9">
        <f t="shared" si="101"/>
        <v>-833.82159999999931</v>
      </c>
      <c r="W574" s="6">
        <f t="shared" si="102"/>
        <v>-0.10302388649112838</v>
      </c>
      <c r="X574" t="str" cm="1">
        <f t="array" ref="X574">_xlfn.IFS(S574&lt;=25%, "Low", S574&lt;=75%, "Medium", S574&gt;75%, "High")</f>
        <v>Low</v>
      </c>
      <c r="Y574" s="8">
        <f>Table1[[#This Row],[Quantity]]*(Table1[[#This Row],[UnitPrice]]*(1-Table1[[#This Row],[DiscountPct]]))</f>
        <v>8093.4784000000018</v>
      </c>
      <c r="Z574" s="9">
        <f t="shared" si="103"/>
        <v>-833.82159999999749</v>
      </c>
      <c r="AA574">
        <f>COUNTIF($G$2:G575,G574)</f>
        <v>49</v>
      </c>
      <c r="AB574" s="21">
        <f t="shared" si="104"/>
        <v>44988</v>
      </c>
      <c r="AC574" s="21">
        <f t="shared" si="105"/>
        <v>45016</v>
      </c>
      <c r="AD574" s="5">
        <f>(Table1[[#This Row],[OrderDate]]-Table1[[#This Row],[Date of first order]])/30</f>
        <v>28.066666666666666</v>
      </c>
      <c r="AE574" t="str">
        <f t="shared" si="106"/>
        <v>Poor</v>
      </c>
      <c r="AF574">
        <f>COUNTIF(AE$2:AE575,AE574)</f>
        <v>412</v>
      </c>
      <c r="AG574" t="str">
        <f t="shared" si="107"/>
        <v>False</v>
      </c>
      <c r="AH574" s="7">
        <f>Table1[[#This Row],[UnitPrice]]*(1-Table1[[#This Row],[Disc Scenario]])*Table1[[#This Row],[Quantity]]</f>
        <v>8093.4784000000018</v>
      </c>
      <c r="AI574">
        <f>ROUNDDOWN((Table1[[#This Row],[Quantity]]*(1+20%)),0)</f>
        <v>12</v>
      </c>
      <c r="AJ574" s="7">
        <f>Table1[[#This Row],[Quantity increase by 20%]]*Table1[[#This Row],[UnitPrice]]</f>
        <v>11758.08</v>
      </c>
      <c r="AK574">
        <f>ROUNDDOWN(Table1[[#This Row],[Quantity]]*(1+20%),0)</f>
        <v>12</v>
      </c>
      <c r="AL574" s="7">
        <f>Table1[[#This Row],[UnitCost]]*(1+15%)</f>
        <v>1026.6395</v>
      </c>
      <c r="AM574" s="9">
        <f>Table1[[#This Row],[Quantity]]*Table1[[#This Row],[Cost of unit by inflation 15%]]</f>
        <v>10266.395</v>
      </c>
      <c r="AN574" s="21" cm="1">
        <f t="array" ref="AN574">_xlfn.UNIQUE(AC574)</f>
        <v>45016</v>
      </c>
    </row>
    <row r="575" spans="1:40" x14ac:dyDescent="0.35">
      <c r="A575" t="s">
        <v>547</v>
      </c>
      <c r="B575" s="21">
        <v>45832</v>
      </c>
      <c r="C575" s="10">
        <v>45852</v>
      </c>
      <c r="D575" s="3">
        <f t="shared" si="96"/>
        <v>20</v>
      </c>
      <c r="E575" s="10" t="str">
        <f t="shared" si="97"/>
        <v>Q2-2025</v>
      </c>
      <c r="F575" t="s">
        <v>645</v>
      </c>
      <c r="G575" t="s">
        <v>660</v>
      </c>
      <c r="H575" t="s">
        <v>681</v>
      </c>
      <c r="I575" t="s">
        <v>705</v>
      </c>
      <c r="J575" t="s">
        <v>708</v>
      </c>
      <c r="K575" t="s">
        <v>712</v>
      </c>
      <c r="L575" t="s">
        <v>730</v>
      </c>
      <c r="M575" t="s">
        <v>1264</v>
      </c>
      <c r="N575" s="3">
        <v>1151.06</v>
      </c>
      <c r="O575" s="3">
        <v>2821.36</v>
      </c>
      <c r="P575" s="6">
        <v>0.248</v>
      </c>
      <c r="Q575" s="6">
        <f>IF(Table1[[#This Row],[DiscountPct]]&gt;25%,25%,Table1[[#This Row],[DiscountPct]])</f>
        <v>0.248</v>
      </c>
      <c r="R575" s="5">
        <v>20</v>
      </c>
      <c r="S575" s="6">
        <f t="shared" si="98"/>
        <v>1.4510972494917731</v>
      </c>
      <c r="T575" s="8">
        <f t="shared" si="99"/>
        <v>42433.254400000005</v>
      </c>
      <c r="U575" s="8">
        <f t="shared" si="100"/>
        <v>23021.199999999997</v>
      </c>
      <c r="V575" s="9">
        <f t="shared" si="101"/>
        <v>19412.054400000008</v>
      </c>
      <c r="W575" s="6">
        <f t="shared" si="102"/>
        <v>0.45747267501594235</v>
      </c>
      <c r="X575" t="str" cm="1">
        <f t="array" ref="X575">_xlfn.IFS(S575&lt;=25%, "Low", S575&lt;=75%, "Medium", S575&gt;75%, "High")</f>
        <v>High</v>
      </c>
      <c r="Y575" s="8">
        <f>Table1[[#This Row],[Quantity]]*(Table1[[#This Row],[UnitPrice]]*(1-Table1[[#This Row],[DiscountPct]]))</f>
        <v>42433.254400000005</v>
      </c>
      <c r="Z575" s="9">
        <f t="shared" si="103"/>
        <v>19412.054400000008</v>
      </c>
      <c r="AA575">
        <f>COUNTIF($G$2:G576,G575)</f>
        <v>42</v>
      </c>
      <c r="AB575" s="21">
        <f t="shared" si="104"/>
        <v>44988</v>
      </c>
      <c r="AC575" s="21">
        <f t="shared" si="105"/>
        <v>45016</v>
      </c>
      <c r="AD575" s="5">
        <f>(Table1[[#This Row],[OrderDate]]-Table1[[#This Row],[Date of first order]])/30</f>
        <v>28.133333333333333</v>
      </c>
      <c r="AE575" t="str">
        <f t="shared" si="106"/>
        <v>Poor</v>
      </c>
      <c r="AF575">
        <f>COUNTIF(AE$2:AE576,AE575)</f>
        <v>413</v>
      </c>
      <c r="AG575" t="str">
        <f t="shared" si="107"/>
        <v>True</v>
      </c>
      <c r="AH575" s="7">
        <f>Table1[[#This Row],[UnitPrice]]*(1-Table1[[#This Row],[Disc Scenario]])*Table1[[#This Row],[Quantity]]</f>
        <v>42433.254400000005</v>
      </c>
      <c r="AI575">
        <f>ROUNDDOWN((Table1[[#This Row],[Quantity]]*(1+20%)),0)</f>
        <v>24</v>
      </c>
      <c r="AJ575" s="7">
        <f>Table1[[#This Row],[Quantity increase by 20%]]*Table1[[#This Row],[UnitPrice]]</f>
        <v>67712.639999999999</v>
      </c>
      <c r="AK575">
        <f>ROUNDDOWN(Table1[[#This Row],[Quantity]]*(1+20%),0)</f>
        <v>24</v>
      </c>
      <c r="AL575" s="7">
        <f>Table1[[#This Row],[UnitCost]]*(1+15%)</f>
        <v>1323.7189999999998</v>
      </c>
      <c r="AM575" s="9">
        <f>Table1[[#This Row],[Quantity]]*Table1[[#This Row],[Cost of unit by inflation 15%]]</f>
        <v>26474.379999999997</v>
      </c>
      <c r="AN575" s="21" cm="1">
        <f t="array" ref="AN575">_xlfn.UNIQUE(AC575)</f>
        <v>45016</v>
      </c>
    </row>
    <row r="576" spans="1:40" x14ac:dyDescent="0.35">
      <c r="A576" t="s">
        <v>52</v>
      </c>
      <c r="B576" s="21">
        <v>45832</v>
      </c>
      <c r="C576" s="10">
        <v>45848</v>
      </c>
      <c r="D576" s="3">
        <f t="shared" si="96"/>
        <v>16</v>
      </c>
      <c r="E576" s="10" t="str">
        <f t="shared" si="97"/>
        <v>Q2-2025</v>
      </c>
      <c r="F576" t="s">
        <v>646</v>
      </c>
      <c r="G576" t="s">
        <v>658</v>
      </c>
      <c r="H576" t="s">
        <v>684</v>
      </c>
      <c r="I576" t="s">
        <v>705</v>
      </c>
      <c r="J576" t="s">
        <v>710</v>
      </c>
      <c r="K576" t="s">
        <v>724</v>
      </c>
      <c r="L576" t="s">
        <v>726</v>
      </c>
      <c r="M576" t="s">
        <v>770</v>
      </c>
      <c r="N576" s="3">
        <v>757.19</v>
      </c>
      <c r="O576" s="3">
        <v>1735.41</v>
      </c>
      <c r="P576" s="6">
        <v>0.13600000000000001</v>
      </c>
      <c r="Q576" s="6">
        <f>IF(Table1[[#This Row],[DiscountPct]]&gt;25%,25%,Table1[[#This Row],[DiscountPct]])</f>
        <v>0.13600000000000001</v>
      </c>
      <c r="R576" s="5">
        <v>8</v>
      </c>
      <c r="S576" s="6">
        <f t="shared" si="98"/>
        <v>1.2919082396756427</v>
      </c>
      <c r="T576" s="8">
        <f t="shared" si="99"/>
        <v>11995.153920000001</v>
      </c>
      <c r="U576" s="8">
        <f t="shared" si="100"/>
        <v>6057.52</v>
      </c>
      <c r="V576" s="9">
        <f t="shared" si="101"/>
        <v>5937.6339200000002</v>
      </c>
      <c r="W576" s="6">
        <f t="shared" si="102"/>
        <v>0.4950027285685718</v>
      </c>
      <c r="X576" t="str" cm="1">
        <f t="array" ref="X576">_xlfn.IFS(S576&lt;=25%, "Low", S576&lt;=75%, "Medium", S576&gt;75%, "High")</f>
        <v>High</v>
      </c>
      <c r="Y576" s="8">
        <f>Table1[[#This Row],[Quantity]]*(Table1[[#This Row],[UnitPrice]]*(1-Table1[[#This Row],[DiscountPct]]))</f>
        <v>11995.153920000001</v>
      </c>
      <c r="Z576" s="9">
        <f t="shared" si="103"/>
        <v>5937.6339200000002</v>
      </c>
      <c r="AA576">
        <f>COUNTIF($G$2:G577,G576)</f>
        <v>46</v>
      </c>
      <c r="AB576" s="21">
        <f t="shared" si="104"/>
        <v>44988</v>
      </c>
      <c r="AC576" s="21">
        <f t="shared" si="105"/>
        <v>45016</v>
      </c>
      <c r="AD576" s="5">
        <f>(Table1[[#This Row],[OrderDate]]-Table1[[#This Row],[Date of first order]])/30</f>
        <v>28.133333333333333</v>
      </c>
      <c r="AE576" t="str">
        <f t="shared" si="106"/>
        <v>Poor</v>
      </c>
      <c r="AF576">
        <f>COUNTIF(AE$2:AE577,AE576)</f>
        <v>414</v>
      </c>
      <c r="AG576" t="str">
        <f t="shared" si="107"/>
        <v>False</v>
      </c>
      <c r="AH576" s="7">
        <f>Table1[[#This Row],[UnitPrice]]*(1-Table1[[#This Row],[Disc Scenario]])*Table1[[#This Row],[Quantity]]</f>
        <v>11995.153920000001</v>
      </c>
      <c r="AI576">
        <f>ROUNDDOWN((Table1[[#This Row],[Quantity]]*(1+20%)),0)</f>
        <v>9</v>
      </c>
      <c r="AJ576" s="7">
        <f>Table1[[#This Row],[Quantity increase by 20%]]*Table1[[#This Row],[UnitPrice]]</f>
        <v>15618.69</v>
      </c>
      <c r="AK576">
        <f>ROUNDDOWN(Table1[[#This Row],[Quantity]]*(1+20%),0)</f>
        <v>9</v>
      </c>
      <c r="AL576" s="7">
        <f>Table1[[#This Row],[UnitCost]]*(1+15%)</f>
        <v>870.76850000000002</v>
      </c>
      <c r="AM576" s="9">
        <f>Table1[[#This Row],[Quantity]]*Table1[[#This Row],[Cost of unit by inflation 15%]]</f>
        <v>6966.1480000000001</v>
      </c>
      <c r="AN576" s="21" cm="1">
        <f t="array" ref="AN576">_xlfn.UNIQUE(AC576)</f>
        <v>45016</v>
      </c>
    </row>
    <row r="577" spans="1:40" x14ac:dyDescent="0.35">
      <c r="A577" t="s">
        <v>290</v>
      </c>
      <c r="B577" s="21">
        <v>45832</v>
      </c>
      <c r="C577" s="10">
        <v>45852</v>
      </c>
      <c r="D577" s="3">
        <f t="shared" si="96"/>
        <v>20</v>
      </c>
      <c r="E577" s="10" t="str">
        <f t="shared" si="97"/>
        <v>Q2-2025</v>
      </c>
      <c r="F577" t="s">
        <v>648</v>
      </c>
      <c r="G577" t="s">
        <v>655</v>
      </c>
      <c r="H577" t="s">
        <v>670</v>
      </c>
      <c r="I577" t="s">
        <v>700</v>
      </c>
      <c r="J577" t="s">
        <v>710</v>
      </c>
      <c r="K577" t="s">
        <v>718</v>
      </c>
      <c r="L577" t="s">
        <v>732</v>
      </c>
      <c r="M577" t="s">
        <v>1008</v>
      </c>
      <c r="N577" s="3">
        <v>385.08</v>
      </c>
      <c r="O577" s="3">
        <v>893.19</v>
      </c>
      <c r="P577" s="6">
        <v>0.151</v>
      </c>
      <c r="Q577" s="6">
        <f>IF(Table1[[#This Row],[DiscountPct]]&gt;25%,25%,Table1[[#This Row],[DiscountPct]])</f>
        <v>0.151</v>
      </c>
      <c r="R577" s="5">
        <v>8</v>
      </c>
      <c r="S577" s="6">
        <f t="shared" si="98"/>
        <v>1.3194920535992523</v>
      </c>
      <c r="T577" s="8">
        <f t="shared" si="99"/>
        <v>6066.54648</v>
      </c>
      <c r="U577" s="8">
        <f t="shared" si="100"/>
        <v>3080.64</v>
      </c>
      <c r="V577" s="9">
        <f t="shared" si="101"/>
        <v>2985.9064800000001</v>
      </c>
      <c r="W577" s="6">
        <f t="shared" si="102"/>
        <v>0.49219213762621666</v>
      </c>
      <c r="X577" t="str" cm="1">
        <f t="array" ref="X577">_xlfn.IFS(S577&lt;=25%, "Low", S577&lt;=75%, "Medium", S577&gt;75%, "High")</f>
        <v>High</v>
      </c>
      <c r="Y577" s="8">
        <f>Table1[[#This Row],[Quantity]]*(Table1[[#This Row],[UnitPrice]]*(1-Table1[[#This Row],[DiscountPct]]))</f>
        <v>6066.54648</v>
      </c>
      <c r="Z577" s="9">
        <f t="shared" si="103"/>
        <v>2985.9064800000001</v>
      </c>
      <c r="AA577">
        <f>COUNTIF($G$2:G578,G577)</f>
        <v>49</v>
      </c>
      <c r="AB577" s="21">
        <f t="shared" si="104"/>
        <v>44988</v>
      </c>
      <c r="AC577" s="21">
        <f t="shared" si="105"/>
        <v>45016</v>
      </c>
      <c r="AD577" s="5">
        <f>(Table1[[#This Row],[OrderDate]]-Table1[[#This Row],[Date of first order]])/30</f>
        <v>28.133333333333333</v>
      </c>
      <c r="AE577" t="str">
        <f t="shared" si="106"/>
        <v>Poor</v>
      </c>
      <c r="AF577">
        <f>COUNTIF(AE$2:AE578,AE577)</f>
        <v>415</v>
      </c>
      <c r="AG577" t="str">
        <f t="shared" si="107"/>
        <v>False</v>
      </c>
      <c r="AH577" s="7">
        <f>Table1[[#This Row],[UnitPrice]]*(1-Table1[[#This Row],[Disc Scenario]])*Table1[[#This Row],[Quantity]]</f>
        <v>6066.54648</v>
      </c>
      <c r="AI577">
        <f>ROUNDDOWN((Table1[[#This Row],[Quantity]]*(1+20%)),0)</f>
        <v>9</v>
      </c>
      <c r="AJ577" s="7">
        <f>Table1[[#This Row],[Quantity increase by 20%]]*Table1[[#This Row],[UnitPrice]]</f>
        <v>8038.7100000000009</v>
      </c>
      <c r="AK577">
        <f>ROUNDDOWN(Table1[[#This Row],[Quantity]]*(1+20%),0)</f>
        <v>9</v>
      </c>
      <c r="AL577" s="7">
        <f>Table1[[#This Row],[UnitCost]]*(1+15%)</f>
        <v>442.84199999999993</v>
      </c>
      <c r="AM577" s="9">
        <f>Table1[[#This Row],[Quantity]]*Table1[[#This Row],[Cost of unit by inflation 15%]]</f>
        <v>3542.7359999999994</v>
      </c>
      <c r="AN577" s="21" cm="1">
        <f t="array" ref="AN577">_xlfn.UNIQUE(AC577)</f>
        <v>45016</v>
      </c>
    </row>
    <row r="578" spans="1:40" x14ac:dyDescent="0.35">
      <c r="A578" t="s">
        <v>382</v>
      </c>
      <c r="B578" s="21">
        <v>45832</v>
      </c>
      <c r="C578" s="10">
        <v>45861</v>
      </c>
      <c r="D578" s="3">
        <f t="shared" ref="D578:D641" si="108">DATEDIF(B578,C578,"d")</f>
        <v>29</v>
      </c>
      <c r="E578" s="10" t="str">
        <f t="shared" ref="E578:E631" si="109">"Q"&amp;ROUNDUP(MONTH(B578)/3,0)&amp; "-" &amp;YEAR(B578)</f>
        <v>Q2-2025</v>
      </c>
      <c r="F578" t="s">
        <v>647</v>
      </c>
      <c r="G578" t="s">
        <v>652</v>
      </c>
      <c r="H578" t="s">
        <v>687</v>
      </c>
      <c r="I578" t="s">
        <v>702</v>
      </c>
      <c r="J578" t="s">
        <v>708</v>
      </c>
      <c r="K578" t="s">
        <v>713</v>
      </c>
      <c r="L578" t="s">
        <v>727</v>
      </c>
      <c r="M578" t="s">
        <v>1100</v>
      </c>
      <c r="N578" s="3">
        <v>255.4</v>
      </c>
      <c r="O578" s="3">
        <v>322.70999999999998</v>
      </c>
      <c r="P578" s="6">
        <v>0.115</v>
      </c>
      <c r="Q578" s="6">
        <f>IF(Table1[[#This Row],[DiscountPct]]&gt;25%,25%,Table1[[#This Row],[DiscountPct]])</f>
        <v>0.115</v>
      </c>
      <c r="R578" s="5">
        <v>16</v>
      </c>
      <c r="S578" s="6">
        <f t="shared" ref="S578:S631" si="110">(O578-N578)/N578</f>
        <v>0.26354737666405625</v>
      </c>
      <c r="T578" s="8">
        <f t="shared" ref="T578:T631" si="111">O578*R578*(1-P578)</f>
        <v>4569.5735999999997</v>
      </c>
      <c r="U578" s="8">
        <f t="shared" ref="U578:U631" si="112">N578*R578</f>
        <v>4086.4</v>
      </c>
      <c r="V578" s="9">
        <f t="shared" ref="V578:V641" si="113">T578-U578</f>
        <v>483.17359999999962</v>
      </c>
      <c r="W578" s="6">
        <f t="shared" ref="W578:W641" si="114">V578/T578</f>
        <v>0.10573713048412212</v>
      </c>
      <c r="X578" t="str" cm="1">
        <f t="array" ref="X578">_xlfn.IFS(S578&lt;=25%, "Low", S578&lt;=75%, "Medium", S578&gt;75%, "High")</f>
        <v>Medium</v>
      </c>
      <c r="Y578" s="8">
        <f>Table1[[#This Row],[Quantity]]*(Table1[[#This Row],[UnitPrice]]*(1-Table1[[#This Row],[DiscountPct]]))</f>
        <v>4569.5735999999997</v>
      </c>
      <c r="Z578" s="9">
        <f t="shared" ref="Z578:Z641" si="115">Y578-(N578*R578)</f>
        <v>483.17359999999962</v>
      </c>
      <c r="AA578">
        <f>COUNTIF($G$2:G579,G578)</f>
        <v>38</v>
      </c>
      <c r="AB578" s="21">
        <f t="shared" ref="AB578:AB641" si="116">IF(AA578=1,B578,AB577)</f>
        <v>44988</v>
      </c>
      <c r="AC578" s="21">
        <f t="shared" ref="AC578:AC641" si="117">EOMONTH(AB578,0)</f>
        <v>45016</v>
      </c>
      <c r="AD578" s="5">
        <f>(Table1[[#This Row],[OrderDate]]-Table1[[#This Row],[Date of first order]])/30</f>
        <v>28.133333333333333</v>
      </c>
      <c r="AE578" t="str">
        <f t="shared" ref="AE578:AE631" si="118">IF(D578&lt;=7,"Good","Poor")</f>
        <v>Poor</v>
      </c>
      <c r="AF578">
        <f>COUNTIF(AE$2:AE579,AE578)</f>
        <v>416</v>
      </c>
      <c r="AG578" t="str">
        <f t="shared" ref="AG578:AG631" si="119">IF(P578&gt;20%,"True","False")</f>
        <v>False</v>
      </c>
      <c r="AH578" s="7">
        <f>Table1[[#This Row],[UnitPrice]]*(1-Table1[[#This Row],[Disc Scenario]])*Table1[[#This Row],[Quantity]]</f>
        <v>4569.5735999999997</v>
      </c>
      <c r="AI578">
        <f>ROUNDDOWN((Table1[[#This Row],[Quantity]]*(1+20%)),0)</f>
        <v>19</v>
      </c>
      <c r="AJ578" s="7">
        <f>Table1[[#This Row],[Quantity increase by 20%]]*Table1[[#This Row],[UnitPrice]]</f>
        <v>6131.49</v>
      </c>
      <c r="AK578">
        <f>ROUNDDOWN(Table1[[#This Row],[Quantity]]*(1+20%),0)</f>
        <v>19</v>
      </c>
      <c r="AL578" s="7">
        <f>Table1[[#This Row],[UnitCost]]*(1+15%)</f>
        <v>293.70999999999998</v>
      </c>
      <c r="AM578" s="9">
        <f>Table1[[#This Row],[Quantity]]*Table1[[#This Row],[Cost of unit by inflation 15%]]</f>
        <v>4699.3599999999997</v>
      </c>
      <c r="AN578" s="21" cm="1">
        <f t="array" ref="AN578">_xlfn.UNIQUE(AC578)</f>
        <v>45016</v>
      </c>
    </row>
    <row r="579" spans="1:40" x14ac:dyDescent="0.35">
      <c r="A579" t="s">
        <v>374</v>
      </c>
      <c r="B579" s="21">
        <v>45833</v>
      </c>
      <c r="C579" s="10">
        <v>45848</v>
      </c>
      <c r="D579" s="3">
        <f t="shared" si="108"/>
        <v>15</v>
      </c>
      <c r="E579" s="10" t="str">
        <f t="shared" si="109"/>
        <v>Q2-2025</v>
      </c>
      <c r="F579" t="s">
        <v>648</v>
      </c>
      <c r="G579" t="s">
        <v>657</v>
      </c>
      <c r="H579" t="s">
        <v>673</v>
      </c>
      <c r="I579" t="s">
        <v>702</v>
      </c>
      <c r="J579" t="s">
        <v>708</v>
      </c>
      <c r="K579" t="s">
        <v>725</v>
      </c>
      <c r="L579" t="s">
        <v>729</v>
      </c>
      <c r="M579" t="s">
        <v>1092</v>
      </c>
      <c r="N579" s="3">
        <v>546.83000000000004</v>
      </c>
      <c r="O579" s="3">
        <v>842.11820000000012</v>
      </c>
      <c r="P579" s="6">
        <v>7.8E-2</v>
      </c>
      <c r="Q579" s="6">
        <f>IF(Table1[[#This Row],[DiscountPct]]&gt;25%,25%,Table1[[#This Row],[DiscountPct]])</f>
        <v>7.8E-2</v>
      </c>
      <c r="R579" s="5">
        <v>13</v>
      </c>
      <c r="S579" s="6">
        <f t="shared" si="110"/>
        <v>0.54000000000000015</v>
      </c>
      <c r="T579" s="8">
        <f t="shared" si="111"/>
        <v>10093.628745200002</v>
      </c>
      <c r="U579" s="8">
        <f t="shared" si="112"/>
        <v>7108.7900000000009</v>
      </c>
      <c r="V579" s="9">
        <f t="shared" si="113"/>
        <v>2984.8387452000006</v>
      </c>
      <c r="W579" s="6">
        <f t="shared" si="114"/>
        <v>0.29571513085612872</v>
      </c>
      <c r="X579" t="str" cm="1">
        <f t="array" ref="X579">_xlfn.IFS(S579&lt;=25%, "Low", S579&lt;=75%, "Medium", S579&gt;75%, "High")</f>
        <v>Medium</v>
      </c>
      <c r="Y579" s="8">
        <f>Table1[[#This Row],[Quantity]]*(Table1[[#This Row],[UnitPrice]]*(1-Table1[[#This Row],[DiscountPct]]))</f>
        <v>10093.628745200002</v>
      </c>
      <c r="Z579" s="9">
        <f t="shared" si="115"/>
        <v>2984.8387452000006</v>
      </c>
      <c r="AA579">
        <f>COUNTIF($G$2:G580,G579)</f>
        <v>50</v>
      </c>
      <c r="AB579" s="21">
        <f t="shared" si="116"/>
        <v>44988</v>
      </c>
      <c r="AC579" s="21">
        <f t="shared" si="117"/>
        <v>45016</v>
      </c>
      <c r="AD579" s="5">
        <f>(Table1[[#This Row],[OrderDate]]-Table1[[#This Row],[Date of first order]])/30</f>
        <v>28.166666666666668</v>
      </c>
      <c r="AE579" t="str">
        <f t="shared" si="118"/>
        <v>Poor</v>
      </c>
      <c r="AF579">
        <f>COUNTIF(AE$2:AE580,AE579)</f>
        <v>417</v>
      </c>
      <c r="AG579" t="str">
        <f t="shared" si="119"/>
        <v>False</v>
      </c>
      <c r="AH579" s="7">
        <f>Table1[[#This Row],[UnitPrice]]*(1-Table1[[#This Row],[Disc Scenario]])*Table1[[#This Row],[Quantity]]</f>
        <v>10093.628745200002</v>
      </c>
      <c r="AI579">
        <f>ROUNDDOWN((Table1[[#This Row],[Quantity]]*(1+20%)),0)</f>
        <v>15</v>
      </c>
      <c r="AJ579" s="7">
        <f>Table1[[#This Row],[Quantity increase by 20%]]*Table1[[#This Row],[UnitPrice]]</f>
        <v>12631.773000000001</v>
      </c>
      <c r="AK579">
        <f>ROUNDDOWN(Table1[[#This Row],[Quantity]]*(1+20%),0)</f>
        <v>15</v>
      </c>
      <c r="AL579" s="7">
        <f>Table1[[#This Row],[UnitCost]]*(1+15%)</f>
        <v>628.85450000000003</v>
      </c>
      <c r="AM579" s="9">
        <f>Table1[[#This Row],[Quantity]]*Table1[[#This Row],[Cost of unit by inflation 15%]]</f>
        <v>8175.1085000000003</v>
      </c>
      <c r="AN579" s="21" cm="1">
        <f t="array" ref="AN579">_xlfn.UNIQUE(AC579)</f>
        <v>45016</v>
      </c>
    </row>
    <row r="580" spans="1:40" x14ac:dyDescent="0.35">
      <c r="A580" t="s">
        <v>580</v>
      </c>
      <c r="B580" s="21">
        <v>45834</v>
      </c>
      <c r="C580" s="10">
        <v>45849</v>
      </c>
      <c r="D580" s="3">
        <f t="shared" si="108"/>
        <v>15</v>
      </c>
      <c r="E580" s="10" t="str">
        <f t="shared" si="109"/>
        <v>Q2-2025</v>
      </c>
      <c r="F580" t="s">
        <v>645</v>
      </c>
      <c r="G580" t="s">
        <v>650</v>
      </c>
      <c r="H580" t="s">
        <v>662</v>
      </c>
      <c r="I580" t="s">
        <v>704</v>
      </c>
      <c r="J580" t="s">
        <v>707</v>
      </c>
      <c r="K580" t="s">
        <v>719</v>
      </c>
      <c r="L580" t="s">
        <v>730</v>
      </c>
      <c r="M580" t="s">
        <v>1296</v>
      </c>
      <c r="N580" s="3">
        <v>1170.1500000000001</v>
      </c>
      <c r="O580" s="3">
        <v>2115.19</v>
      </c>
      <c r="P580" s="6">
        <v>9.1999999999999998E-2</v>
      </c>
      <c r="Q580" s="6">
        <f>IF(Table1[[#This Row],[DiscountPct]]&gt;25%,25%,Table1[[#This Row],[DiscountPct]])</f>
        <v>9.1999999999999998E-2</v>
      </c>
      <c r="R580" s="5">
        <v>23</v>
      </c>
      <c r="S580" s="6">
        <f t="shared" si="110"/>
        <v>0.80762295432209541</v>
      </c>
      <c r="T580" s="8">
        <f t="shared" si="111"/>
        <v>44173.627960000005</v>
      </c>
      <c r="U580" s="8">
        <f t="shared" si="112"/>
        <v>26913.45</v>
      </c>
      <c r="V580" s="9">
        <f t="shared" si="113"/>
        <v>17260.177960000005</v>
      </c>
      <c r="W580" s="6">
        <f t="shared" si="114"/>
        <v>0.39073489674946776</v>
      </c>
      <c r="X580" t="str" cm="1">
        <f t="array" ref="X580">_xlfn.IFS(S580&lt;=25%, "Low", S580&lt;=75%, "Medium", S580&gt;75%, "High")</f>
        <v>High</v>
      </c>
      <c r="Y580" s="8">
        <f>Table1[[#This Row],[Quantity]]*(Table1[[#This Row],[UnitPrice]]*(1-Table1[[#This Row],[DiscountPct]]))</f>
        <v>44173.627960000005</v>
      </c>
      <c r="Z580" s="9">
        <f t="shared" si="115"/>
        <v>17260.177960000005</v>
      </c>
      <c r="AA580">
        <f>COUNTIF($G$2:G581,G580)</f>
        <v>40</v>
      </c>
      <c r="AB580" s="21">
        <f t="shared" si="116"/>
        <v>44988</v>
      </c>
      <c r="AC580" s="21">
        <f t="shared" si="117"/>
        <v>45016</v>
      </c>
      <c r="AD580" s="5">
        <f>(Table1[[#This Row],[OrderDate]]-Table1[[#This Row],[Date of first order]])/30</f>
        <v>28.2</v>
      </c>
      <c r="AE580" t="str">
        <f t="shared" si="118"/>
        <v>Poor</v>
      </c>
      <c r="AF580">
        <f>COUNTIF(AE$2:AE581,AE580)</f>
        <v>418</v>
      </c>
      <c r="AG580" t="str">
        <f t="shared" si="119"/>
        <v>False</v>
      </c>
      <c r="AH580" s="7">
        <f>Table1[[#This Row],[UnitPrice]]*(1-Table1[[#This Row],[Disc Scenario]])*Table1[[#This Row],[Quantity]]</f>
        <v>44173.627960000005</v>
      </c>
      <c r="AI580">
        <f>ROUNDDOWN((Table1[[#This Row],[Quantity]]*(1+20%)),0)</f>
        <v>27</v>
      </c>
      <c r="AJ580" s="7">
        <f>Table1[[#This Row],[Quantity increase by 20%]]*Table1[[#This Row],[UnitPrice]]</f>
        <v>57110.130000000005</v>
      </c>
      <c r="AK580">
        <f>ROUNDDOWN(Table1[[#This Row],[Quantity]]*(1+20%),0)</f>
        <v>27</v>
      </c>
      <c r="AL580" s="7">
        <f>Table1[[#This Row],[UnitCost]]*(1+15%)</f>
        <v>1345.6724999999999</v>
      </c>
      <c r="AM580" s="9">
        <f>Table1[[#This Row],[Quantity]]*Table1[[#This Row],[Cost of unit by inflation 15%]]</f>
        <v>30950.467499999999</v>
      </c>
      <c r="AN580" s="21" cm="1">
        <f t="array" ref="AN580">_xlfn.UNIQUE(AC580)</f>
        <v>45016</v>
      </c>
    </row>
    <row r="581" spans="1:40" x14ac:dyDescent="0.35">
      <c r="A581" t="s">
        <v>389</v>
      </c>
      <c r="B581" s="21">
        <v>45835</v>
      </c>
      <c r="C581" s="10">
        <v>45849</v>
      </c>
      <c r="D581" s="3">
        <f t="shared" si="108"/>
        <v>14</v>
      </c>
      <c r="E581" s="10" t="str">
        <f t="shared" si="109"/>
        <v>Q2-2025</v>
      </c>
      <c r="F581" t="s">
        <v>646</v>
      </c>
      <c r="G581" t="s">
        <v>658</v>
      </c>
      <c r="H581" t="s">
        <v>684</v>
      </c>
      <c r="I581" t="s">
        <v>704</v>
      </c>
      <c r="J581" t="s">
        <v>708</v>
      </c>
      <c r="K581" t="s">
        <v>715</v>
      </c>
      <c r="L581" t="s">
        <v>728</v>
      </c>
      <c r="M581" t="s">
        <v>1107</v>
      </c>
      <c r="N581" s="3">
        <v>1227.7</v>
      </c>
      <c r="O581" s="3">
        <v>2197.23</v>
      </c>
      <c r="P581" s="6">
        <v>9.9000000000000005E-2</v>
      </c>
      <c r="Q581" s="6">
        <f>IF(Table1[[#This Row],[DiscountPct]]&gt;25%,25%,Table1[[#This Row],[DiscountPct]])</f>
        <v>9.9000000000000005E-2</v>
      </c>
      <c r="R581" s="5">
        <v>22</v>
      </c>
      <c r="S581" s="6">
        <f t="shared" si="110"/>
        <v>0.78971247047324256</v>
      </c>
      <c r="T581" s="8">
        <f t="shared" si="111"/>
        <v>43553.493060000001</v>
      </c>
      <c r="U581" s="8">
        <f t="shared" si="112"/>
        <v>27009.4</v>
      </c>
      <c r="V581" s="9">
        <f t="shared" si="113"/>
        <v>16544.093059999999</v>
      </c>
      <c r="W581" s="6">
        <f t="shared" si="114"/>
        <v>0.37985685871873898</v>
      </c>
      <c r="X581" t="str" cm="1">
        <f t="array" ref="X581">_xlfn.IFS(S581&lt;=25%, "Low", S581&lt;=75%, "Medium", S581&gt;75%, "High")</f>
        <v>High</v>
      </c>
      <c r="Y581" s="8">
        <f>Table1[[#This Row],[Quantity]]*(Table1[[#This Row],[UnitPrice]]*(1-Table1[[#This Row],[DiscountPct]]))</f>
        <v>43553.493060000001</v>
      </c>
      <c r="Z581" s="9">
        <f t="shared" si="115"/>
        <v>16544.093059999999</v>
      </c>
      <c r="AA581">
        <f>COUNTIF($G$2:G582,G581)</f>
        <v>47</v>
      </c>
      <c r="AB581" s="21">
        <f t="shared" si="116"/>
        <v>44988</v>
      </c>
      <c r="AC581" s="21">
        <f t="shared" si="117"/>
        <v>45016</v>
      </c>
      <c r="AD581" s="5">
        <f>(Table1[[#This Row],[OrderDate]]-Table1[[#This Row],[Date of first order]])/30</f>
        <v>28.233333333333334</v>
      </c>
      <c r="AE581" t="str">
        <f t="shared" si="118"/>
        <v>Poor</v>
      </c>
      <c r="AF581">
        <f>COUNTIF(AE$2:AE582,AE581)</f>
        <v>419</v>
      </c>
      <c r="AG581" t="str">
        <f t="shared" si="119"/>
        <v>False</v>
      </c>
      <c r="AH581" s="7">
        <f>Table1[[#This Row],[UnitPrice]]*(1-Table1[[#This Row],[Disc Scenario]])*Table1[[#This Row],[Quantity]]</f>
        <v>43553.493060000001</v>
      </c>
      <c r="AI581">
        <f>ROUNDDOWN((Table1[[#This Row],[Quantity]]*(1+20%)),0)</f>
        <v>26</v>
      </c>
      <c r="AJ581" s="7">
        <f>Table1[[#This Row],[Quantity increase by 20%]]*Table1[[#This Row],[UnitPrice]]</f>
        <v>57127.98</v>
      </c>
      <c r="AK581">
        <f>ROUNDDOWN(Table1[[#This Row],[Quantity]]*(1+20%),0)</f>
        <v>26</v>
      </c>
      <c r="AL581" s="7">
        <f>Table1[[#This Row],[UnitCost]]*(1+15%)</f>
        <v>1411.855</v>
      </c>
      <c r="AM581" s="9">
        <f>Table1[[#This Row],[Quantity]]*Table1[[#This Row],[Cost of unit by inflation 15%]]</f>
        <v>31060.81</v>
      </c>
      <c r="AN581" s="21" cm="1">
        <f t="array" ref="AN581">_xlfn.UNIQUE(AC581)</f>
        <v>45016</v>
      </c>
    </row>
    <row r="582" spans="1:40" x14ac:dyDescent="0.35">
      <c r="A582" t="s">
        <v>271</v>
      </c>
      <c r="B582" s="21">
        <v>45835</v>
      </c>
      <c r="C582" s="10">
        <v>45843</v>
      </c>
      <c r="D582" s="3">
        <f t="shared" si="108"/>
        <v>8</v>
      </c>
      <c r="E582" s="10" t="str">
        <f t="shared" si="109"/>
        <v>Q2-2025</v>
      </c>
      <c r="F582" t="s">
        <v>648</v>
      </c>
      <c r="G582" t="s">
        <v>655</v>
      </c>
      <c r="H582" t="s">
        <v>683</v>
      </c>
      <c r="I582" t="s">
        <v>704</v>
      </c>
      <c r="J582" t="s">
        <v>710</v>
      </c>
      <c r="K582" t="s">
        <v>714</v>
      </c>
      <c r="L582" t="s">
        <v>731</v>
      </c>
      <c r="M582" t="s">
        <v>989</v>
      </c>
      <c r="N582" s="3">
        <v>314.93</v>
      </c>
      <c r="O582" s="3">
        <v>687.95</v>
      </c>
      <c r="P582" s="6">
        <v>0.20499999999999999</v>
      </c>
      <c r="Q582" s="6">
        <f>IF(Table1[[#This Row],[DiscountPct]]&gt;25%,25%,Table1[[#This Row],[DiscountPct]])</f>
        <v>0.20499999999999999</v>
      </c>
      <c r="R582" s="5">
        <v>8</v>
      </c>
      <c r="S582" s="6">
        <f t="shared" si="110"/>
        <v>1.1844536881211698</v>
      </c>
      <c r="T582" s="8">
        <f t="shared" si="111"/>
        <v>4375.3620000000001</v>
      </c>
      <c r="U582" s="8">
        <f t="shared" si="112"/>
        <v>2519.44</v>
      </c>
      <c r="V582" s="9">
        <f t="shared" si="113"/>
        <v>1855.922</v>
      </c>
      <c r="W582" s="6">
        <f t="shared" si="114"/>
        <v>0.424175645352316</v>
      </c>
      <c r="X582" t="str" cm="1">
        <f t="array" ref="X582">_xlfn.IFS(S582&lt;=25%, "Low", S582&lt;=75%, "Medium", S582&gt;75%, "High")</f>
        <v>High</v>
      </c>
      <c r="Y582" s="8">
        <f>Table1[[#This Row],[Quantity]]*(Table1[[#This Row],[UnitPrice]]*(1-Table1[[#This Row],[DiscountPct]]))</f>
        <v>4375.3620000000001</v>
      </c>
      <c r="Z582" s="9">
        <f t="shared" si="115"/>
        <v>1855.922</v>
      </c>
      <c r="AA582">
        <f>COUNTIF($G$2:G583,G582)</f>
        <v>50</v>
      </c>
      <c r="AB582" s="21">
        <f t="shared" si="116"/>
        <v>44988</v>
      </c>
      <c r="AC582" s="21">
        <f t="shared" si="117"/>
        <v>45016</v>
      </c>
      <c r="AD582" s="5">
        <f>(Table1[[#This Row],[OrderDate]]-Table1[[#This Row],[Date of first order]])/30</f>
        <v>28.233333333333334</v>
      </c>
      <c r="AE582" t="str">
        <f t="shared" si="118"/>
        <v>Poor</v>
      </c>
      <c r="AF582">
        <f>COUNTIF(AE$2:AE583,AE582)</f>
        <v>419</v>
      </c>
      <c r="AG582" t="str">
        <f t="shared" si="119"/>
        <v>True</v>
      </c>
      <c r="AH582" s="7">
        <f>Table1[[#This Row],[UnitPrice]]*(1-Table1[[#This Row],[Disc Scenario]])*Table1[[#This Row],[Quantity]]</f>
        <v>4375.3620000000001</v>
      </c>
      <c r="AI582">
        <f>ROUNDDOWN((Table1[[#This Row],[Quantity]]*(1+20%)),0)</f>
        <v>9</v>
      </c>
      <c r="AJ582" s="7">
        <f>Table1[[#This Row],[Quantity increase by 20%]]*Table1[[#This Row],[UnitPrice]]</f>
        <v>6191.55</v>
      </c>
      <c r="AK582">
        <f>ROUNDDOWN(Table1[[#This Row],[Quantity]]*(1+20%),0)</f>
        <v>9</v>
      </c>
      <c r="AL582" s="7">
        <f>Table1[[#This Row],[UnitCost]]*(1+15%)</f>
        <v>362.16949999999997</v>
      </c>
      <c r="AM582" s="9">
        <f>Table1[[#This Row],[Quantity]]*Table1[[#This Row],[Cost of unit by inflation 15%]]</f>
        <v>2897.3559999999998</v>
      </c>
      <c r="AN582" s="21" cm="1">
        <f t="array" ref="AN582">_xlfn.UNIQUE(AC582)</f>
        <v>45016</v>
      </c>
    </row>
    <row r="583" spans="1:40" x14ac:dyDescent="0.35">
      <c r="A583" t="s">
        <v>435</v>
      </c>
      <c r="B583" s="21">
        <v>45841</v>
      </c>
      <c r="C583" s="10">
        <v>45844</v>
      </c>
      <c r="D583" s="3">
        <f t="shared" si="108"/>
        <v>3</v>
      </c>
      <c r="E583" s="10" t="str">
        <f t="shared" si="109"/>
        <v>Q3-2025</v>
      </c>
      <c r="F583" t="s">
        <v>645</v>
      </c>
      <c r="G583" t="s">
        <v>650</v>
      </c>
      <c r="H583" t="s">
        <v>664</v>
      </c>
      <c r="I583" t="s">
        <v>703</v>
      </c>
      <c r="J583" t="s">
        <v>707</v>
      </c>
      <c r="K583" t="s">
        <v>712</v>
      </c>
      <c r="L583" t="s">
        <v>730</v>
      </c>
      <c r="M583" t="s">
        <v>1152</v>
      </c>
      <c r="N583" s="3">
        <v>1313.3</v>
      </c>
      <c r="O583" s="3">
        <v>2884.34</v>
      </c>
      <c r="P583" s="6">
        <v>0.157</v>
      </c>
      <c r="Q583" s="6">
        <f>IF(Table1[[#This Row],[DiscountPct]]&gt;25%,25%,Table1[[#This Row],[DiscountPct]])</f>
        <v>0.157</v>
      </c>
      <c r="R583" s="5">
        <v>42</v>
      </c>
      <c r="S583" s="6">
        <f t="shared" si="110"/>
        <v>1.196253712023148</v>
      </c>
      <c r="T583" s="8">
        <f t="shared" si="111"/>
        <v>102122.94203999999</v>
      </c>
      <c r="U583" s="8">
        <f t="shared" si="112"/>
        <v>55158.6</v>
      </c>
      <c r="V583" s="9">
        <f t="shared" si="113"/>
        <v>46964.342039999996</v>
      </c>
      <c r="W583" s="6">
        <f t="shared" si="114"/>
        <v>0.45988042551305253</v>
      </c>
      <c r="X583" t="str" cm="1">
        <f t="array" ref="X583">_xlfn.IFS(S583&lt;=25%, "Low", S583&lt;=75%, "Medium", S583&gt;75%, "High")</f>
        <v>High</v>
      </c>
      <c r="Y583" s="8">
        <f>Table1[[#This Row],[Quantity]]*(Table1[[#This Row],[UnitPrice]]*(1-Table1[[#This Row],[DiscountPct]]))</f>
        <v>102122.94203999999</v>
      </c>
      <c r="Z583" s="9">
        <f t="shared" si="115"/>
        <v>46964.342039999996</v>
      </c>
      <c r="AA583">
        <f>COUNTIF($G$2:G584,G583)</f>
        <v>41</v>
      </c>
      <c r="AB583" s="21">
        <f t="shared" si="116"/>
        <v>44988</v>
      </c>
      <c r="AC583" s="21">
        <f t="shared" si="117"/>
        <v>45016</v>
      </c>
      <c r="AD583" s="5">
        <f>(Table1[[#This Row],[OrderDate]]-Table1[[#This Row],[Date of first order]])/30</f>
        <v>28.433333333333334</v>
      </c>
      <c r="AE583" t="str">
        <f t="shared" si="118"/>
        <v>Good</v>
      </c>
      <c r="AF583">
        <f>COUNTIF(AE$2:AE584,AE583)</f>
        <v>163</v>
      </c>
      <c r="AG583" t="str">
        <f t="shared" si="119"/>
        <v>False</v>
      </c>
      <c r="AH583" s="7">
        <f>Table1[[#This Row],[UnitPrice]]*(1-Table1[[#This Row],[Disc Scenario]])*Table1[[#This Row],[Quantity]]</f>
        <v>102122.94203999999</v>
      </c>
      <c r="AI583">
        <f>ROUNDDOWN((Table1[[#This Row],[Quantity]]*(1+20%)),0)</f>
        <v>50</v>
      </c>
      <c r="AJ583" s="7">
        <f>Table1[[#This Row],[Quantity increase by 20%]]*Table1[[#This Row],[UnitPrice]]</f>
        <v>144217</v>
      </c>
      <c r="AK583">
        <f>ROUNDDOWN(Table1[[#This Row],[Quantity]]*(1+20%),0)</f>
        <v>50</v>
      </c>
      <c r="AL583" s="7">
        <f>Table1[[#This Row],[UnitCost]]*(1+15%)</f>
        <v>1510.2949999999998</v>
      </c>
      <c r="AM583" s="9">
        <f>Table1[[#This Row],[Quantity]]*Table1[[#This Row],[Cost of unit by inflation 15%]]</f>
        <v>63432.389999999992</v>
      </c>
      <c r="AN583" s="21" cm="1">
        <f t="array" ref="AN583">_xlfn.UNIQUE(AC583)</f>
        <v>45016</v>
      </c>
    </row>
    <row r="584" spans="1:40" x14ac:dyDescent="0.35">
      <c r="A584" t="s">
        <v>485</v>
      </c>
      <c r="B584" s="21">
        <v>45841</v>
      </c>
      <c r="C584" s="10">
        <v>45861</v>
      </c>
      <c r="D584" s="3">
        <f t="shared" si="108"/>
        <v>20</v>
      </c>
      <c r="E584" s="10" t="str">
        <f t="shared" si="109"/>
        <v>Q3-2025</v>
      </c>
      <c r="F584" t="s">
        <v>646</v>
      </c>
      <c r="G584" t="s">
        <v>658</v>
      </c>
      <c r="H584" t="s">
        <v>698</v>
      </c>
      <c r="I584" t="s">
        <v>704</v>
      </c>
      <c r="J584" t="s">
        <v>707</v>
      </c>
      <c r="K584" t="s">
        <v>723</v>
      </c>
      <c r="L584" t="s">
        <v>726</v>
      </c>
      <c r="M584" t="s">
        <v>1202</v>
      </c>
      <c r="N584" s="3">
        <v>647.36</v>
      </c>
      <c r="O584" s="3">
        <v>1383.6</v>
      </c>
      <c r="P584" s="6">
        <v>7.3999999999999996E-2</v>
      </c>
      <c r="Q584" s="6">
        <f>IF(Table1[[#This Row],[DiscountPct]]&gt;25%,25%,Table1[[#This Row],[DiscountPct]])</f>
        <v>7.3999999999999996E-2</v>
      </c>
      <c r="R584" s="5">
        <v>12</v>
      </c>
      <c r="S584" s="6">
        <f t="shared" si="110"/>
        <v>1.1372960949085515</v>
      </c>
      <c r="T584" s="8">
        <f t="shared" si="111"/>
        <v>15374.563199999999</v>
      </c>
      <c r="U584" s="8">
        <f t="shared" si="112"/>
        <v>7768.32</v>
      </c>
      <c r="V584" s="9">
        <f t="shared" si="113"/>
        <v>7606.243199999999</v>
      </c>
      <c r="W584" s="6">
        <f t="shared" si="114"/>
        <v>0.49472906000997802</v>
      </c>
      <c r="X584" t="str" cm="1">
        <f t="array" ref="X584">_xlfn.IFS(S584&lt;=25%, "Low", S584&lt;=75%, "Medium", S584&gt;75%, "High")</f>
        <v>High</v>
      </c>
      <c r="Y584" s="8">
        <f>Table1[[#This Row],[Quantity]]*(Table1[[#This Row],[UnitPrice]]*(1-Table1[[#This Row],[DiscountPct]]))</f>
        <v>15374.563200000001</v>
      </c>
      <c r="Z584" s="9">
        <f t="shared" si="115"/>
        <v>7606.2432000000008</v>
      </c>
      <c r="AA584">
        <f>COUNTIF($G$2:G585,G584)</f>
        <v>48</v>
      </c>
      <c r="AB584" s="21">
        <f t="shared" si="116"/>
        <v>44988</v>
      </c>
      <c r="AC584" s="21">
        <f t="shared" si="117"/>
        <v>45016</v>
      </c>
      <c r="AD584" s="5">
        <f>(Table1[[#This Row],[OrderDate]]-Table1[[#This Row],[Date of first order]])/30</f>
        <v>28.433333333333334</v>
      </c>
      <c r="AE584" t="str">
        <f t="shared" si="118"/>
        <v>Poor</v>
      </c>
      <c r="AF584">
        <f>COUNTIF(AE$2:AE585,AE584)</f>
        <v>421</v>
      </c>
      <c r="AG584" t="str">
        <f t="shared" si="119"/>
        <v>False</v>
      </c>
      <c r="AH584" s="7">
        <f>Table1[[#This Row],[UnitPrice]]*(1-Table1[[#This Row],[Disc Scenario]])*Table1[[#This Row],[Quantity]]</f>
        <v>15374.563200000001</v>
      </c>
      <c r="AI584">
        <f>ROUNDDOWN((Table1[[#This Row],[Quantity]]*(1+20%)),0)</f>
        <v>14</v>
      </c>
      <c r="AJ584" s="7">
        <f>Table1[[#This Row],[Quantity increase by 20%]]*Table1[[#This Row],[UnitPrice]]</f>
        <v>19370.399999999998</v>
      </c>
      <c r="AK584">
        <f>ROUNDDOWN(Table1[[#This Row],[Quantity]]*(1+20%),0)</f>
        <v>14</v>
      </c>
      <c r="AL584" s="7">
        <f>Table1[[#This Row],[UnitCost]]*(1+15%)</f>
        <v>744.46399999999994</v>
      </c>
      <c r="AM584" s="9">
        <f>Table1[[#This Row],[Quantity]]*Table1[[#This Row],[Cost of unit by inflation 15%]]</f>
        <v>8933.5679999999993</v>
      </c>
      <c r="AN584" s="21" cm="1">
        <f t="array" ref="AN584">_xlfn.UNIQUE(AC584)</f>
        <v>45016</v>
      </c>
    </row>
    <row r="585" spans="1:40" x14ac:dyDescent="0.35">
      <c r="A585" t="s">
        <v>134</v>
      </c>
      <c r="B585" s="21">
        <v>45847</v>
      </c>
      <c r="C585" s="10">
        <v>45856</v>
      </c>
      <c r="D585" s="3">
        <f t="shared" si="108"/>
        <v>9</v>
      </c>
      <c r="E585" s="10" t="str">
        <f t="shared" si="109"/>
        <v>Q3-2025</v>
      </c>
      <c r="F585" t="s">
        <v>647</v>
      </c>
      <c r="G585" t="s">
        <v>652</v>
      </c>
      <c r="H585" t="s">
        <v>687</v>
      </c>
      <c r="I585" t="s">
        <v>701</v>
      </c>
      <c r="J585" t="s">
        <v>709</v>
      </c>
      <c r="K585" t="s">
        <v>713</v>
      </c>
      <c r="L585" t="s">
        <v>730</v>
      </c>
      <c r="M585" t="s">
        <v>852</v>
      </c>
      <c r="N585" s="3">
        <v>57.96</v>
      </c>
      <c r="O585" s="3">
        <v>88.51</v>
      </c>
      <c r="P585" s="6">
        <v>4.2999999999999997E-2</v>
      </c>
      <c r="Q585" s="6">
        <f>IF(Table1[[#This Row],[DiscountPct]]&gt;25%,25%,Table1[[#This Row],[DiscountPct]])</f>
        <v>4.2999999999999997E-2</v>
      </c>
      <c r="R585" s="5">
        <v>7</v>
      </c>
      <c r="S585" s="6">
        <f t="shared" si="110"/>
        <v>0.52708764665286412</v>
      </c>
      <c r="T585" s="8">
        <f t="shared" si="111"/>
        <v>592.92849000000001</v>
      </c>
      <c r="U585" s="8">
        <f t="shared" si="112"/>
        <v>405.72</v>
      </c>
      <c r="V585" s="9">
        <f t="shared" si="113"/>
        <v>187.20848999999998</v>
      </c>
      <c r="W585" s="6">
        <f t="shared" si="114"/>
        <v>0.3157353595877978</v>
      </c>
      <c r="X585" t="str" cm="1">
        <f t="array" ref="X585">_xlfn.IFS(S585&lt;=25%, "Low", S585&lt;=75%, "Medium", S585&gt;75%, "High")</f>
        <v>Medium</v>
      </c>
      <c r="Y585" s="8">
        <f>Table1[[#This Row],[Quantity]]*(Table1[[#This Row],[UnitPrice]]*(1-Table1[[#This Row],[DiscountPct]]))</f>
        <v>592.92849000000001</v>
      </c>
      <c r="Z585" s="9">
        <f t="shared" si="115"/>
        <v>187.20848999999998</v>
      </c>
      <c r="AA585">
        <f>COUNTIF($G$2:G586,G585)</f>
        <v>39</v>
      </c>
      <c r="AB585" s="21">
        <f t="shared" si="116"/>
        <v>44988</v>
      </c>
      <c r="AC585" s="21">
        <f t="shared" si="117"/>
        <v>45016</v>
      </c>
      <c r="AD585" s="5">
        <f>(Table1[[#This Row],[OrderDate]]-Table1[[#This Row],[Date of first order]])/30</f>
        <v>28.633333333333333</v>
      </c>
      <c r="AE585" t="str">
        <f t="shared" si="118"/>
        <v>Poor</v>
      </c>
      <c r="AF585">
        <f>COUNTIF(AE$2:AE586,AE585)</f>
        <v>421</v>
      </c>
      <c r="AG585" t="str">
        <f t="shared" si="119"/>
        <v>False</v>
      </c>
      <c r="AH585" s="7">
        <f>Table1[[#This Row],[UnitPrice]]*(1-Table1[[#This Row],[Disc Scenario]])*Table1[[#This Row],[Quantity]]</f>
        <v>592.92849000000001</v>
      </c>
      <c r="AI585">
        <f>ROUNDDOWN((Table1[[#This Row],[Quantity]]*(1+20%)),0)</f>
        <v>8</v>
      </c>
      <c r="AJ585" s="7">
        <f>Table1[[#This Row],[Quantity increase by 20%]]*Table1[[#This Row],[UnitPrice]]</f>
        <v>708.08</v>
      </c>
      <c r="AK585">
        <f>ROUNDDOWN(Table1[[#This Row],[Quantity]]*(1+20%),0)</f>
        <v>8</v>
      </c>
      <c r="AL585" s="7">
        <f>Table1[[#This Row],[UnitCost]]*(1+15%)</f>
        <v>66.653999999999996</v>
      </c>
      <c r="AM585" s="9">
        <f>Table1[[#This Row],[Quantity]]*Table1[[#This Row],[Cost of unit by inflation 15%]]</f>
        <v>466.57799999999997</v>
      </c>
      <c r="AN585" s="21" cm="1">
        <f t="array" ref="AN585">_xlfn.UNIQUE(AC585)</f>
        <v>45016</v>
      </c>
    </row>
    <row r="586" spans="1:40" x14ac:dyDescent="0.35">
      <c r="A586" t="s">
        <v>631</v>
      </c>
      <c r="B586" s="21">
        <v>45849</v>
      </c>
      <c r="C586" s="10">
        <v>45854</v>
      </c>
      <c r="D586" s="3">
        <f t="shared" si="108"/>
        <v>5</v>
      </c>
      <c r="E586" s="10" t="str">
        <f t="shared" si="109"/>
        <v>Q3-2025</v>
      </c>
      <c r="F586" t="s">
        <v>648</v>
      </c>
      <c r="G586" t="s">
        <v>657</v>
      </c>
      <c r="H586" t="s">
        <v>682</v>
      </c>
      <c r="I586" t="s">
        <v>705</v>
      </c>
      <c r="J586" t="s">
        <v>707</v>
      </c>
      <c r="K586" t="s">
        <v>722</v>
      </c>
      <c r="L586" t="s">
        <v>727</v>
      </c>
      <c r="M586" t="s">
        <v>1347</v>
      </c>
      <c r="N586" s="3">
        <v>930.03</v>
      </c>
      <c r="O586" s="3">
        <v>1086.68</v>
      </c>
      <c r="P586" s="6">
        <v>0.109</v>
      </c>
      <c r="Q586" s="6">
        <f>IF(Table1[[#This Row],[DiscountPct]]&gt;25%,25%,Table1[[#This Row],[DiscountPct]])</f>
        <v>0.109</v>
      </c>
      <c r="R586" s="5">
        <v>26</v>
      </c>
      <c r="S586" s="6">
        <f t="shared" si="110"/>
        <v>0.16843542681418888</v>
      </c>
      <c r="T586" s="8">
        <f t="shared" si="111"/>
        <v>25174.028880000002</v>
      </c>
      <c r="U586" s="8">
        <f t="shared" si="112"/>
        <v>24180.78</v>
      </c>
      <c r="V586" s="9">
        <f t="shared" si="113"/>
        <v>993.24888000000283</v>
      </c>
      <c r="W586" s="6">
        <f t="shared" si="114"/>
        <v>3.9455300728168656E-2</v>
      </c>
      <c r="X586" t="str" cm="1">
        <f t="array" ref="X586">_xlfn.IFS(S586&lt;=25%, "Low", S586&lt;=75%, "Medium", S586&gt;75%, "High")</f>
        <v>Low</v>
      </c>
      <c r="Y586" s="8">
        <f>Table1[[#This Row],[Quantity]]*(Table1[[#This Row],[UnitPrice]]*(1-Table1[[#This Row],[DiscountPct]]))</f>
        <v>25174.028880000002</v>
      </c>
      <c r="Z586" s="9">
        <f t="shared" si="115"/>
        <v>993.24888000000283</v>
      </c>
      <c r="AA586">
        <f>COUNTIF($G$2:G587,G586)</f>
        <v>51</v>
      </c>
      <c r="AB586" s="21">
        <f t="shared" si="116"/>
        <v>44988</v>
      </c>
      <c r="AC586" s="21">
        <f t="shared" si="117"/>
        <v>45016</v>
      </c>
      <c r="AD586" s="5">
        <f>(Table1[[#This Row],[OrderDate]]-Table1[[#This Row],[Date of first order]])/30</f>
        <v>28.7</v>
      </c>
      <c r="AE586" t="str">
        <f t="shared" si="118"/>
        <v>Good</v>
      </c>
      <c r="AF586">
        <f>COUNTIF(AE$2:AE587,AE586)</f>
        <v>164</v>
      </c>
      <c r="AG586" t="str">
        <f t="shared" si="119"/>
        <v>False</v>
      </c>
      <c r="AH586" s="7">
        <f>Table1[[#This Row],[UnitPrice]]*(1-Table1[[#This Row],[Disc Scenario]])*Table1[[#This Row],[Quantity]]</f>
        <v>25174.028880000002</v>
      </c>
      <c r="AI586">
        <f>ROUNDDOWN((Table1[[#This Row],[Quantity]]*(1+20%)),0)</f>
        <v>31</v>
      </c>
      <c r="AJ586" s="7">
        <f>Table1[[#This Row],[Quantity increase by 20%]]*Table1[[#This Row],[UnitPrice]]</f>
        <v>33687.08</v>
      </c>
      <c r="AK586">
        <f>ROUNDDOWN(Table1[[#This Row],[Quantity]]*(1+20%),0)</f>
        <v>31</v>
      </c>
      <c r="AL586" s="7">
        <f>Table1[[#This Row],[UnitCost]]*(1+15%)</f>
        <v>1069.5345</v>
      </c>
      <c r="AM586" s="9">
        <f>Table1[[#This Row],[Quantity]]*Table1[[#This Row],[Cost of unit by inflation 15%]]</f>
        <v>27807.897000000001</v>
      </c>
      <c r="AN586" s="21" cm="1">
        <f t="array" ref="AN586">_xlfn.UNIQUE(AC586)</f>
        <v>45016</v>
      </c>
    </row>
    <row r="587" spans="1:40" x14ac:dyDescent="0.35">
      <c r="A587" t="s">
        <v>593</v>
      </c>
      <c r="B587" s="21">
        <v>45849</v>
      </c>
      <c r="C587" s="10">
        <v>45872</v>
      </c>
      <c r="D587" s="3">
        <f t="shared" si="108"/>
        <v>23</v>
      </c>
      <c r="E587" s="10" t="str">
        <f t="shared" si="109"/>
        <v>Q3-2025</v>
      </c>
      <c r="F587" t="s">
        <v>645</v>
      </c>
      <c r="G587" t="s">
        <v>649</v>
      </c>
      <c r="H587" t="s">
        <v>677</v>
      </c>
      <c r="I587" t="s">
        <v>704</v>
      </c>
      <c r="J587" t="s">
        <v>706</v>
      </c>
      <c r="K587" t="s">
        <v>711</v>
      </c>
      <c r="L587" t="s">
        <v>729</v>
      </c>
      <c r="M587" t="s">
        <v>1309</v>
      </c>
      <c r="N587" s="3">
        <v>389.93</v>
      </c>
      <c r="O587" s="3">
        <v>486.13</v>
      </c>
      <c r="P587" s="6">
        <v>0.13200000000000001</v>
      </c>
      <c r="Q587" s="6">
        <f>IF(Table1[[#This Row],[DiscountPct]]&gt;25%,25%,Table1[[#This Row],[DiscountPct]])</f>
        <v>0.13200000000000001</v>
      </c>
      <c r="R587" s="5">
        <v>17</v>
      </c>
      <c r="S587" s="6">
        <f t="shared" si="110"/>
        <v>0.2467109481188931</v>
      </c>
      <c r="T587" s="8">
        <f t="shared" si="111"/>
        <v>7173.3342799999991</v>
      </c>
      <c r="U587" s="8">
        <f t="shared" si="112"/>
        <v>6628.81</v>
      </c>
      <c r="V587" s="9">
        <f t="shared" si="113"/>
        <v>544.52427999999873</v>
      </c>
      <c r="W587" s="6">
        <f t="shared" si="114"/>
        <v>7.5909508569562828E-2</v>
      </c>
      <c r="X587" t="str" cm="1">
        <f t="array" ref="X587">_xlfn.IFS(S587&lt;=25%, "Low", S587&lt;=75%, "Medium", S587&gt;75%, "High")</f>
        <v>Low</v>
      </c>
      <c r="Y587" s="8">
        <f>Table1[[#This Row],[Quantity]]*(Table1[[#This Row],[UnitPrice]]*(1-Table1[[#This Row],[DiscountPct]]))</f>
        <v>7173.33428</v>
      </c>
      <c r="Z587" s="9">
        <f t="shared" si="115"/>
        <v>544.52427999999964</v>
      </c>
      <c r="AA587">
        <f>COUNTIF($G$2:G588,G587)</f>
        <v>51</v>
      </c>
      <c r="AB587" s="21">
        <f t="shared" si="116"/>
        <v>44988</v>
      </c>
      <c r="AC587" s="21">
        <f t="shared" si="117"/>
        <v>45016</v>
      </c>
      <c r="AD587" s="5">
        <f>(Table1[[#This Row],[OrderDate]]-Table1[[#This Row],[Date of first order]])/30</f>
        <v>28.7</v>
      </c>
      <c r="AE587" t="str">
        <f t="shared" si="118"/>
        <v>Poor</v>
      </c>
      <c r="AF587">
        <f>COUNTIF(AE$2:AE588,AE587)</f>
        <v>423</v>
      </c>
      <c r="AG587" t="str">
        <f t="shared" si="119"/>
        <v>False</v>
      </c>
      <c r="AH587" s="7">
        <f>Table1[[#This Row],[UnitPrice]]*(1-Table1[[#This Row],[Disc Scenario]])*Table1[[#This Row],[Quantity]]</f>
        <v>7173.33428</v>
      </c>
      <c r="AI587">
        <f>ROUNDDOWN((Table1[[#This Row],[Quantity]]*(1+20%)),0)</f>
        <v>20</v>
      </c>
      <c r="AJ587" s="7">
        <f>Table1[[#This Row],[Quantity increase by 20%]]*Table1[[#This Row],[UnitPrice]]</f>
        <v>9722.6</v>
      </c>
      <c r="AK587">
        <f>ROUNDDOWN(Table1[[#This Row],[Quantity]]*(1+20%),0)</f>
        <v>20</v>
      </c>
      <c r="AL587" s="7">
        <f>Table1[[#This Row],[UnitCost]]*(1+15%)</f>
        <v>448.41949999999997</v>
      </c>
      <c r="AM587" s="9">
        <f>Table1[[#This Row],[Quantity]]*Table1[[#This Row],[Cost of unit by inflation 15%]]</f>
        <v>7623.1314999999995</v>
      </c>
      <c r="AN587" s="21" cm="1">
        <f t="array" ref="AN587">_xlfn.UNIQUE(AC587)</f>
        <v>45016</v>
      </c>
    </row>
    <row r="588" spans="1:40" x14ac:dyDescent="0.35">
      <c r="A588" t="s">
        <v>224</v>
      </c>
      <c r="B588" s="21">
        <v>45852</v>
      </c>
      <c r="C588" s="10">
        <v>45873</v>
      </c>
      <c r="D588" s="3">
        <f t="shared" si="108"/>
        <v>21</v>
      </c>
      <c r="E588" s="10" t="str">
        <f t="shared" si="109"/>
        <v>Q3-2025</v>
      </c>
      <c r="F588" t="s">
        <v>647</v>
      </c>
      <c r="G588" t="s">
        <v>652</v>
      </c>
      <c r="H588" t="s">
        <v>680</v>
      </c>
      <c r="I588" t="s">
        <v>703</v>
      </c>
      <c r="J588" t="s">
        <v>707</v>
      </c>
      <c r="K588" t="s">
        <v>721</v>
      </c>
      <c r="L588" t="s">
        <v>731</v>
      </c>
      <c r="M588" t="s">
        <v>942</v>
      </c>
      <c r="N588" s="3">
        <v>90.3</v>
      </c>
      <c r="O588" s="3">
        <v>131.76</v>
      </c>
      <c r="P588" s="6">
        <v>0.10199999999999999</v>
      </c>
      <c r="Q588" s="6">
        <f>IF(Table1[[#This Row],[DiscountPct]]&gt;25%,25%,Table1[[#This Row],[DiscountPct]])</f>
        <v>0.10199999999999999</v>
      </c>
      <c r="R588" s="5">
        <v>15</v>
      </c>
      <c r="S588" s="6">
        <f t="shared" si="110"/>
        <v>0.45913621262458465</v>
      </c>
      <c r="T588" s="8">
        <f t="shared" si="111"/>
        <v>1774.8072</v>
      </c>
      <c r="U588" s="8">
        <f t="shared" si="112"/>
        <v>1354.5</v>
      </c>
      <c r="V588" s="9">
        <f t="shared" si="113"/>
        <v>420.30719999999997</v>
      </c>
      <c r="W588" s="6">
        <f t="shared" si="114"/>
        <v>0.23681851189244668</v>
      </c>
      <c r="X588" t="str" cm="1">
        <f t="array" ref="X588">_xlfn.IFS(S588&lt;=25%, "Low", S588&lt;=75%, "Medium", S588&gt;75%, "High")</f>
        <v>Medium</v>
      </c>
      <c r="Y588" s="8">
        <f>Table1[[#This Row],[Quantity]]*(Table1[[#This Row],[UnitPrice]]*(1-Table1[[#This Row],[DiscountPct]]))</f>
        <v>1774.8071999999997</v>
      </c>
      <c r="Z588" s="9">
        <f t="shared" si="115"/>
        <v>420.30719999999974</v>
      </c>
      <c r="AA588">
        <f>COUNTIF($G$2:G589,G588)</f>
        <v>40</v>
      </c>
      <c r="AB588" s="21">
        <f t="shared" si="116"/>
        <v>44988</v>
      </c>
      <c r="AC588" s="21">
        <f t="shared" si="117"/>
        <v>45016</v>
      </c>
      <c r="AD588" s="5">
        <f>(Table1[[#This Row],[OrderDate]]-Table1[[#This Row],[Date of first order]])/30</f>
        <v>28.8</v>
      </c>
      <c r="AE588" t="str">
        <f t="shared" si="118"/>
        <v>Poor</v>
      </c>
      <c r="AF588">
        <f>COUNTIF(AE$2:AE589,AE588)</f>
        <v>423</v>
      </c>
      <c r="AG588" t="str">
        <f t="shared" si="119"/>
        <v>False</v>
      </c>
      <c r="AH588" s="7">
        <f>Table1[[#This Row],[UnitPrice]]*(1-Table1[[#This Row],[Disc Scenario]])*Table1[[#This Row],[Quantity]]</f>
        <v>1774.8071999999997</v>
      </c>
      <c r="AI588">
        <f>ROUNDDOWN((Table1[[#This Row],[Quantity]]*(1+20%)),0)</f>
        <v>18</v>
      </c>
      <c r="AJ588" s="7">
        <f>Table1[[#This Row],[Quantity increase by 20%]]*Table1[[#This Row],[UnitPrice]]</f>
        <v>2371.6799999999998</v>
      </c>
      <c r="AK588">
        <f>ROUNDDOWN(Table1[[#This Row],[Quantity]]*(1+20%),0)</f>
        <v>18</v>
      </c>
      <c r="AL588" s="7">
        <f>Table1[[#This Row],[UnitCost]]*(1+15%)</f>
        <v>103.84499999999998</v>
      </c>
      <c r="AM588" s="9">
        <f>Table1[[#This Row],[Quantity]]*Table1[[#This Row],[Cost of unit by inflation 15%]]</f>
        <v>1557.6749999999997</v>
      </c>
      <c r="AN588" s="21" cm="1">
        <f t="array" ref="AN588">_xlfn.UNIQUE(AC588)</f>
        <v>45016</v>
      </c>
    </row>
    <row r="589" spans="1:40" x14ac:dyDescent="0.35">
      <c r="A589" t="s">
        <v>236</v>
      </c>
      <c r="B589" s="21">
        <v>45854</v>
      </c>
      <c r="C589" s="10">
        <v>45855</v>
      </c>
      <c r="D589" s="3">
        <f t="shared" si="108"/>
        <v>1</v>
      </c>
      <c r="E589" s="10" t="str">
        <f t="shared" si="109"/>
        <v>Q3-2025</v>
      </c>
      <c r="F589" t="s">
        <v>645</v>
      </c>
      <c r="G589" t="s">
        <v>660</v>
      </c>
      <c r="H589" t="s">
        <v>686</v>
      </c>
      <c r="I589" t="s">
        <v>704</v>
      </c>
      <c r="J589" t="s">
        <v>709</v>
      </c>
      <c r="K589" t="s">
        <v>716</v>
      </c>
      <c r="L589" t="s">
        <v>728</v>
      </c>
      <c r="M589" t="s">
        <v>954</v>
      </c>
      <c r="N589" s="3">
        <v>1198.9000000000001</v>
      </c>
      <c r="O589" s="3">
        <v>2941.2</v>
      </c>
      <c r="P589" s="6">
        <v>5.0999999999999997E-2</v>
      </c>
      <c r="Q589" s="6">
        <f>IF(Table1[[#This Row],[DiscountPct]]&gt;25%,25%,Table1[[#This Row],[DiscountPct]])</f>
        <v>5.0999999999999997E-2</v>
      </c>
      <c r="R589" s="5">
        <v>24</v>
      </c>
      <c r="S589" s="6">
        <f t="shared" si="110"/>
        <v>1.4532488114104591</v>
      </c>
      <c r="T589" s="8">
        <f t="shared" si="111"/>
        <v>66988.771199999988</v>
      </c>
      <c r="U589" s="8">
        <f t="shared" si="112"/>
        <v>28773.600000000002</v>
      </c>
      <c r="V589" s="9">
        <f t="shared" si="113"/>
        <v>38215.171199999982</v>
      </c>
      <c r="W589" s="6">
        <f t="shared" si="114"/>
        <v>0.57047129713583977</v>
      </c>
      <c r="X589" t="str" cm="1">
        <f t="array" ref="X589">_xlfn.IFS(S589&lt;=25%, "Low", S589&lt;=75%, "Medium", S589&gt;75%, "High")</f>
        <v>High</v>
      </c>
      <c r="Y589" s="8">
        <f>Table1[[#This Row],[Quantity]]*(Table1[[#This Row],[UnitPrice]]*(1-Table1[[#This Row],[DiscountPct]]))</f>
        <v>66988.771199999988</v>
      </c>
      <c r="Z589" s="9">
        <f t="shared" si="115"/>
        <v>38215.171199999982</v>
      </c>
      <c r="AA589">
        <f>COUNTIF($G$2:G590,G589)</f>
        <v>43</v>
      </c>
      <c r="AB589" s="21">
        <f t="shared" si="116"/>
        <v>44988</v>
      </c>
      <c r="AC589" s="21">
        <f t="shared" si="117"/>
        <v>45016</v>
      </c>
      <c r="AD589" s="5">
        <f>(Table1[[#This Row],[OrderDate]]-Table1[[#This Row],[Date of first order]])/30</f>
        <v>28.866666666666667</v>
      </c>
      <c r="AE589" t="str">
        <f t="shared" si="118"/>
        <v>Good</v>
      </c>
      <c r="AF589">
        <f>COUNTIF(AE$2:AE590,AE589)</f>
        <v>166</v>
      </c>
      <c r="AG589" t="str">
        <f t="shared" si="119"/>
        <v>False</v>
      </c>
      <c r="AH589" s="7">
        <f>Table1[[#This Row],[UnitPrice]]*(1-Table1[[#This Row],[Disc Scenario]])*Table1[[#This Row],[Quantity]]</f>
        <v>66988.771199999988</v>
      </c>
      <c r="AI589">
        <f>ROUNDDOWN((Table1[[#This Row],[Quantity]]*(1+20%)),0)</f>
        <v>28</v>
      </c>
      <c r="AJ589" s="7">
        <f>Table1[[#This Row],[Quantity increase by 20%]]*Table1[[#This Row],[UnitPrice]]</f>
        <v>82353.599999999991</v>
      </c>
      <c r="AK589">
        <f>ROUNDDOWN(Table1[[#This Row],[Quantity]]*(1+20%),0)</f>
        <v>28</v>
      </c>
      <c r="AL589" s="7">
        <f>Table1[[#This Row],[UnitCost]]*(1+15%)</f>
        <v>1378.7349999999999</v>
      </c>
      <c r="AM589" s="9">
        <f>Table1[[#This Row],[Quantity]]*Table1[[#This Row],[Cost of unit by inflation 15%]]</f>
        <v>33089.64</v>
      </c>
      <c r="AN589" s="21" cm="1">
        <f t="array" ref="AN589">_xlfn.UNIQUE(AC589)</f>
        <v>45016</v>
      </c>
    </row>
    <row r="590" spans="1:40" x14ac:dyDescent="0.35">
      <c r="A590" t="s">
        <v>250</v>
      </c>
      <c r="B590" s="21">
        <v>45855</v>
      </c>
      <c r="C590" s="10">
        <v>45861</v>
      </c>
      <c r="D590" s="3">
        <f t="shared" si="108"/>
        <v>6</v>
      </c>
      <c r="E590" s="10" t="str">
        <f t="shared" si="109"/>
        <v>Q3-2025</v>
      </c>
      <c r="F590" t="s">
        <v>647</v>
      </c>
      <c r="G590" t="s">
        <v>652</v>
      </c>
      <c r="H590" t="s">
        <v>687</v>
      </c>
      <c r="I590" t="s">
        <v>703</v>
      </c>
      <c r="J590" t="s">
        <v>707</v>
      </c>
      <c r="K590" t="s">
        <v>721</v>
      </c>
      <c r="L590" t="s">
        <v>726</v>
      </c>
      <c r="M590" t="s">
        <v>968</v>
      </c>
      <c r="N590" s="3">
        <v>1364.89</v>
      </c>
      <c r="O590" s="3">
        <v>2757.54</v>
      </c>
      <c r="P590" s="6">
        <v>0.17199999999999999</v>
      </c>
      <c r="Q590" s="6">
        <f>IF(Table1[[#This Row],[DiscountPct]]&gt;25%,25%,Table1[[#This Row],[DiscountPct]])</f>
        <v>0.17199999999999999</v>
      </c>
      <c r="R590" s="5">
        <v>61</v>
      </c>
      <c r="S590" s="6">
        <f t="shared" si="110"/>
        <v>1.0203386353479034</v>
      </c>
      <c r="T590" s="8">
        <f t="shared" si="111"/>
        <v>139277.83032000001</v>
      </c>
      <c r="U590" s="8">
        <f t="shared" si="112"/>
        <v>83258.290000000008</v>
      </c>
      <c r="V590" s="9">
        <f t="shared" si="113"/>
        <v>56019.54032</v>
      </c>
      <c r="W590" s="6">
        <f t="shared" si="114"/>
        <v>0.4022143379983118</v>
      </c>
      <c r="X590" t="str" cm="1">
        <f t="array" ref="X590">_xlfn.IFS(S590&lt;=25%, "Low", S590&lt;=75%, "Medium", S590&gt;75%, "High")</f>
        <v>High</v>
      </c>
      <c r="Y590" s="8">
        <f>Table1[[#This Row],[Quantity]]*(Table1[[#This Row],[UnitPrice]]*(1-Table1[[#This Row],[DiscountPct]]))</f>
        <v>139277.83032000001</v>
      </c>
      <c r="Z590" s="9">
        <f t="shared" si="115"/>
        <v>56019.54032</v>
      </c>
      <c r="AA590">
        <f>COUNTIF($G$2:G591,G590)</f>
        <v>41</v>
      </c>
      <c r="AB590" s="21">
        <f t="shared" si="116"/>
        <v>44988</v>
      </c>
      <c r="AC590" s="21">
        <f t="shared" si="117"/>
        <v>45016</v>
      </c>
      <c r="AD590" s="5">
        <f>(Table1[[#This Row],[OrderDate]]-Table1[[#This Row],[Date of first order]])/30</f>
        <v>28.9</v>
      </c>
      <c r="AE590" t="str">
        <f t="shared" si="118"/>
        <v>Good</v>
      </c>
      <c r="AF590">
        <f>COUNTIF(AE$2:AE591,AE590)</f>
        <v>166</v>
      </c>
      <c r="AG590" t="str">
        <f t="shared" si="119"/>
        <v>False</v>
      </c>
      <c r="AH590" s="7">
        <f>Table1[[#This Row],[UnitPrice]]*(1-Table1[[#This Row],[Disc Scenario]])*Table1[[#This Row],[Quantity]]</f>
        <v>139277.83032000001</v>
      </c>
      <c r="AI590">
        <f>ROUNDDOWN((Table1[[#This Row],[Quantity]]*(1+20%)),0)</f>
        <v>73</v>
      </c>
      <c r="AJ590" s="7">
        <f>Table1[[#This Row],[Quantity increase by 20%]]*Table1[[#This Row],[UnitPrice]]</f>
        <v>201300.41999999998</v>
      </c>
      <c r="AK590">
        <f>ROUNDDOWN(Table1[[#This Row],[Quantity]]*(1+20%),0)</f>
        <v>73</v>
      </c>
      <c r="AL590" s="7">
        <f>Table1[[#This Row],[UnitCost]]*(1+15%)</f>
        <v>1569.6234999999999</v>
      </c>
      <c r="AM590" s="9">
        <f>Table1[[#This Row],[Quantity]]*Table1[[#This Row],[Cost of unit by inflation 15%]]</f>
        <v>95747.03349999999</v>
      </c>
      <c r="AN590" s="21" cm="1">
        <f t="array" ref="AN590">_xlfn.UNIQUE(AC590)</f>
        <v>45016</v>
      </c>
    </row>
    <row r="591" spans="1:40" x14ac:dyDescent="0.35">
      <c r="A591" t="s">
        <v>636</v>
      </c>
      <c r="B591" s="21">
        <v>45857</v>
      </c>
      <c r="C591" s="10">
        <v>45869</v>
      </c>
      <c r="D591" s="3">
        <f t="shared" si="108"/>
        <v>12</v>
      </c>
      <c r="E591" s="10" t="str">
        <f t="shared" si="109"/>
        <v>Q3-2025</v>
      </c>
      <c r="F591" t="s">
        <v>645</v>
      </c>
      <c r="G591" t="s">
        <v>649</v>
      </c>
      <c r="H591" t="s">
        <v>663</v>
      </c>
      <c r="I591" t="s">
        <v>704</v>
      </c>
      <c r="J591" t="s">
        <v>708</v>
      </c>
      <c r="K591" t="s">
        <v>718</v>
      </c>
      <c r="L591" t="s">
        <v>732</v>
      </c>
      <c r="M591" t="s">
        <v>1352</v>
      </c>
      <c r="N591" s="3">
        <v>619.64</v>
      </c>
      <c r="O591" s="3">
        <v>861.16</v>
      </c>
      <c r="P591" s="6">
        <v>0.113</v>
      </c>
      <c r="Q591" s="6">
        <f>IF(Table1[[#This Row],[DiscountPct]]&gt;25%,25%,Table1[[#This Row],[DiscountPct]])</f>
        <v>0.113</v>
      </c>
      <c r="R591" s="5">
        <v>14</v>
      </c>
      <c r="S591" s="6">
        <f t="shared" si="110"/>
        <v>0.3897747078949067</v>
      </c>
      <c r="T591" s="8">
        <f t="shared" si="111"/>
        <v>10693.88488</v>
      </c>
      <c r="U591" s="8">
        <f t="shared" si="112"/>
        <v>8674.9599999999991</v>
      </c>
      <c r="V591" s="9">
        <f t="shared" si="113"/>
        <v>2018.9248800000005</v>
      </c>
      <c r="W591" s="6">
        <f t="shared" si="114"/>
        <v>0.18879246435276761</v>
      </c>
      <c r="X591" t="str" cm="1">
        <f t="array" ref="X591">_xlfn.IFS(S591&lt;=25%, "Low", S591&lt;=75%, "Medium", S591&gt;75%, "High")</f>
        <v>Medium</v>
      </c>
      <c r="Y591" s="8">
        <f>Table1[[#This Row],[Quantity]]*(Table1[[#This Row],[UnitPrice]]*(1-Table1[[#This Row],[DiscountPct]]))</f>
        <v>10693.88488</v>
      </c>
      <c r="Z591" s="9">
        <f t="shared" si="115"/>
        <v>2018.9248800000005</v>
      </c>
      <c r="AA591">
        <f>COUNTIF($G$2:G592,G591)</f>
        <v>52</v>
      </c>
      <c r="AB591" s="21">
        <f t="shared" si="116"/>
        <v>44988</v>
      </c>
      <c r="AC591" s="21">
        <f t="shared" si="117"/>
        <v>45016</v>
      </c>
      <c r="AD591" s="5">
        <f>(Table1[[#This Row],[OrderDate]]-Table1[[#This Row],[Date of first order]])/30</f>
        <v>28.966666666666665</v>
      </c>
      <c r="AE591" t="str">
        <f t="shared" si="118"/>
        <v>Poor</v>
      </c>
      <c r="AF591">
        <f>COUNTIF(AE$2:AE592,AE591)</f>
        <v>425</v>
      </c>
      <c r="AG591" t="str">
        <f t="shared" si="119"/>
        <v>False</v>
      </c>
      <c r="AH591" s="7">
        <f>Table1[[#This Row],[UnitPrice]]*(1-Table1[[#This Row],[Disc Scenario]])*Table1[[#This Row],[Quantity]]</f>
        <v>10693.88488</v>
      </c>
      <c r="AI591">
        <f>ROUNDDOWN((Table1[[#This Row],[Quantity]]*(1+20%)),0)</f>
        <v>16</v>
      </c>
      <c r="AJ591" s="7">
        <f>Table1[[#This Row],[Quantity increase by 20%]]*Table1[[#This Row],[UnitPrice]]</f>
        <v>13778.56</v>
      </c>
      <c r="AK591">
        <f>ROUNDDOWN(Table1[[#This Row],[Quantity]]*(1+20%),0)</f>
        <v>16</v>
      </c>
      <c r="AL591" s="7">
        <f>Table1[[#This Row],[UnitCost]]*(1+15%)</f>
        <v>712.5859999999999</v>
      </c>
      <c r="AM591" s="9">
        <f>Table1[[#This Row],[Quantity]]*Table1[[#This Row],[Cost of unit by inflation 15%]]</f>
        <v>9976.2039999999979</v>
      </c>
      <c r="AN591" s="21" cm="1">
        <f t="array" ref="AN591">_xlfn.UNIQUE(AC591)</f>
        <v>45016</v>
      </c>
    </row>
    <row r="592" spans="1:40" x14ac:dyDescent="0.35">
      <c r="A592" t="s">
        <v>33</v>
      </c>
      <c r="B592" s="21">
        <v>45858</v>
      </c>
      <c r="C592" s="10">
        <v>45874</v>
      </c>
      <c r="D592" s="3">
        <f t="shared" si="108"/>
        <v>16</v>
      </c>
      <c r="E592" s="10" t="str">
        <f t="shared" si="109"/>
        <v>Q3-2025</v>
      </c>
      <c r="F592" t="s">
        <v>647</v>
      </c>
      <c r="G592" t="s">
        <v>654</v>
      </c>
      <c r="H592" t="s">
        <v>671</v>
      </c>
      <c r="I592" t="s">
        <v>705</v>
      </c>
      <c r="J592" t="s">
        <v>708</v>
      </c>
      <c r="K592" t="s">
        <v>714</v>
      </c>
      <c r="L592" t="s">
        <v>732</v>
      </c>
      <c r="M592" t="s">
        <v>751</v>
      </c>
      <c r="N592" s="3">
        <v>1068.17</v>
      </c>
      <c r="O592" s="3">
        <v>2375.37</v>
      </c>
      <c r="P592" s="6">
        <v>0.109</v>
      </c>
      <c r="Q592" s="6">
        <f>IF(Table1[[#This Row],[DiscountPct]]&gt;25%,25%,Table1[[#This Row],[DiscountPct]])</f>
        <v>0.109</v>
      </c>
      <c r="R592" s="5">
        <v>18</v>
      </c>
      <c r="S592" s="6">
        <f t="shared" si="110"/>
        <v>1.2237752417686321</v>
      </c>
      <c r="T592" s="8">
        <f t="shared" si="111"/>
        <v>38096.18406</v>
      </c>
      <c r="U592" s="8">
        <f t="shared" si="112"/>
        <v>19227.060000000001</v>
      </c>
      <c r="V592" s="9">
        <f t="shared" si="113"/>
        <v>18869.124059999998</v>
      </c>
      <c r="W592" s="6">
        <f t="shared" si="114"/>
        <v>0.49530220744108822</v>
      </c>
      <c r="X592" t="str" cm="1">
        <f t="array" ref="X592">_xlfn.IFS(S592&lt;=25%, "Low", S592&lt;=75%, "Medium", S592&gt;75%, "High")</f>
        <v>High</v>
      </c>
      <c r="Y592" s="8">
        <f>Table1[[#This Row],[Quantity]]*(Table1[[#This Row],[UnitPrice]]*(1-Table1[[#This Row],[DiscountPct]]))</f>
        <v>38096.18406</v>
      </c>
      <c r="Z592" s="9">
        <f t="shared" si="115"/>
        <v>18869.124059999998</v>
      </c>
      <c r="AA592">
        <f>COUNTIF($G$2:G593,G592)</f>
        <v>57</v>
      </c>
      <c r="AB592" s="21">
        <f t="shared" si="116"/>
        <v>44988</v>
      </c>
      <c r="AC592" s="21">
        <f t="shared" si="117"/>
        <v>45016</v>
      </c>
      <c r="AD592" s="5">
        <f>(Table1[[#This Row],[OrderDate]]-Table1[[#This Row],[Date of first order]])/30</f>
        <v>29</v>
      </c>
      <c r="AE592" t="str">
        <f t="shared" si="118"/>
        <v>Poor</v>
      </c>
      <c r="AF592">
        <f>COUNTIF(AE$2:AE593,AE592)</f>
        <v>426</v>
      </c>
      <c r="AG592" t="str">
        <f t="shared" si="119"/>
        <v>False</v>
      </c>
      <c r="AH592" s="7">
        <f>Table1[[#This Row],[UnitPrice]]*(1-Table1[[#This Row],[Disc Scenario]])*Table1[[#This Row],[Quantity]]</f>
        <v>38096.18406</v>
      </c>
      <c r="AI592">
        <f>ROUNDDOWN((Table1[[#This Row],[Quantity]]*(1+20%)),0)</f>
        <v>21</v>
      </c>
      <c r="AJ592" s="7">
        <f>Table1[[#This Row],[Quantity increase by 20%]]*Table1[[#This Row],[UnitPrice]]</f>
        <v>49882.77</v>
      </c>
      <c r="AK592">
        <f>ROUNDDOWN(Table1[[#This Row],[Quantity]]*(1+20%),0)</f>
        <v>21</v>
      </c>
      <c r="AL592" s="7">
        <f>Table1[[#This Row],[UnitCost]]*(1+15%)</f>
        <v>1228.3955000000001</v>
      </c>
      <c r="AM592" s="9">
        <f>Table1[[#This Row],[Quantity]]*Table1[[#This Row],[Cost of unit by inflation 15%]]</f>
        <v>22111.119000000002</v>
      </c>
      <c r="AN592" s="21" cm="1">
        <f t="array" ref="AN592">_xlfn.UNIQUE(AC592)</f>
        <v>45016</v>
      </c>
    </row>
    <row r="593" spans="1:40" x14ac:dyDescent="0.35">
      <c r="A593" t="s">
        <v>222</v>
      </c>
      <c r="B593" s="21">
        <v>45859</v>
      </c>
      <c r="C593" s="10">
        <v>45876</v>
      </c>
      <c r="D593" s="3">
        <f t="shared" si="108"/>
        <v>17</v>
      </c>
      <c r="E593" s="10" t="str">
        <f t="shared" si="109"/>
        <v>Q3-2025</v>
      </c>
      <c r="F593" t="s">
        <v>645</v>
      </c>
      <c r="G593" t="s">
        <v>650</v>
      </c>
      <c r="H593" t="s">
        <v>664</v>
      </c>
      <c r="I593" t="s">
        <v>705</v>
      </c>
      <c r="J593" t="s">
        <v>710</v>
      </c>
      <c r="K593" t="s">
        <v>723</v>
      </c>
      <c r="L593" t="s">
        <v>732</v>
      </c>
      <c r="M593" t="s">
        <v>940</v>
      </c>
      <c r="N593" s="3">
        <v>1204.95</v>
      </c>
      <c r="O593" s="3">
        <v>2065.73</v>
      </c>
      <c r="P593" s="6">
        <v>0.13600000000000001</v>
      </c>
      <c r="Q593" s="6">
        <f>IF(Table1[[#This Row],[DiscountPct]]&gt;25%,25%,Table1[[#This Row],[DiscountPct]])</f>
        <v>0.13600000000000001</v>
      </c>
      <c r="R593" s="5">
        <v>10</v>
      </c>
      <c r="S593" s="6">
        <f t="shared" si="110"/>
        <v>0.71436989086684088</v>
      </c>
      <c r="T593" s="8">
        <f t="shared" si="111"/>
        <v>17847.907199999998</v>
      </c>
      <c r="U593" s="8">
        <f t="shared" si="112"/>
        <v>12049.5</v>
      </c>
      <c r="V593" s="9">
        <f t="shared" si="113"/>
        <v>5798.4071999999978</v>
      </c>
      <c r="W593" s="6">
        <f t="shared" si="114"/>
        <v>0.32487882949100039</v>
      </c>
      <c r="X593" t="str" cm="1">
        <f t="array" ref="X593">_xlfn.IFS(S593&lt;=25%, "Low", S593&lt;=75%, "Medium", S593&gt;75%, "High")</f>
        <v>Medium</v>
      </c>
      <c r="Y593" s="8">
        <f>Table1[[#This Row],[Quantity]]*(Table1[[#This Row],[UnitPrice]]*(1-Table1[[#This Row],[DiscountPct]]))</f>
        <v>17847.907200000001</v>
      </c>
      <c r="Z593" s="9">
        <f t="shared" si="115"/>
        <v>5798.4072000000015</v>
      </c>
      <c r="AA593">
        <f>COUNTIF($G$2:G594,G593)</f>
        <v>42</v>
      </c>
      <c r="AB593" s="21">
        <f t="shared" si="116"/>
        <v>44988</v>
      </c>
      <c r="AC593" s="21">
        <f t="shared" si="117"/>
        <v>45016</v>
      </c>
      <c r="AD593" s="5">
        <f>(Table1[[#This Row],[OrderDate]]-Table1[[#This Row],[Date of first order]])/30</f>
        <v>29.033333333333335</v>
      </c>
      <c r="AE593" t="str">
        <f t="shared" si="118"/>
        <v>Poor</v>
      </c>
      <c r="AF593">
        <f>COUNTIF(AE$2:AE594,AE593)</f>
        <v>427</v>
      </c>
      <c r="AG593" t="str">
        <f t="shared" si="119"/>
        <v>False</v>
      </c>
      <c r="AH593" s="7">
        <f>Table1[[#This Row],[UnitPrice]]*(1-Table1[[#This Row],[Disc Scenario]])*Table1[[#This Row],[Quantity]]</f>
        <v>17847.907200000001</v>
      </c>
      <c r="AI593">
        <f>ROUNDDOWN((Table1[[#This Row],[Quantity]]*(1+20%)),0)</f>
        <v>12</v>
      </c>
      <c r="AJ593" s="7">
        <f>Table1[[#This Row],[Quantity increase by 20%]]*Table1[[#This Row],[UnitPrice]]</f>
        <v>24788.760000000002</v>
      </c>
      <c r="AK593">
        <f>ROUNDDOWN(Table1[[#This Row],[Quantity]]*(1+20%),0)</f>
        <v>12</v>
      </c>
      <c r="AL593" s="7">
        <f>Table1[[#This Row],[UnitCost]]*(1+15%)</f>
        <v>1385.6924999999999</v>
      </c>
      <c r="AM593" s="9">
        <f>Table1[[#This Row],[Quantity]]*Table1[[#This Row],[Cost of unit by inflation 15%]]</f>
        <v>13856.924999999999</v>
      </c>
      <c r="AN593" s="21" cm="1">
        <f t="array" ref="AN593">_xlfn.UNIQUE(AC593)</f>
        <v>45016</v>
      </c>
    </row>
    <row r="594" spans="1:40" x14ac:dyDescent="0.35">
      <c r="A594" t="s">
        <v>113</v>
      </c>
      <c r="B594" s="21">
        <v>45860</v>
      </c>
      <c r="C594" s="10">
        <v>45887</v>
      </c>
      <c r="D594" s="3">
        <f t="shared" si="108"/>
        <v>27</v>
      </c>
      <c r="E594" s="10" t="str">
        <f t="shared" si="109"/>
        <v>Q3-2025</v>
      </c>
      <c r="F594" t="s">
        <v>646</v>
      </c>
      <c r="G594" t="s">
        <v>658</v>
      </c>
      <c r="H594" t="s">
        <v>675</v>
      </c>
      <c r="I594" t="s">
        <v>702</v>
      </c>
      <c r="J594" t="s">
        <v>708</v>
      </c>
      <c r="K594" t="s">
        <v>723</v>
      </c>
      <c r="L594" t="s">
        <v>728</v>
      </c>
      <c r="M594" t="s">
        <v>831</v>
      </c>
      <c r="N594" s="3">
        <v>547.32000000000005</v>
      </c>
      <c r="O594" s="3">
        <v>996.12239999999997</v>
      </c>
      <c r="P594" s="6">
        <v>9.1999999999999998E-2</v>
      </c>
      <c r="Q594" s="6">
        <f>IF(Table1[[#This Row],[DiscountPct]]&gt;25%,25%,Table1[[#This Row],[DiscountPct]])</f>
        <v>9.1999999999999998E-2</v>
      </c>
      <c r="R594" s="5">
        <v>14</v>
      </c>
      <c r="S594" s="6">
        <f t="shared" si="110"/>
        <v>0.81999999999999973</v>
      </c>
      <c r="T594" s="8">
        <f t="shared" si="111"/>
        <v>12662.7079488</v>
      </c>
      <c r="U594" s="8">
        <f t="shared" si="112"/>
        <v>7662.4800000000005</v>
      </c>
      <c r="V594" s="9">
        <f t="shared" si="113"/>
        <v>5000.2279487999995</v>
      </c>
      <c r="W594" s="6">
        <f t="shared" si="114"/>
        <v>0.39487824950380013</v>
      </c>
      <c r="X594" t="str" cm="1">
        <f t="array" ref="X594">_xlfn.IFS(S594&lt;=25%, "Low", S594&lt;=75%, "Medium", S594&gt;75%, "High")</f>
        <v>High</v>
      </c>
      <c r="Y594" s="8">
        <f>Table1[[#This Row],[Quantity]]*(Table1[[#This Row],[UnitPrice]]*(1-Table1[[#This Row],[DiscountPct]]))</f>
        <v>12662.7079488</v>
      </c>
      <c r="Z594" s="9">
        <f t="shared" si="115"/>
        <v>5000.2279487999995</v>
      </c>
      <c r="AA594">
        <f>COUNTIF($G$2:G595,G594)</f>
        <v>49</v>
      </c>
      <c r="AB594" s="21">
        <f t="shared" si="116"/>
        <v>44988</v>
      </c>
      <c r="AC594" s="21">
        <f t="shared" si="117"/>
        <v>45016</v>
      </c>
      <c r="AD594" s="5">
        <f>(Table1[[#This Row],[OrderDate]]-Table1[[#This Row],[Date of first order]])/30</f>
        <v>29.066666666666666</v>
      </c>
      <c r="AE594" t="str">
        <f t="shared" si="118"/>
        <v>Poor</v>
      </c>
      <c r="AF594">
        <f>COUNTIF(AE$2:AE595,AE594)</f>
        <v>428</v>
      </c>
      <c r="AG594" t="str">
        <f t="shared" si="119"/>
        <v>False</v>
      </c>
      <c r="AH594" s="7">
        <f>Table1[[#This Row],[UnitPrice]]*(1-Table1[[#This Row],[Disc Scenario]])*Table1[[#This Row],[Quantity]]</f>
        <v>12662.7079488</v>
      </c>
      <c r="AI594">
        <f>ROUNDDOWN((Table1[[#This Row],[Quantity]]*(1+20%)),0)</f>
        <v>16</v>
      </c>
      <c r="AJ594" s="7">
        <f>Table1[[#This Row],[Quantity increase by 20%]]*Table1[[#This Row],[UnitPrice]]</f>
        <v>15937.9584</v>
      </c>
      <c r="AK594">
        <f>ROUNDDOWN(Table1[[#This Row],[Quantity]]*(1+20%),0)</f>
        <v>16</v>
      </c>
      <c r="AL594" s="7">
        <f>Table1[[#This Row],[UnitCost]]*(1+15%)</f>
        <v>629.41800000000001</v>
      </c>
      <c r="AM594" s="9">
        <f>Table1[[#This Row],[Quantity]]*Table1[[#This Row],[Cost of unit by inflation 15%]]</f>
        <v>8811.8520000000008</v>
      </c>
      <c r="AN594" s="21" cm="1">
        <f t="array" ref="AN594">_xlfn.UNIQUE(AC594)</f>
        <v>45016</v>
      </c>
    </row>
    <row r="595" spans="1:40" x14ac:dyDescent="0.35">
      <c r="A595" t="s">
        <v>395</v>
      </c>
      <c r="B595" s="21">
        <v>45861</v>
      </c>
      <c r="C595" s="10">
        <v>45886</v>
      </c>
      <c r="D595" s="3">
        <f t="shared" si="108"/>
        <v>25</v>
      </c>
      <c r="E595" s="10" t="str">
        <f t="shared" si="109"/>
        <v>Q3-2025</v>
      </c>
      <c r="F595" t="s">
        <v>648</v>
      </c>
      <c r="G595" t="s">
        <v>657</v>
      </c>
      <c r="H595" t="s">
        <v>673</v>
      </c>
      <c r="I595" t="s">
        <v>701</v>
      </c>
      <c r="J595" t="s">
        <v>707</v>
      </c>
      <c r="K595" t="s">
        <v>713</v>
      </c>
      <c r="L595" t="s">
        <v>727</v>
      </c>
      <c r="M595" t="s">
        <v>1112</v>
      </c>
      <c r="N595" s="3">
        <v>1142.06</v>
      </c>
      <c r="O595" s="3">
        <v>1455</v>
      </c>
      <c r="P595" s="6">
        <v>7.8E-2</v>
      </c>
      <c r="Q595" s="6">
        <f>IF(Table1[[#This Row],[DiscountPct]]&gt;25%,25%,Table1[[#This Row],[DiscountPct]])</f>
        <v>7.8E-2</v>
      </c>
      <c r="R595" s="5">
        <v>28</v>
      </c>
      <c r="S595" s="6">
        <f t="shared" si="110"/>
        <v>0.27401362450309097</v>
      </c>
      <c r="T595" s="8">
        <f t="shared" si="111"/>
        <v>37562.28</v>
      </c>
      <c r="U595" s="8">
        <f t="shared" si="112"/>
        <v>31977.68</v>
      </c>
      <c r="V595" s="9">
        <f t="shared" si="113"/>
        <v>5584.5999999999985</v>
      </c>
      <c r="W595" s="6">
        <f t="shared" si="114"/>
        <v>0.1486757459877302</v>
      </c>
      <c r="X595" t="str" cm="1">
        <f t="array" ref="X595">_xlfn.IFS(S595&lt;=25%, "Low", S595&lt;=75%, "Medium", S595&gt;75%, "High")</f>
        <v>Medium</v>
      </c>
      <c r="Y595" s="8">
        <f>Table1[[#This Row],[Quantity]]*(Table1[[#This Row],[UnitPrice]]*(1-Table1[[#This Row],[DiscountPct]]))</f>
        <v>37562.28</v>
      </c>
      <c r="Z595" s="9">
        <f t="shared" si="115"/>
        <v>5584.5999999999985</v>
      </c>
      <c r="AA595">
        <f>COUNTIF($G$2:G596,G595)</f>
        <v>52</v>
      </c>
      <c r="AB595" s="21">
        <f t="shared" si="116"/>
        <v>44988</v>
      </c>
      <c r="AC595" s="21">
        <f t="shared" si="117"/>
        <v>45016</v>
      </c>
      <c r="AD595" s="5">
        <f>(Table1[[#This Row],[OrderDate]]-Table1[[#This Row],[Date of first order]])/30</f>
        <v>29.1</v>
      </c>
      <c r="AE595" t="str">
        <f t="shared" si="118"/>
        <v>Poor</v>
      </c>
      <c r="AF595">
        <f>COUNTIF(AE$2:AE596,AE595)</f>
        <v>429</v>
      </c>
      <c r="AG595" t="str">
        <f t="shared" si="119"/>
        <v>False</v>
      </c>
      <c r="AH595" s="7">
        <f>Table1[[#This Row],[UnitPrice]]*(1-Table1[[#This Row],[Disc Scenario]])*Table1[[#This Row],[Quantity]]</f>
        <v>37562.28</v>
      </c>
      <c r="AI595">
        <f>ROUNDDOWN((Table1[[#This Row],[Quantity]]*(1+20%)),0)</f>
        <v>33</v>
      </c>
      <c r="AJ595" s="7">
        <f>Table1[[#This Row],[Quantity increase by 20%]]*Table1[[#This Row],[UnitPrice]]</f>
        <v>48015</v>
      </c>
      <c r="AK595">
        <f>ROUNDDOWN(Table1[[#This Row],[Quantity]]*(1+20%),0)</f>
        <v>33</v>
      </c>
      <c r="AL595" s="7">
        <f>Table1[[#This Row],[UnitCost]]*(1+15%)</f>
        <v>1313.3689999999999</v>
      </c>
      <c r="AM595" s="9">
        <f>Table1[[#This Row],[Quantity]]*Table1[[#This Row],[Cost of unit by inflation 15%]]</f>
        <v>36774.331999999995</v>
      </c>
      <c r="AN595" s="21" cm="1">
        <f t="array" ref="AN595">_xlfn.UNIQUE(AC595)</f>
        <v>45016</v>
      </c>
    </row>
    <row r="596" spans="1:40" x14ac:dyDescent="0.35">
      <c r="A596" t="s">
        <v>505</v>
      </c>
      <c r="B596" s="21">
        <v>45861</v>
      </c>
      <c r="C596" s="10">
        <v>45888</v>
      </c>
      <c r="D596" s="3">
        <f t="shared" si="108"/>
        <v>27</v>
      </c>
      <c r="E596" s="10" t="str">
        <f t="shared" si="109"/>
        <v>Q3-2025</v>
      </c>
      <c r="F596" t="s">
        <v>646</v>
      </c>
      <c r="G596" t="s">
        <v>651</v>
      </c>
      <c r="H596" t="s">
        <v>693</v>
      </c>
      <c r="I596" t="s">
        <v>703</v>
      </c>
      <c r="J596" t="s">
        <v>708</v>
      </c>
      <c r="K596" t="s">
        <v>716</v>
      </c>
      <c r="L596" t="s">
        <v>732</v>
      </c>
      <c r="M596" t="s">
        <v>1222</v>
      </c>
      <c r="N596" s="3">
        <v>896.09</v>
      </c>
      <c r="O596" s="3">
        <v>1451.6658000000002</v>
      </c>
      <c r="P596" s="6">
        <v>8.3000000000000004E-2</v>
      </c>
      <c r="Q596" s="6">
        <f>IF(Table1[[#This Row],[DiscountPct]]&gt;25%,25%,Table1[[#This Row],[DiscountPct]])</f>
        <v>8.3000000000000004E-2</v>
      </c>
      <c r="R596" s="5">
        <v>11</v>
      </c>
      <c r="S596" s="6">
        <f t="shared" si="110"/>
        <v>0.62000000000000022</v>
      </c>
      <c r="T596" s="8">
        <f t="shared" si="111"/>
        <v>14642.952924600002</v>
      </c>
      <c r="U596" s="8">
        <f t="shared" si="112"/>
        <v>9856.99</v>
      </c>
      <c r="V596" s="9">
        <f t="shared" si="113"/>
        <v>4785.9629246000022</v>
      </c>
      <c r="W596" s="6">
        <f t="shared" si="114"/>
        <v>0.32684411055912338</v>
      </c>
      <c r="X596" t="str" cm="1">
        <f t="array" ref="X596">_xlfn.IFS(S596&lt;=25%, "Low", S596&lt;=75%, "Medium", S596&gt;75%, "High")</f>
        <v>Medium</v>
      </c>
      <c r="Y596" s="8">
        <f>Table1[[#This Row],[Quantity]]*(Table1[[#This Row],[UnitPrice]]*(1-Table1[[#This Row],[DiscountPct]]))</f>
        <v>14642.952924600002</v>
      </c>
      <c r="Z596" s="9">
        <f t="shared" si="115"/>
        <v>4785.9629246000022</v>
      </c>
      <c r="AA596">
        <f>COUNTIF($G$2:G597,G596)</f>
        <v>54</v>
      </c>
      <c r="AB596" s="21">
        <f t="shared" si="116"/>
        <v>44988</v>
      </c>
      <c r="AC596" s="21">
        <f t="shared" si="117"/>
        <v>45016</v>
      </c>
      <c r="AD596" s="5">
        <f>(Table1[[#This Row],[OrderDate]]-Table1[[#This Row],[Date of first order]])/30</f>
        <v>29.1</v>
      </c>
      <c r="AE596" t="str">
        <f t="shared" si="118"/>
        <v>Poor</v>
      </c>
      <c r="AF596">
        <f>COUNTIF(AE$2:AE597,AE596)</f>
        <v>430</v>
      </c>
      <c r="AG596" t="str">
        <f t="shared" si="119"/>
        <v>False</v>
      </c>
      <c r="AH596" s="7">
        <f>Table1[[#This Row],[UnitPrice]]*(1-Table1[[#This Row],[Disc Scenario]])*Table1[[#This Row],[Quantity]]</f>
        <v>14642.952924600002</v>
      </c>
      <c r="AI596">
        <f>ROUNDDOWN((Table1[[#This Row],[Quantity]]*(1+20%)),0)</f>
        <v>13</v>
      </c>
      <c r="AJ596" s="7">
        <f>Table1[[#This Row],[Quantity increase by 20%]]*Table1[[#This Row],[UnitPrice]]</f>
        <v>18871.655400000003</v>
      </c>
      <c r="AK596">
        <f>ROUNDDOWN(Table1[[#This Row],[Quantity]]*(1+20%),0)</f>
        <v>13</v>
      </c>
      <c r="AL596" s="7">
        <f>Table1[[#This Row],[UnitCost]]*(1+15%)</f>
        <v>1030.5035</v>
      </c>
      <c r="AM596" s="9">
        <f>Table1[[#This Row],[Quantity]]*Table1[[#This Row],[Cost of unit by inflation 15%]]</f>
        <v>11335.538500000001</v>
      </c>
      <c r="AN596" s="21" cm="1">
        <f t="array" ref="AN596">_xlfn.UNIQUE(AC596)</f>
        <v>45016</v>
      </c>
    </row>
    <row r="597" spans="1:40" x14ac:dyDescent="0.35">
      <c r="A597" t="s">
        <v>47</v>
      </c>
      <c r="B597" s="21">
        <v>45862</v>
      </c>
      <c r="C597" s="10">
        <v>45875</v>
      </c>
      <c r="D597" s="3">
        <f t="shared" si="108"/>
        <v>13</v>
      </c>
      <c r="E597" s="10" t="str">
        <f t="shared" si="109"/>
        <v>Q3-2025</v>
      </c>
      <c r="F597" t="s">
        <v>645</v>
      </c>
      <c r="G597" t="s">
        <v>660</v>
      </c>
      <c r="H597" t="s">
        <v>681</v>
      </c>
      <c r="I597" t="s">
        <v>701</v>
      </c>
      <c r="J597" t="s">
        <v>708</v>
      </c>
      <c r="K597" t="s">
        <v>725</v>
      </c>
      <c r="L597" t="s">
        <v>728</v>
      </c>
      <c r="M597" t="s">
        <v>765</v>
      </c>
      <c r="N597" s="3">
        <v>1463.9</v>
      </c>
      <c r="O597" s="3">
        <v>2633.02</v>
      </c>
      <c r="P597" s="6">
        <v>8.4000000000000005E-2</v>
      </c>
      <c r="Q597" s="6">
        <f>IF(Table1[[#This Row],[DiscountPct]]&gt;25%,25%,Table1[[#This Row],[DiscountPct]])</f>
        <v>8.4000000000000005E-2</v>
      </c>
      <c r="R597" s="5">
        <v>4</v>
      </c>
      <c r="S597" s="6">
        <f t="shared" si="110"/>
        <v>0.79863378646082372</v>
      </c>
      <c r="T597" s="8">
        <f t="shared" si="111"/>
        <v>9647.3852800000004</v>
      </c>
      <c r="U597" s="8">
        <f t="shared" si="112"/>
        <v>5855.6</v>
      </c>
      <c r="V597" s="9">
        <f t="shared" si="113"/>
        <v>3791.7852800000001</v>
      </c>
      <c r="W597" s="6">
        <f t="shared" si="114"/>
        <v>0.39303761277791527</v>
      </c>
      <c r="X597" t="str" cm="1">
        <f t="array" ref="X597">_xlfn.IFS(S597&lt;=25%, "Low", S597&lt;=75%, "Medium", S597&gt;75%, "High")</f>
        <v>High</v>
      </c>
      <c r="Y597" s="8">
        <f>Table1[[#This Row],[Quantity]]*(Table1[[#This Row],[UnitPrice]]*(1-Table1[[#This Row],[DiscountPct]]))</f>
        <v>9647.3852800000004</v>
      </c>
      <c r="Z597" s="9">
        <f t="shared" si="115"/>
        <v>3791.7852800000001</v>
      </c>
      <c r="AA597">
        <f>COUNTIF($G$2:G598,G597)</f>
        <v>44</v>
      </c>
      <c r="AB597" s="21">
        <f t="shared" si="116"/>
        <v>44988</v>
      </c>
      <c r="AC597" s="21">
        <f t="shared" si="117"/>
        <v>45016</v>
      </c>
      <c r="AD597" s="5">
        <f>(Table1[[#This Row],[OrderDate]]-Table1[[#This Row],[Date of first order]])/30</f>
        <v>29.133333333333333</v>
      </c>
      <c r="AE597" t="str">
        <f t="shared" si="118"/>
        <v>Poor</v>
      </c>
      <c r="AF597">
        <f>COUNTIF(AE$2:AE598,AE597)</f>
        <v>431</v>
      </c>
      <c r="AG597" t="str">
        <f t="shared" si="119"/>
        <v>False</v>
      </c>
      <c r="AH597" s="7">
        <f>Table1[[#This Row],[UnitPrice]]*(1-Table1[[#This Row],[Disc Scenario]])*Table1[[#This Row],[Quantity]]</f>
        <v>9647.3852800000004</v>
      </c>
      <c r="AI597">
        <f>ROUNDDOWN((Table1[[#This Row],[Quantity]]*(1+20%)),0)</f>
        <v>4</v>
      </c>
      <c r="AJ597" s="7">
        <f>Table1[[#This Row],[Quantity increase by 20%]]*Table1[[#This Row],[UnitPrice]]</f>
        <v>10532.08</v>
      </c>
      <c r="AK597">
        <f>ROUNDDOWN(Table1[[#This Row],[Quantity]]*(1+20%),0)</f>
        <v>4</v>
      </c>
      <c r="AL597" s="7">
        <f>Table1[[#This Row],[UnitCost]]*(1+15%)</f>
        <v>1683.4849999999999</v>
      </c>
      <c r="AM597" s="9">
        <f>Table1[[#This Row],[Quantity]]*Table1[[#This Row],[Cost of unit by inflation 15%]]</f>
        <v>6733.94</v>
      </c>
      <c r="AN597" s="21" cm="1">
        <f t="array" ref="AN597">_xlfn.UNIQUE(AC597)</f>
        <v>45016</v>
      </c>
    </row>
    <row r="598" spans="1:40" x14ac:dyDescent="0.35">
      <c r="A598" t="s">
        <v>477</v>
      </c>
      <c r="B598" s="21">
        <v>45865</v>
      </c>
      <c r="C598" s="10">
        <v>45884</v>
      </c>
      <c r="D598" s="3">
        <f t="shared" si="108"/>
        <v>19</v>
      </c>
      <c r="E598" s="10" t="str">
        <f t="shared" si="109"/>
        <v>Q3-2025</v>
      </c>
      <c r="F598" t="s">
        <v>646</v>
      </c>
      <c r="G598" t="s">
        <v>651</v>
      </c>
      <c r="H598" t="s">
        <v>688</v>
      </c>
      <c r="I598" t="s">
        <v>704</v>
      </c>
      <c r="J598" t="s">
        <v>708</v>
      </c>
      <c r="K598" t="s">
        <v>712</v>
      </c>
      <c r="L598" t="s">
        <v>726</v>
      </c>
      <c r="M598" t="s">
        <v>1194</v>
      </c>
      <c r="N598" s="3">
        <v>275.43</v>
      </c>
      <c r="O598" s="3">
        <v>608.36</v>
      </c>
      <c r="P598" s="6">
        <v>0.25700000000000001</v>
      </c>
      <c r="Q598" s="6">
        <f>IF(Table1[[#This Row],[DiscountPct]]&gt;25%,25%,Table1[[#This Row],[DiscountPct]])</f>
        <v>0.25</v>
      </c>
      <c r="R598" s="5">
        <v>4</v>
      </c>
      <c r="S598" s="6">
        <f t="shared" si="110"/>
        <v>1.2087644773626693</v>
      </c>
      <c r="T598" s="8">
        <f t="shared" si="111"/>
        <v>1808.04592</v>
      </c>
      <c r="U598" s="8">
        <f t="shared" si="112"/>
        <v>1101.72</v>
      </c>
      <c r="V598" s="9">
        <f t="shared" si="113"/>
        <v>706.32592</v>
      </c>
      <c r="W598" s="6">
        <f t="shared" si="114"/>
        <v>0.39065706915231446</v>
      </c>
      <c r="X598" t="str" cm="1">
        <f t="array" ref="X598">_xlfn.IFS(S598&lt;=25%, "Low", S598&lt;=75%, "Medium", S598&gt;75%, "High")</f>
        <v>High</v>
      </c>
      <c r="Y598" s="8">
        <f>Table1[[#This Row],[Quantity]]*(Table1[[#This Row],[UnitPrice]]*(1-Table1[[#This Row],[DiscountPct]]))</f>
        <v>1808.04592</v>
      </c>
      <c r="Z598" s="9">
        <f t="shared" si="115"/>
        <v>706.32592</v>
      </c>
      <c r="AA598">
        <f>COUNTIF($G$2:G599,G598)</f>
        <v>55</v>
      </c>
      <c r="AB598" s="21">
        <f t="shared" si="116"/>
        <v>44988</v>
      </c>
      <c r="AC598" s="21">
        <f t="shared" si="117"/>
        <v>45016</v>
      </c>
      <c r="AD598" s="5">
        <f>(Table1[[#This Row],[OrderDate]]-Table1[[#This Row],[Date of first order]])/30</f>
        <v>29.233333333333334</v>
      </c>
      <c r="AE598" t="str">
        <f t="shared" si="118"/>
        <v>Poor</v>
      </c>
      <c r="AF598">
        <f>COUNTIF(AE$2:AE599,AE598)</f>
        <v>432</v>
      </c>
      <c r="AG598" t="str">
        <f t="shared" si="119"/>
        <v>True</v>
      </c>
      <c r="AH598" s="7">
        <f>Table1[[#This Row],[UnitPrice]]*(1-Table1[[#This Row],[Disc Scenario]])*Table1[[#This Row],[Quantity]]</f>
        <v>1825.08</v>
      </c>
      <c r="AI598">
        <f>ROUNDDOWN((Table1[[#This Row],[Quantity]]*(1+20%)),0)</f>
        <v>4</v>
      </c>
      <c r="AJ598" s="7">
        <f>Table1[[#This Row],[Quantity increase by 20%]]*Table1[[#This Row],[UnitPrice]]</f>
        <v>2433.44</v>
      </c>
      <c r="AK598">
        <f>ROUNDDOWN(Table1[[#This Row],[Quantity]]*(1+20%),0)</f>
        <v>4</v>
      </c>
      <c r="AL598" s="7">
        <f>Table1[[#This Row],[UnitCost]]*(1+15%)</f>
        <v>316.74449999999996</v>
      </c>
      <c r="AM598" s="9">
        <f>Table1[[#This Row],[Quantity]]*Table1[[#This Row],[Cost of unit by inflation 15%]]</f>
        <v>1266.9779999999998</v>
      </c>
      <c r="AN598" s="21" cm="1">
        <f t="array" ref="AN598">_xlfn.UNIQUE(AC598)</f>
        <v>45016</v>
      </c>
    </row>
    <row r="599" spans="1:40" x14ac:dyDescent="0.35">
      <c r="A599" t="s">
        <v>173</v>
      </c>
      <c r="B599" s="21">
        <v>45870</v>
      </c>
      <c r="C599" s="10">
        <v>45890</v>
      </c>
      <c r="D599" s="3">
        <f t="shared" si="108"/>
        <v>20</v>
      </c>
      <c r="E599" s="10" t="str">
        <f t="shared" si="109"/>
        <v>Q3-2025</v>
      </c>
      <c r="F599" t="s">
        <v>646</v>
      </c>
      <c r="G599" t="s">
        <v>658</v>
      </c>
      <c r="H599" t="s">
        <v>684</v>
      </c>
      <c r="I599" t="s">
        <v>700</v>
      </c>
      <c r="J599" t="s">
        <v>710</v>
      </c>
      <c r="K599" t="s">
        <v>713</v>
      </c>
      <c r="L599" t="s">
        <v>729</v>
      </c>
      <c r="M599" t="s">
        <v>891</v>
      </c>
      <c r="N599" s="3">
        <v>1220.4100000000001</v>
      </c>
      <c r="O599" s="3">
        <v>2552.2199999999998</v>
      </c>
      <c r="P599" s="6">
        <v>0.18099999999999999</v>
      </c>
      <c r="Q599" s="6">
        <f>IF(Table1[[#This Row],[DiscountPct]]&gt;25%,25%,Table1[[#This Row],[DiscountPct]])</f>
        <v>0.18099999999999999</v>
      </c>
      <c r="R599" s="5">
        <v>14</v>
      </c>
      <c r="S599" s="6">
        <f t="shared" si="110"/>
        <v>1.0912807990757201</v>
      </c>
      <c r="T599" s="8">
        <f t="shared" si="111"/>
        <v>29263.754519999995</v>
      </c>
      <c r="U599" s="8">
        <f t="shared" si="112"/>
        <v>17085.740000000002</v>
      </c>
      <c r="V599" s="9">
        <f t="shared" si="113"/>
        <v>12178.014519999993</v>
      </c>
      <c r="W599" s="6">
        <f t="shared" si="114"/>
        <v>0.41614668793360271</v>
      </c>
      <c r="X599" t="str" cm="1">
        <f t="array" ref="X599">_xlfn.IFS(S599&lt;=25%, "Low", S599&lt;=75%, "Medium", S599&gt;75%, "High")</f>
        <v>High</v>
      </c>
      <c r="Y599" s="8">
        <f>Table1[[#This Row],[Quantity]]*(Table1[[#This Row],[UnitPrice]]*(1-Table1[[#This Row],[DiscountPct]]))</f>
        <v>29263.754519999995</v>
      </c>
      <c r="Z599" s="9">
        <f t="shared" si="115"/>
        <v>12178.014519999993</v>
      </c>
      <c r="AA599">
        <f>COUNTIF($G$2:G600,G599)</f>
        <v>50</v>
      </c>
      <c r="AB599" s="21">
        <f t="shared" si="116"/>
        <v>44988</v>
      </c>
      <c r="AC599" s="21">
        <f t="shared" si="117"/>
        <v>45016</v>
      </c>
      <c r="AD599" s="5">
        <f>(Table1[[#This Row],[OrderDate]]-Table1[[#This Row],[Date of first order]])/30</f>
        <v>29.4</v>
      </c>
      <c r="AE599" t="str">
        <f t="shared" si="118"/>
        <v>Poor</v>
      </c>
      <c r="AF599">
        <f>COUNTIF(AE$2:AE600,AE599)</f>
        <v>433</v>
      </c>
      <c r="AG599" t="str">
        <f t="shared" si="119"/>
        <v>False</v>
      </c>
      <c r="AH599" s="7">
        <f>Table1[[#This Row],[UnitPrice]]*(1-Table1[[#This Row],[Disc Scenario]])*Table1[[#This Row],[Quantity]]</f>
        <v>29263.754519999995</v>
      </c>
      <c r="AI599">
        <f>ROUNDDOWN((Table1[[#This Row],[Quantity]]*(1+20%)),0)</f>
        <v>16</v>
      </c>
      <c r="AJ599" s="7">
        <f>Table1[[#This Row],[Quantity increase by 20%]]*Table1[[#This Row],[UnitPrice]]</f>
        <v>40835.519999999997</v>
      </c>
      <c r="AK599">
        <f>ROUNDDOWN(Table1[[#This Row],[Quantity]]*(1+20%),0)</f>
        <v>16</v>
      </c>
      <c r="AL599" s="7">
        <f>Table1[[#This Row],[UnitCost]]*(1+15%)</f>
        <v>1403.4714999999999</v>
      </c>
      <c r="AM599" s="9">
        <f>Table1[[#This Row],[Quantity]]*Table1[[#This Row],[Cost of unit by inflation 15%]]</f>
        <v>19648.600999999999</v>
      </c>
      <c r="AN599" s="21" cm="1">
        <f t="array" ref="AN599">_xlfn.UNIQUE(AC599)</f>
        <v>45016</v>
      </c>
    </row>
    <row r="600" spans="1:40" x14ac:dyDescent="0.35">
      <c r="A600" t="s">
        <v>111</v>
      </c>
      <c r="B600" s="21">
        <v>45870</v>
      </c>
      <c r="C600" s="10">
        <v>45885</v>
      </c>
      <c r="D600" s="3">
        <f t="shared" si="108"/>
        <v>15</v>
      </c>
      <c r="E600" s="10" t="str">
        <f t="shared" si="109"/>
        <v>Q3-2025</v>
      </c>
      <c r="F600" t="s">
        <v>646</v>
      </c>
      <c r="G600" t="s">
        <v>653</v>
      </c>
      <c r="H600" t="s">
        <v>667</v>
      </c>
      <c r="I600" t="s">
        <v>705</v>
      </c>
      <c r="J600" t="s">
        <v>710</v>
      </c>
      <c r="K600" t="s">
        <v>718</v>
      </c>
      <c r="L600" t="s">
        <v>731</v>
      </c>
      <c r="M600" t="s">
        <v>829</v>
      </c>
      <c r="N600" s="3">
        <v>24.44</v>
      </c>
      <c r="O600" s="3">
        <v>28.69</v>
      </c>
      <c r="P600" s="6">
        <v>0.14599999999999999</v>
      </c>
      <c r="Q600" s="6">
        <f>IF(Table1[[#This Row],[DiscountPct]]&gt;25%,25%,Table1[[#This Row],[DiscountPct]])</f>
        <v>0.14599999999999999</v>
      </c>
      <c r="R600" s="5">
        <v>6</v>
      </c>
      <c r="S600" s="6">
        <f t="shared" si="110"/>
        <v>0.1738952536824877</v>
      </c>
      <c r="T600" s="8">
        <f t="shared" si="111"/>
        <v>147.00756000000001</v>
      </c>
      <c r="U600" s="8">
        <f t="shared" si="112"/>
        <v>146.64000000000001</v>
      </c>
      <c r="V600" s="9">
        <f t="shared" si="113"/>
        <v>0.36755999999999744</v>
      </c>
      <c r="W600" s="6">
        <f t="shared" si="114"/>
        <v>2.5002795774584476E-3</v>
      </c>
      <c r="X600" t="str" cm="1">
        <f t="array" ref="X600">_xlfn.IFS(S600&lt;=25%, "Low", S600&lt;=75%, "Medium", S600&gt;75%, "High")</f>
        <v>Low</v>
      </c>
      <c r="Y600" s="8">
        <f>Table1[[#This Row],[Quantity]]*(Table1[[#This Row],[UnitPrice]]*(1-Table1[[#This Row],[DiscountPct]]))</f>
        <v>147.00756000000001</v>
      </c>
      <c r="Z600" s="9">
        <f t="shared" si="115"/>
        <v>0.36755999999999744</v>
      </c>
      <c r="AA600">
        <f>COUNTIF($G$2:G601,G600)</f>
        <v>58</v>
      </c>
      <c r="AB600" s="21">
        <f t="shared" si="116"/>
        <v>44988</v>
      </c>
      <c r="AC600" s="21">
        <f t="shared" si="117"/>
        <v>45016</v>
      </c>
      <c r="AD600" s="5">
        <f>(Table1[[#This Row],[OrderDate]]-Table1[[#This Row],[Date of first order]])/30</f>
        <v>29.4</v>
      </c>
      <c r="AE600" t="str">
        <f t="shared" si="118"/>
        <v>Poor</v>
      </c>
      <c r="AF600">
        <f>COUNTIF(AE$2:AE601,AE600)</f>
        <v>433</v>
      </c>
      <c r="AG600" t="str">
        <f t="shared" si="119"/>
        <v>False</v>
      </c>
      <c r="AH600" s="7">
        <f>Table1[[#This Row],[UnitPrice]]*(1-Table1[[#This Row],[Disc Scenario]])*Table1[[#This Row],[Quantity]]</f>
        <v>147.00756000000001</v>
      </c>
      <c r="AI600">
        <f>ROUNDDOWN((Table1[[#This Row],[Quantity]]*(1+20%)),0)</f>
        <v>7</v>
      </c>
      <c r="AJ600" s="7">
        <f>Table1[[#This Row],[Quantity increase by 20%]]*Table1[[#This Row],[UnitPrice]]</f>
        <v>200.83</v>
      </c>
      <c r="AK600">
        <f>ROUNDDOWN(Table1[[#This Row],[Quantity]]*(1+20%),0)</f>
        <v>7</v>
      </c>
      <c r="AL600" s="7">
        <f>Table1[[#This Row],[UnitCost]]*(1+15%)</f>
        <v>28.105999999999998</v>
      </c>
      <c r="AM600" s="9">
        <f>Table1[[#This Row],[Quantity]]*Table1[[#This Row],[Cost of unit by inflation 15%]]</f>
        <v>168.636</v>
      </c>
      <c r="AN600" s="21" cm="1">
        <f t="array" ref="AN600">_xlfn.UNIQUE(AC600)</f>
        <v>45016</v>
      </c>
    </row>
    <row r="601" spans="1:40" x14ac:dyDescent="0.35">
      <c r="A601" t="s">
        <v>255</v>
      </c>
      <c r="B601" s="21">
        <v>45871</v>
      </c>
      <c r="C601" s="10">
        <v>45877</v>
      </c>
      <c r="D601" s="3">
        <f t="shared" si="108"/>
        <v>6</v>
      </c>
      <c r="E601" s="10" t="str">
        <f t="shared" si="109"/>
        <v>Q3-2025</v>
      </c>
      <c r="F601" t="s">
        <v>646</v>
      </c>
      <c r="G601" t="s">
        <v>651</v>
      </c>
      <c r="H601" t="s">
        <v>665</v>
      </c>
      <c r="I601" t="s">
        <v>703</v>
      </c>
      <c r="J601" t="s">
        <v>710</v>
      </c>
      <c r="K601" t="s">
        <v>724</v>
      </c>
      <c r="L601" t="s">
        <v>730</v>
      </c>
      <c r="M601" t="s">
        <v>973</v>
      </c>
      <c r="N601" s="3">
        <v>1225.94</v>
      </c>
      <c r="O601" s="3">
        <v>1793.08</v>
      </c>
      <c r="P601" s="6">
        <v>0.13600000000000001</v>
      </c>
      <c r="Q601" s="6">
        <f>IF(Table1[[#This Row],[DiscountPct]]&gt;25%,25%,Table1[[#This Row],[DiscountPct]])</f>
        <v>0.13600000000000001</v>
      </c>
      <c r="R601" s="5">
        <v>22</v>
      </c>
      <c r="S601" s="6">
        <f t="shared" si="110"/>
        <v>0.46261644126139928</v>
      </c>
      <c r="T601" s="8">
        <f t="shared" si="111"/>
        <v>34082.864639999993</v>
      </c>
      <c r="U601" s="8">
        <f t="shared" si="112"/>
        <v>26970.68</v>
      </c>
      <c r="V601" s="9">
        <f t="shared" si="113"/>
        <v>7112.1846399999922</v>
      </c>
      <c r="W601" s="6">
        <f t="shared" si="114"/>
        <v>0.20867332353434462</v>
      </c>
      <c r="X601" t="str" cm="1">
        <f t="array" ref="X601">_xlfn.IFS(S601&lt;=25%, "Low", S601&lt;=75%, "Medium", S601&gt;75%, "High")</f>
        <v>Medium</v>
      </c>
      <c r="Y601" s="8">
        <f>Table1[[#This Row],[Quantity]]*(Table1[[#This Row],[UnitPrice]]*(1-Table1[[#This Row],[DiscountPct]]))</f>
        <v>34082.86464</v>
      </c>
      <c r="Z601" s="9">
        <f t="shared" si="115"/>
        <v>7112.1846399999995</v>
      </c>
      <c r="AA601">
        <f>COUNTIF($G$2:G602,G601)</f>
        <v>56</v>
      </c>
      <c r="AB601" s="21">
        <f t="shared" si="116"/>
        <v>44988</v>
      </c>
      <c r="AC601" s="21">
        <f t="shared" si="117"/>
        <v>45016</v>
      </c>
      <c r="AD601" s="5">
        <f>(Table1[[#This Row],[OrderDate]]-Table1[[#This Row],[Date of first order]])/30</f>
        <v>29.433333333333334</v>
      </c>
      <c r="AE601" t="str">
        <f t="shared" si="118"/>
        <v>Good</v>
      </c>
      <c r="AF601">
        <f>COUNTIF(AE$2:AE602,AE601)</f>
        <v>167</v>
      </c>
      <c r="AG601" t="str">
        <f t="shared" si="119"/>
        <v>False</v>
      </c>
      <c r="AH601" s="7">
        <f>Table1[[#This Row],[UnitPrice]]*(1-Table1[[#This Row],[Disc Scenario]])*Table1[[#This Row],[Quantity]]</f>
        <v>34082.86464</v>
      </c>
      <c r="AI601">
        <f>ROUNDDOWN((Table1[[#This Row],[Quantity]]*(1+20%)),0)</f>
        <v>26</v>
      </c>
      <c r="AJ601" s="7">
        <f>Table1[[#This Row],[Quantity increase by 20%]]*Table1[[#This Row],[UnitPrice]]</f>
        <v>46620.08</v>
      </c>
      <c r="AK601">
        <f>ROUNDDOWN(Table1[[#This Row],[Quantity]]*(1+20%),0)</f>
        <v>26</v>
      </c>
      <c r="AL601" s="7">
        <f>Table1[[#This Row],[UnitCost]]*(1+15%)</f>
        <v>1409.8309999999999</v>
      </c>
      <c r="AM601" s="9">
        <f>Table1[[#This Row],[Quantity]]*Table1[[#This Row],[Cost of unit by inflation 15%]]</f>
        <v>31016.281999999999</v>
      </c>
      <c r="AN601" s="21" cm="1">
        <f t="array" ref="AN601">_xlfn.UNIQUE(AC601)</f>
        <v>45016</v>
      </c>
    </row>
    <row r="602" spans="1:40" x14ac:dyDescent="0.35">
      <c r="A602" t="s">
        <v>589</v>
      </c>
      <c r="B602" s="21">
        <v>45872</v>
      </c>
      <c r="C602" s="10">
        <v>45885</v>
      </c>
      <c r="D602" s="3">
        <f t="shared" si="108"/>
        <v>13</v>
      </c>
      <c r="E602" s="10" t="str">
        <f t="shared" si="109"/>
        <v>Q3-2025</v>
      </c>
      <c r="F602" t="s">
        <v>647</v>
      </c>
      <c r="G602" t="s">
        <v>652</v>
      </c>
      <c r="H602" t="s">
        <v>680</v>
      </c>
      <c r="I602" t="s">
        <v>705</v>
      </c>
      <c r="J602" t="s">
        <v>709</v>
      </c>
      <c r="K602" t="s">
        <v>718</v>
      </c>
      <c r="L602" t="s">
        <v>728</v>
      </c>
      <c r="M602" t="s">
        <v>1305</v>
      </c>
      <c r="N602" s="3">
        <v>698.66</v>
      </c>
      <c r="O602" s="3">
        <v>868.62</v>
      </c>
      <c r="P602" s="6">
        <v>7.1999999999999995E-2</v>
      </c>
      <c r="Q602" s="6">
        <f>IF(Table1[[#This Row],[DiscountPct]]&gt;25%,25%,Table1[[#This Row],[DiscountPct]])</f>
        <v>7.1999999999999995E-2</v>
      </c>
      <c r="R602" s="5">
        <v>15</v>
      </c>
      <c r="S602" s="6">
        <f t="shared" si="110"/>
        <v>0.24326568001603074</v>
      </c>
      <c r="T602" s="8">
        <f t="shared" si="111"/>
        <v>12091.190399999999</v>
      </c>
      <c r="U602" s="8">
        <f t="shared" si="112"/>
        <v>10479.9</v>
      </c>
      <c r="V602" s="9">
        <f t="shared" si="113"/>
        <v>1611.2903999999999</v>
      </c>
      <c r="W602" s="6">
        <f t="shared" si="114"/>
        <v>0.13326151906432637</v>
      </c>
      <c r="X602" t="str" cm="1">
        <f t="array" ref="X602">_xlfn.IFS(S602&lt;=25%, "Low", S602&lt;=75%, "Medium", S602&gt;75%, "High")</f>
        <v>Low</v>
      </c>
      <c r="Y602" s="8">
        <f>Table1[[#This Row],[Quantity]]*(Table1[[#This Row],[UnitPrice]]*(1-Table1[[#This Row],[DiscountPct]]))</f>
        <v>12091.190400000001</v>
      </c>
      <c r="Z602" s="9">
        <f t="shared" si="115"/>
        <v>1611.2904000000017</v>
      </c>
      <c r="AA602">
        <f>COUNTIF($G$2:G603,G602)</f>
        <v>42</v>
      </c>
      <c r="AB602" s="21">
        <f t="shared" si="116"/>
        <v>44988</v>
      </c>
      <c r="AC602" s="21">
        <f t="shared" si="117"/>
        <v>45016</v>
      </c>
      <c r="AD602" s="5">
        <f>(Table1[[#This Row],[OrderDate]]-Table1[[#This Row],[Date of first order]])/30</f>
        <v>29.466666666666665</v>
      </c>
      <c r="AE602" t="str">
        <f t="shared" si="118"/>
        <v>Poor</v>
      </c>
      <c r="AF602">
        <f>COUNTIF(AE$2:AE603,AE602)</f>
        <v>435</v>
      </c>
      <c r="AG602" t="str">
        <f t="shared" si="119"/>
        <v>False</v>
      </c>
      <c r="AH602" s="7">
        <f>Table1[[#This Row],[UnitPrice]]*(1-Table1[[#This Row],[Disc Scenario]])*Table1[[#This Row],[Quantity]]</f>
        <v>12091.190400000001</v>
      </c>
      <c r="AI602">
        <f>ROUNDDOWN((Table1[[#This Row],[Quantity]]*(1+20%)),0)</f>
        <v>18</v>
      </c>
      <c r="AJ602" s="7">
        <f>Table1[[#This Row],[Quantity increase by 20%]]*Table1[[#This Row],[UnitPrice]]</f>
        <v>15635.16</v>
      </c>
      <c r="AK602">
        <f>ROUNDDOWN(Table1[[#This Row],[Quantity]]*(1+20%),0)</f>
        <v>18</v>
      </c>
      <c r="AL602" s="7">
        <f>Table1[[#This Row],[UnitCost]]*(1+15%)</f>
        <v>803.45899999999995</v>
      </c>
      <c r="AM602" s="9">
        <f>Table1[[#This Row],[Quantity]]*Table1[[#This Row],[Cost of unit by inflation 15%]]</f>
        <v>12051.884999999998</v>
      </c>
      <c r="AN602" s="21" cm="1">
        <f t="array" ref="AN602">_xlfn.UNIQUE(AC602)</f>
        <v>45016</v>
      </c>
    </row>
    <row r="603" spans="1:40" x14ac:dyDescent="0.35">
      <c r="A603" t="s">
        <v>528</v>
      </c>
      <c r="B603" s="21">
        <v>45874</v>
      </c>
      <c r="C603" s="10">
        <v>45897</v>
      </c>
      <c r="D603" s="3">
        <f t="shared" si="108"/>
        <v>23</v>
      </c>
      <c r="E603" s="10" t="str">
        <f t="shared" si="109"/>
        <v>Q3-2025</v>
      </c>
      <c r="F603" t="s">
        <v>646</v>
      </c>
      <c r="G603" t="s">
        <v>653</v>
      </c>
      <c r="H603" t="s">
        <v>690</v>
      </c>
      <c r="I603" t="s">
        <v>702</v>
      </c>
      <c r="J603" t="s">
        <v>709</v>
      </c>
      <c r="K603" t="s">
        <v>724</v>
      </c>
      <c r="L603" t="s">
        <v>730</v>
      </c>
      <c r="M603" t="s">
        <v>1245</v>
      </c>
      <c r="N603" s="3">
        <v>638.54</v>
      </c>
      <c r="O603" s="3">
        <v>987.24</v>
      </c>
      <c r="P603" s="6">
        <v>0</v>
      </c>
      <c r="Q603" s="6">
        <f>IF(Table1[[#This Row],[DiscountPct]]&gt;25%,25%,Table1[[#This Row],[DiscountPct]])</f>
        <v>0</v>
      </c>
      <c r="R603" s="5">
        <v>11</v>
      </c>
      <c r="S603" s="6">
        <f t="shared" si="110"/>
        <v>0.54608951670999473</v>
      </c>
      <c r="T603" s="8">
        <f t="shared" si="111"/>
        <v>10859.64</v>
      </c>
      <c r="U603" s="8">
        <f t="shared" si="112"/>
        <v>7023.94</v>
      </c>
      <c r="V603" s="9">
        <f t="shared" si="113"/>
        <v>3835.7</v>
      </c>
      <c r="W603" s="6">
        <f t="shared" si="114"/>
        <v>0.35320692030306716</v>
      </c>
      <c r="X603" t="str" cm="1">
        <f t="array" ref="X603">_xlfn.IFS(S603&lt;=25%, "Low", S603&lt;=75%, "Medium", S603&gt;75%, "High")</f>
        <v>Medium</v>
      </c>
      <c r="Y603" s="8">
        <f>Table1[[#This Row],[Quantity]]*(Table1[[#This Row],[UnitPrice]]*(1-Table1[[#This Row],[DiscountPct]]))</f>
        <v>10859.64</v>
      </c>
      <c r="Z603" s="9">
        <f t="shared" si="115"/>
        <v>3835.7</v>
      </c>
      <c r="AA603">
        <f>COUNTIF($G$2:G604,G603)</f>
        <v>59</v>
      </c>
      <c r="AB603" s="21">
        <f t="shared" si="116"/>
        <v>44988</v>
      </c>
      <c r="AC603" s="21">
        <f t="shared" si="117"/>
        <v>45016</v>
      </c>
      <c r="AD603" s="5">
        <f>(Table1[[#This Row],[OrderDate]]-Table1[[#This Row],[Date of first order]])/30</f>
        <v>29.533333333333335</v>
      </c>
      <c r="AE603" t="str">
        <f t="shared" si="118"/>
        <v>Poor</v>
      </c>
      <c r="AF603">
        <f>COUNTIF(AE$2:AE604,AE603)</f>
        <v>436</v>
      </c>
      <c r="AG603" t="str">
        <f t="shared" si="119"/>
        <v>False</v>
      </c>
      <c r="AH603" s="7">
        <f>Table1[[#This Row],[UnitPrice]]*(1-Table1[[#This Row],[Disc Scenario]])*Table1[[#This Row],[Quantity]]</f>
        <v>10859.64</v>
      </c>
      <c r="AI603">
        <f>ROUNDDOWN((Table1[[#This Row],[Quantity]]*(1+20%)),0)</f>
        <v>13</v>
      </c>
      <c r="AJ603" s="7">
        <f>Table1[[#This Row],[Quantity increase by 20%]]*Table1[[#This Row],[UnitPrice]]</f>
        <v>12834.12</v>
      </c>
      <c r="AK603">
        <f>ROUNDDOWN(Table1[[#This Row],[Quantity]]*(1+20%),0)</f>
        <v>13</v>
      </c>
      <c r="AL603" s="7">
        <f>Table1[[#This Row],[UnitCost]]*(1+15%)</f>
        <v>734.32099999999991</v>
      </c>
      <c r="AM603" s="9">
        <f>Table1[[#This Row],[Quantity]]*Table1[[#This Row],[Cost of unit by inflation 15%]]</f>
        <v>8077.530999999999</v>
      </c>
      <c r="AN603" s="21" cm="1">
        <f t="array" ref="AN603">_xlfn.UNIQUE(AC603)</f>
        <v>45016</v>
      </c>
    </row>
    <row r="604" spans="1:40" x14ac:dyDescent="0.35">
      <c r="A604" t="s">
        <v>142</v>
      </c>
      <c r="B604" s="21">
        <v>45874</v>
      </c>
      <c r="C604" s="10">
        <v>45883</v>
      </c>
      <c r="D604" s="3">
        <f t="shared" si="108"/>
        <v>9</v>
      </c>
      <c r="E604" s="10" t="str">
        <f t="shared" si="109"/>
        <v>Q3-2025</v>
      </c>
      <c r="F604" t="s">
        <v>648</v>
      </c>
      <c r="G604" t="s">
        <v>657</v>
      </c>
      <c r="H604" t="s">
        <v>682</v>
      </c>
      <c r="I604" t="s">
        <v>702</v>
      </c>
      <c r="J604" t="s">
        <v>710</v>
      </c>
      <c r="K604" t="s">
        <v>717</v>
      </c>
      <c r="L604" t="s">
        <v>726</v>
      </c>
      <c r="M604" t="s">
        <v>860</v>
      </c>
      <c r="N604" s="3">
        <v>41.76</v>
      </c>
      <c r="O604" s="3">
        <v>45.19</v>
      </c>
      <c r="P604" s="6">
        <v>0.17899999999999999</v>
      </c>
      <c r="Q604" s="6">
        <f>IF(Table1[[#This Row],[DiscountPct]]&gt;25%,25%,Table1[[#This Row],[DiscountPct]])</f>
        <v>0.17899999999999999</v>
      </c>
      <c r="R604" s="5">
        <v>23</v>
      </c>
      <c r="S604" s="6">
        <f t="shared" si="110"/>
        <v>8.2136015325670497E-2</v>
      </c>
      <c r="T604" s="8">
        <f t="shared" si="111"/>
        <v>853.32276999999988</v>
      </c>
      <c r="U604" s="8">
        <f t="shared" si="112"/>
        <v>960.4799999999999</v>
      </c>
      <c r="V604" s="9">
        <f t="shared" si="113"/>
        <v>-107.15723000000003</v>
      </c>
      <c r="W604" s="6">
        <f t="shared" si="114"/>
        <v>-0.12557643340514638</v>
      </c>
      <c r="X604" t="str" cm="1">
        <f t="array" ref="X604">_xlfn.IFS(S604&lt;=25%, "Low", S604&lt;=75%, "Medium", S604&gt;75%, "High")</f>
        <v>Low</v>
      </c>
      <c r="Y604" s="8">
        <f>Table1[[#This Row],[Quantity]]*(Table1[[#This Row],[UnitPrice]]*(1-Table1[[#This Row],[DiscountPct]]))</f>
        <v>853.32276999999988</v>
      </c>
      <c r="Z604" s="9">
        <f t="shared" si="115"/>
        <v>-107.15723000000003</v>
      </c>
      <c r="AA604">
        <f>COUNTIF($G$2:G605,G604)</f>
        <v>53</v>
      </c>
      <c r="AB604" s="21">
        <f t="shared" si="116"/>
        <v>44988</v>
      </c>
      <c r="AC604" s="21">
        <f t="shared" si="117"/>
        <v>45016</v>
      </c>
      <c r="AD604" s="5">
        <f>(Table1[[#This Row],[OrderDate]]-Table1[[#This Row],[Date of first order]])/30</f>
        <v>29.533333333333335</v>
      </c>
      <c r="AE604" t="str">
        <f t="shared" si="118"/>
        <v>Poor</v>
      </c>
      <c r="AF604">
        <f>COUNTIF(AE$2:AE605,AE604)</f>
        <v>437</v>
      </c>
      <c r="AG604" t="str">
        <f t="shared" si="119"/>
        <v>False</v>
      </c>
      <c r="AH604" s="7">
        <f>Table1[[#This Row],[UnitPrice]]*(1-Table1[[#This Row],[Disc Scenario]])*Table1[[#This Row],[Quantity]]</f>
        <v>853.32276999999988</v>
      </c>
      <c r="AI604">
        <f>ROUNDDOWN((Table1[[#This Row],[Quantity]]*(1+20%)),0)</f>
        <v>27</v>
      </c>
      <c r="AJ604" s="7">
        <f>Table1[[#This Row],[Quantity increase by 20%]]*Table1[[#This Row],[UnitPrice]]</f>
        <v>1220.1299999999999</v>
      </c>
      <c r="AK604">
        <f>ROUNDDOWN(Table1[[#This Row],[Quantity]]*(1+20%),0)</f>
        <v>27</v>
      </c>
      <c r="AL604" s="7">
        <f>Table1[[#This Row],[UnitCost]]*(1+15%)</f>
        <v>48.023999999999994</v>
      </c>
      <c r="AM604" s="9">
        <f>Table1[[#This Row],[Quantity]]*Table1[[#This Row],[Cost of unit by inflation 15%]]</f>
        <v>1104.5519999999999</v>
      </c>
      <c r="AN604" s="21" cm="1">
        <f t="array" ref="AN604">_xlfn.UNIQUE(AC604)</f>
        <v>45016</v>
      </c>
    </row>
    <row r="605" spans="1:40" x14ac:dyDescent="0.35">
      <c r="A605" t="s">
        <v>564</v>
      </c>
      <c r="B605" s="21">
        <v>45875</v>
      </c>
      <c r="C605" s="10">
        <v>45892</v>
      </c>
      <c r="D605" s="3">
        <f t="shared" si="108"/>
        <v>17</v>
      </c>
      <c r="E605" s="10" t="str">
        <f t="shared" si="109"/>
        <v>Q3-2025</v>
      </c>
      <c r="F605" t="s">
        <v>647</v>
      </c>
      <c r="G605" t="s">
        <v>654</v>
      </c>
      <c r="H605" t="s">
        <v>671</v>
      </c>
      <c r="I605" t="s">
        <v>703</v>
      </c>
      <c r="J605" t="s">
        <v>709</v>
      </c>
      <c r="K605" t="s">
        <v>719</v>
      </c>
      <c r="L605" t="s">
        <v>731</v>
      </c>
      <c r="M605" t="s">
        <v>1280</v>
      </c>
      <c r="N605" s="3">
        <v>86.64</v>
      </c>
      <c r="O605" s="3">
        <v>213.06</v>
      </c>
      <c r="P605" s="6">
        <v>0.21199999999999999</v>
      </c>
      <c r="Q605" s="6">
        <f>IF(Table1[[#This Row],[DiscountPct]]&gt;25%,25%,Table1[[#This Row],[DiscountPct]])</f>
        <v>0.21199999999999999</v>
      </c>
      <c r="R605" s="5">
        <v>11</v>
      </c>
      <c r="S605" s="6">
        <f t="shared" si="110"/>
        <v>1.4591412742382273</v>
      </c>
      <c r="T605" s="8">
        <f t="shared" si="111"/>
        <v>1846.8040799999999</v>
      </c>
      <c r="U605" s="8">
        <f t="shared" si="112"/>
        <v>953.04</v>
      </c>
      <c r="V605" s="9">
        <f t="shared" si="113"/>
        <v>893.76407999999992</v>
      </c>
      <c r="W605" s="6">
        <f t="shared" si="114"/>
        <v>0.48395175735154322</v>
      </c>
      <c r="X605" t="str" cm="1">
        <f t="array" ref="X605">_xlfn.IFS(S605&lt;=25%, "Low", S605&lt;=75%, "Medium", S605&gt;75%, "High")</f>
        <v>High</v>
      </c>
      <c r="Y605" s="8">
        <f>Table1[[#This Row],[Quantity]]*(Table1[[#This Row],[UnitPrice]]*(1-Table1[[#This Row],[DiscountPct]]))</f>
        <v>1846.8040800000003</v>
      </c>
      <c r="Z605" s="9">
        <f t="shared" si="115"/>
        <v>893.76408000000038</v>
      </c>
      <c r="AA605">
        <f>COUNTIF($G$2:G606,G605)</f>
        <v>58</v>
      </c>
      <c r="AB605" s="21">
        <f t="shared" si="116"/>
        <v>44988</v>
      </c>
      <c r="AC605" s="21">
        <f t="shared" si="117"/>
        <v>45016</v>
      </c>
      <c r="AD605" s="5">
        <f>(Table1[[#This Row],[OrderDate]]-Table1[[#This Row],[Date of first order]])/30</f>
        <v>29.566666666666666</v>
      </c>
      <c r="AE605" t="str">
        <f t="shared" si="118"/>
        <v>Poor</v>
      </c>
      <c r="AF605">
        <f>COUNTIF(AE$2:AE606,AE605)</f>
        <v>438</v>
      </c>
      <c r="AG605" t="str">
        <f t="shared" si="119"/>
        <v>True</v>
      </c>
      <c r="AH605" s="7">
        <f>Table1[[#This Row],[UnitPrice]]*(1-Table1[[#This Row],[Disc Scenario]])*Table1[[#This Row],[Quantity]]</f>
        <v>1846.8040800000003</v>
      </c>
      <c r="AI605">
        <f>ROUNDDOWN((Table1[[#This Row],[Quantity]]*(1+20%)),0)</f>
        <v>13</v>
      </c>
      <c r="AJ605" s="7">
        <f>Table1[[#This Row],[Quantity increase by 20%]]*Table1[[#This Row],[UnitPrice]]</f>
        <v>2769.78</v>
      </c>
      <c r="AK605">
        <f>ROUNDDOWN(Table1[[#This Row],[Quantity]]*(1+20%),0)</f>
        <v>13</v>
      </c>
      <c r="AL605" s="7">
        <f>Table1[[#This Row],[UnitCost]]*(1+15%)</f>
        <v>99.635999999999996</v>
      </c>
      <c r="AM605" s="9">
        <f>Table1[[#This Row],[Quantity]]*Table1[[#This Row],[Cost of unit by inflation 15%]]</f>
        <v>1095.9959999999999</v>
      </c>
      <c r="AN605" s="21" cm="1">
        <f t="array" ref="AN605">_xlfn.UNIQUE(AC605)</f>
        <v>45016</v>
      </c>
    </row>
    <row r="606" spans="1:40" x14ac:dyDescent="0.35">
      <c r="A606" t="s">
        <v>394</v>
      </c>
      <c r="B606" s="21">
        <v>45876</v>
      </c>
      <c r="C606" s="10">
        <v>45906</v>
      </c>
      <c r="D606" s="3">
        <f t="shared" si="108"/>
        <v>30</v>
      </c>
      <c r="E606" s="10" t="str">
        <f t="shared" si="109"/>
        <v>Q3-2025</v>
      </c>
      <c r="F606" t="s">
        <v>647</v>
      </c>
      <c r="G606" t="s">
        <v>652</v>
      </c>
      <c r="H606" t="s">
        <v>680</v>
      </c>
      <c r="I606" t="s">
        <v>701</v>
      </c>
      <c r="J606" t="s">
        <v>710</v>
      </c>
      <c r="K606" t="s">
        <v>723</v>
      </c>
      <c r="L606" t="s">
        <v>728</v>
      </c>
      <c r="M606" t="s">
        <v>1111</v>
      </c>
      <c r="N606" s="3">
        <v>833.73</v>
      </c>
      <c r="O606" s="3">
        <v>1116.5999999999999</v>
      </c>
      <c r="P606" s="6">
        <v>0.17599999999999999</v>
      </c>
      <c r="Q606" s="6">
        <f>IF(Table1[[#This Row],[DiscountPct]]&gt;25%,25%,Table1[[#This Row],[DiscountPct]])</f>
        <v>0.17599999999999999</v>
      </c>
      <c r="R606" s="5">
        <v>14</v>
      </c>
      <c r="S606" s="6">
        <f t="shared" si="110"/>
        <v>0.33928250152927192</v>
      </c>
      <c r="T606" s="8">
        <f t="shared" si="111"/>
        <v>12881.097599999999</v>
      </c>
      <c r="U606" s="8">
        <f t="shared" si="112"/>
        <v>11672.220000000001</v>
      </c>
      <c r="V606" s="9">
        <f t="shared" si="113"/>
        <v>1208.877599999998</v>
      </c>
      <c r="W606" s="6">
        <f t="shared" si="114"/>
        <v>9.3848958958279924E-2</v>
      </c>
      <c r="X606" t="str" cm="1">
        <f t="array" ref="X606">_xlfn.IFS(S606&lt;=25%, "Low", S606&lt;=75%, "Medium", S606&gt;75%, "High")</f>
        <v>Medium</v>
      </c>
      <c r="Y606" s="8">
        <f>Table1[[#This Row],[Quantity]]*(Table1[[#This Row],[UnitPrice]]*(1-Table1[[#This Row],[DiscountPct]]))</f>
        <v>12881.097599999999</v>
      </c>
      <c r="Z606" s="9">
        <f t="shared" si="115"/>
        <v>1208.877599999998</v>
      </c>
      <c r="AA606">
        <f>COUNTIF($G$2:G607,G606)</f>
        <v>43</v>
      </c>
      <c r="AB606" s="21">
        <f t="shared" si="116"/>
        <v>44988</v>
      </c>
      <c r="AC606" s="21">
        <f t="shared" si="117"/>
        <v>45016</v>
      </c>
      <c r="AD606" s="5">
        <f>(Table1[[#This Row],[OrderDate]]-Table1[[#This Row],[Date of first order]])/30</f>
        <v>29.6</v>
      </c>
      <c r="AE606" t="str">
        <f t="shared" si="118"/>
        <v>Poor</v>
      </c>
      <c r="AF606">
        <f>COUNTIF(AE$2:AE607,AE606)</f>
        <v>439</v>
      </c>
      <c r="AG606" t="str">
        <f t="shared" si="119"/>
        <v>False</v>
      </c>
      <c r="AH606" s="7">
        <f>Table1[[#This Row],[UnitPrice]]*(1-Table1[[#This Row],[Disc Scenario]])*Table1[[#This Row],[Quantity]]</f>
        <v>12881.097599999999</v>
      </c>
      <c r="AI606">
        <f>ROUNDDOWN((Table1[[#This Row],[Quantity]]*(1+20%)),0)</f>
        <v>16</v>
      </c>
      <c r="AJ606" s="7">
        <f>Table1[[#This Row],[Quantity increase by 20%]]*Table1[[#This Row],[UnitPrice]]</f>
        <v>17865.599999999999</v>
      </c>
      <c r="AK606">
        <f>ROUNDDOWN(Table1[[#This Row],[Quantity]]*(1+20%),0)</f>
        <v>16</v>
      </c>
      <c r="AL606" s="7">
        <f>Table1[[#This Row],[UnitCost]]*(1+15%)</f>
        <v>958.78949999999998</v>
      </c>
      <c r="AM606" s="9">
        <f>Table1[[#This Row],[Quantity]]*Table1[[#This Row],[Cost of unit by inflation 15%]]</f>
        <v>13423.053</v>
      </c>
      <c r="AN606" s="21" cm="1">
        <f t="array" ref="AN606">_xlfn.UNIQUE(AC606)</f>
        <v>45016</v>
      </c>
    </row>
    <row r="607" spans="1:40" x14ac:dyDescent="0.35">
      <c r="A607" t="s">
        <v>102</v>
      </c>
      <c r="B607" s="21">
        <v>45876</v>
      </c>
      <c r="C607" s="10">
        <v>45888</v>
      </c>
      <c r="D607" s="3">
        <f t="shared" si="108"/>
        <v>12</v>
      </c>
      <c r="E607" s="10" t="str">
        <f t="shared" si="109"/>
        <v>Q3-2025</v>
      </c>
      <c r="F607" t="s">
        <v>645</v>
      </c>
      <c r="G607" t="s">
        <v>649</v>
      </c>
      <c r="H607" t="s">
        <v>677</v>
      </c>
      <c r="I607" t="s">
        <v>700</v>
      </c>
      <c r="J607" t="s">
        <v>710</v>
      </c>
      <c r="K607" t="s">
        <v>723</v>
      </c>
      <c r="L607" t="s">
        <v>726</v>
      </c>
      <c r="M607" t="s">
        <v>820</v>
      </c>
      <c r="N607" s="3">
        <v>601.51</v>
      </c>
      <c r="O607" s="3">
        <v>679.35</v>
      </c>
      <c r="P607" s="6">
        <v>0.188</v>
      </c>
      <c r="Q607" s="6">
        <f>IF(Table1[[#This Row],[DiscountPct]]&gt;25%,25%,Table1[[#This Row],[DiscountPct]])</f>
        <v>0.188</v>
      </c>
      <c r="R607" s="5">
        <v>3</v>
      </c>
      <c r="S607" s="6">
        <f t="shared" si="110"/>
        <v>0.12940765739555457</v>
      </c>
      <c r="T607" s="8">
        <f t="shared" si="111"/>
        <v>1654.8966000000003</v>
      </c>
      <c r="U607" s="8">
        <f t="shared" si="112"/>
        <v>1804.53</v>
      </c>
      <c r="V607" s="9">
        <f t="shared" si="113"/>
        <v>-149.63339999999971</v>
      </c>
      <c r="W607" s="6">
        <f t="shared" si="114"/>
        <v>-9.0418579626062243E-2</v>
      </c>
      <c r="X607" t="str" cm="1">
        <f t="array" ref="X607">_xlfn.IFS(S607&lt;=25%, "Low", S607&lt;=75%, "Medium", S607&gt;75%, "High")</f>
        <v>Low</v>
      </c>
      <c r="Y607" s="8">
        <f>Table1[[#This Row],[Quantity]]*(Table1[[#This Row],[UnitPrice]]*(1-Table1[[#This Row],[DiscountPct]]))</f>
        <v>1654.8966</v>
      </c>
      <c r="Z607" s="9">
        <f t="shared" si="115"/>
        <v>-149.63339999999994</v>
      </c>
      <c r="AA607">
        <f>COUNTIF($G$2:G608,G607)</f>
        <v>53</v>
      </c>
      <c r="AB607" s="21">
        <f t="shared" si="116"/>
        <v>44988</v>
      </c>
      <c r="AC607" s="21">
        <f t="shared" si="117"/>
        <v>45016</v>
      </c>
      <c r="AD607" s="5">
        <f>(Table1[[#This Row],[OrderDate]]-Table1[[#This Row],[Date of first order]])/30</f>
        <v>29.6</v>
      </c>
      <c r="AE607" t="str">
        <f t="shared" si="118"/>
        <v>Poor</v>
      </c>
      <c r="AF607">
        <f>COUNTIF(AE$2:AE608,AE607)</f>
        <v>440</v>
      </c>
      <c r="AG607" t="str">
        <f t="shared" si="119"/>
        <v>False</v>
      </c>
      <c r="AH607" s="7">
        <f>Table1[[#This Row],[UnitPrice]]*(1-Table1[[#This Row],[Disc Scenario]])*Table1[[#This Row],[Quantity]]</f>
        <v>1654.8966</v>
      </c>
      <c r="AI607">
        <f>ROUNDDOWN((Table1[[#This Row],[Quantity]]*(1+20%)),0)</f>
        <v>3</v>
      </c>
      <c r="AJ607" s="7">
        <f>Table1[[#This Row],[Quantity increase by 20%]]*Table1[[#This Row],[UnitPrice]]</f>
        <v>2038.0500000000002</v>
      </c>
      <c r="AK607">
        <f>ROUNDDOWN(Table1[[#This Row],[Quantity]]*(1+20%),0)</f>
        <v>3</v>
      </c>
      <c r="AL607" s="7">
        <f>Table1[[#This Row],[UnitCost]]*(1+15%)</f>
        <v>691.73649999999998</v>
      </c>
      <c r="AM607" s="9">
        <f>Table1[[#This Row],[Quantity]]*Table1[[#This Row],[Cost of unit by inflation 15%]]</f>
        <v>2075.2094999999999</v>
      </c>
      <c r="AN607" s="21" cm="1">
        <f t="array" ref="AN607">_xlfn.UNIQUE(AC607)</f>
        <v>45016</v>
      </c>
    </row>
    <row r="608" spans="1:40" x14ac:dyDescent="0.35">
      <c r="A608" t="s">
        <v>241</v>
      </c>
      <c r="B608" s="21">
        <v>45879</v>
      </c>
      <c r="C608" s="10">
        <v>45899</v>
      </c>
      <c r="D608" s="3">
        <f t="shared" si="108"/>
        <v>20</v>
      </c>
      <c r="E608" s="10" t="str">
        <f t="shared" si="109"/>
        <v>Q3-2025</v>
      </c>
      <c r="F608" t="s">
        <v>647</v>
      </c>
      <c r="G608" t="s">
        <v>659</v>
      </c>
      <c r="H608" t="s">
        <v>685</v>
      </c>
      <c r="I608" t="s">
        <v>700</v>
      </c>
      <c r="J608" t="s">
        <v>708</v>
      </c>
      <c r="K608" t="s">
        <v>722</v>
      </c>
      <c r="L608" t="s">
        <v>727</v>
      </c>
      <c r="M608" t="s">
        <v>959</v>
      </c>
      <c r="N608" s="3">
        <v>933.29</v>
      </c>
      <c r="O608" s="3">
        <v>1456.81</v>
      </c>
      <c r="P608" s="6">
        <v>0.123</v>
      </c>
      <c r="Q608" s="6">
        <f>IF(Table1[[#This Row],[DiscountPct]]&gt;25%,25%,Table1[[#This Row],[DiscountPct]])</f>
        <v>0.123</v>
      </c>
      <c r="R608" s="5">
        <v>13</v>
      </c>
      <c r="S608" s="6">
        <f t="shared" si="110"/>
        <v>0.5609403293724351</v>
      </c>
      <c r="T608" s="8">
        <f t="shared" si="111"/>
        <v>16609.090809999998</v>
      </c>
      <c r="U608" s="8">
        <f t="shared" si="112"/>
        <v>12132.77</v>
      </c>
      <c r="V608" s="9">
        <f t="shared" si="113"/>
        <v>4476.3208099999974</v>
      </c>
      <c r="W608" s="6">
        <f t="shared" si="114"/>
        <v>0.26951028573489977</v>
      </c>
      <c r="X608" t="str" cm="1">
        <f t="array" ref="X608">_xlfn.IFS(S608&lt;=25%, "Low", S608&lt;=75%, "Medium", S608&gt;75%, "High")</f>
        <v>Medium</v>
      </c>
      <c r="Y608" s="8">
        <f>Table1[[#This Row],[Quantity]]*(Table1[[#This Row],[UnitPrice]]*(1-Table1[[#This Row],[DiscountPct]]))</f>
        <v>16609.090810000002</v>
      </c>
      <c r="Z608" s="9">
        <f t="shared" si="115"/>
        <v>4476.3208100000011</v>
      </c>
      <c r="AA608">
        <f>COUNTIF($G$2:G609,G608)</f>
        <v>49</v>
      </c>
      <c r="AB608" s="21">
        <f t="shared" si="116"/>
        <v>44988</v>
      </c>
      <c r="AC608" s="21">
        <f t="shared" si="117"/>
        <v>45016</v>
      </c>
      <c r="AD608" s="5">
        <f>(Table1[[#This Row],[OrderDate]]-Table1[[#This Row],[Date of first order]])/30</f>
        <v>29.7</v>
      </c>
      <c r="AE608" t="str">
        <f t="shared" si="118"/>
        <v>Poor</v>
      </c>
      <c r="AF608">
        <f>COUNTIF(AE$2:AE609,AE608)</f>
        <v>441</v>
      </c>
      <c r="AG608" t="str">
        <f t="shared" si="119"/>
        <v>False</v>
      </c>
      <c r="AH608" s="7">
        <f>Table1[[#This Row],[UnitPrice]]*(1-Table1[[#This Row],[Disc Scenario]])*Table1[[#This Row],[Quantity]]</f>
        <v>16609.090810000002</v>
      </c>
      <c r="AI608">
        <f>ROUNDDOWN((Table1[[#This Row],[Quantity]]*(1+20%)),0)</f>
        <v>15</v>
      </c>
      <c r="AJ608" s="7">
        <f>Table1[[#This Row],[Quantity increase by 20%]]*Table1[[#This Row],[UnitPrice]]</f>
        <v>21852.149999999998</v>
      </c>
      <c r="AK608">
        <f>ROUNDDOWN(Table1[[#This Row],[Quantity]]*(1+20%),0)</f>
        <v>15</v>
      </c>
      <c r="AL608" s="7">
        <f>Table1[[#This Row],[UnitCost]]*(1+15%)</f>
        <v>1073.2834999999998</v>
      </c>
      <c r="AM608" s="9">
        <f>Table1[[#This Row],[Quantity]]*Table1[[#This Row],[Cost of unit by inflation 15%]]</f>
        <v>13952.685499999998</v>
      </c>
      <c r="AN608" s="21" cm="1">
        <f t="array" ref="AN608">_xlfn.UNIQUE(AC608)</f>
        <v>45016</v>
      </c>
    </row>
    <row r="609" spans="1:40" x14ac:dyDescent="0.35">
      <c r="A609" t="s">
        <v>615</v>
      </c>
      <c r="B609" s="21">
        <v>45880</v>
      </c>
      <c r="C609" s="10">
        <v>45897</v>
      </c>
      <c r="D609" s="3">
        <f t="shared" si="108"/>
        <v>17</v>
      </c>
      <c r="E609" s="10" t="str">
        <f t="shared" si="109"/>
        <v>Q3-2025</v>
      </c>
      <c r="F609" t="s">
        <v>648</v>
      </c>
      <c r="G609" t="s">
        <v>656</v>
      </c>
      <c r="H609" t="s">
        <v>689</v>
      </c>
      <c r="I609" t="s">
        <v>701</v>
      </c>
      <c r="J609" t="s">
        <v>707</v>
      </c>
      <c r="K609" t="s">
        <v>720</v>
      </c>
      <c r="L609" t="s">
        <v>728</v>
      </c>
      <c r="M609" t="s">
        <v>1331</v>
      </c>
      <c r="N609" s="3">
        <v>416.16</v>
      </c>
      <c r="O609" s="3">
        <v>571.9</v>
      </c>
      <c r="P609" s="6">
        <v>7.0999999999999994E-2</v>
      </c>
      <c r="Q609" s="6">
        <f>IF(Table1[[#This Row],[DiscountPct]]&gt;25%,25%,Table1[[#This Row],[DiscountPct]])</f>
        <v>7.0999999999999994E-2</v>
      </c>
      <c r="R609" s="5">
        <v>2</v>
      </c>
      <c r="S609" s="6">
        <f t="shared" si="110"/>
        <v>0.37423106497500946</v>
      </c>
      <c r="T609" s="8">
        <f t="shared" si="111"/>
        <v>1062.5902000000001</v>
      </c>
      <c r="U609" s="8">
        <f t="shared" si="112"/>
        <v>832.32</v>
      </c>
      <c r="V609" s="9">
        <f t="shared" si="113"/>
        <v>230.27020000000005</v>
      </c>
      <c r="W609" s="6">
        <f t="shared" si="114"/>
        <v>0.21670649701079497</v>
      </c>
      <c r="X609" t="str" cm="1">
        <f t="array" ref="X609">_xlfn.IFS(S609&lt;=25%, "Low", S609&lt;=75%, "Medium", S609&gt;75%, "High")</f>
        <v>Medium</v>
      </c>
      <c r="Y609" s="8">
        <f>Table1[[#This Row],[Quantity]]*(Table1[[#This Row],[UnitPrice]]*(1-Table1[[#This Row],[DiscountPct]]))</f>
        <v>1062.5902000000001</v>
      </c>
      <c r="Z609" s="9">
        <f t="shared" si="115"/>
        <v>230.27020000000005</v>
      </c>
      <c r="AA609">
        <f>COUNTIF($G$2:G610,G609)</f>
        <v>52</v>
      </c>
      <c r="AB609" s="21">
        <f t="shared" si="116"/>
        <v>44988</v>
      </c>
      <c r="AC609" s="21">
        <f t="shared" si="117"/>
        <v>45016</v>
      </c>
      <c r="AD609" s="5">
        <f>(Table1[[#This Row],[OrderDate]]-Table1[[#This Row],[Date of first order]])/30</f>
        <v>29.733333333333334</v>
      </c>
      <c r="AE609" t="str">
        <f t="shared" si="118"/>
        <v>Poor</v>
      </c>
      <c r="AF609">
        <f>COUNTIF(AE$2:AE610,AE609)</f>
        <v>442</v>
      </c>
      <c r="AG609" t="str">
        <f t="shared" si="119"/>
        <v>False</v>
      </c>
      <c r="AH609" s="7">
        <f>Table1[[#This Row],[UnitPrice]]*(1-Table1[[#This Row],[Disc Scenario]])*Table1[[#This Row],[Quantity]]</f>
        <v>1062.5902000000001</v>
      </c>
      <c r="AI609">
        <f>ROUNDDOWN((Table1[[#This Row],[Quantity]]*(1+20%)),0)</f>
        <v>2</v>
      </c>
      <c r="AJ609" s="7">
        <f>Table1[[#This Row],[Quantity increase by 20%]]*Table1[[#This Row],[UnitPrice]]</f>
        <v>1143.8</v>
      </c>
      <c r="AK609">
        <f>ROUNDDOWN(Table1[[#This Row],[Quantity]]*(1+20%),0)</f>
        <v>2</v>
      </c>
      <c r="AL609" s="7">
        <f>Table1[[#This Row],[UnitCost]]*(1+15%)</f>
        <v>478.584</v>
      </c>
      <c r="AM609" s="9">
        <f>Table1[[#This Row],[Quantity]]*Table1[[#This Row],[Cost of unit by inflation 15%]]</f>
        <v>957.16800000000001</v>
      </c>
      <c r="AN609" s="21" cm="1">
        <f t="array" ref="AN609">_xlfn.UNIQUE(AC609)</f>
        <v>45016</v>
      </c>
    </row>
    <row r="610" spans="1:40" x14ac:dyDescent="0.35">
      <c r="A610" t="s">
        <v>487</v>
      </c>
      <c r="B610" s="21">
        <v>45882</v>
      </c>
      <c r="C610" s="10">
        <v>45903</v>
      </c>
      <c r="D610" s="3">
        <f t="shared" si="108"/>
        <v>21</v>
      </c>
      <c r="E610" s="10" t="str">
        <f t="shared" si="109"/>
        <v>Q3-2025</v>
      </c>
      <c r="F610" t="s">
        <v>648</v>
      </c>
      <c r="G610" t="s">
        <v>656</v>
      </c>
      <c r="H610" t="s">
        <v>689</v>
      </c>
      <c r="I610" t="s">
        <v>701</v>
      </c>
      <c r="J610" t="s">
        <v>706</v>
      </c>
      <c r="K610" t="s">
        <v>713</v>
      </c>
      <c r="L610" t="s">
        <v>729</v>
      </c>
      <c r="M610" t="s">
        <v>1204</v>
      </c>
      <c r="N610" s="3">
        <v>603.47</v>
      </c>
      <c r="O610" s="3">
        <v>1344.05</v>
      </c>
      <c r="P610" s="6">
        <v>0.20499999999999999</v>
      </c>
      <c r="Q610" s="6">
        <f>IF(Table1[[#This Row],[DiscountPct]]&gt;25%,25%,Table1[[#This Row],[DiscountPct]])</f>
        <v>0.20499999999999999</v>
      </c>
      <c r="R610" s="5">
        <v>18</v>
      </c>
      <c r="S610" s="6">
        <f t="shared" si="110"/>
        <v>1.2272026778464544</v>
      </c>
      <c r="T610" s="8">
        <f t="shared" si="111"/>
        <v>19233.355499999998</v>
      </c>
      <c r="U610" s="8">
        <f t="shared" si="112"/>
        <v>10862.460000000001</v>
      </c>
      <c r="V610" s="9">
        <f t="shared" si="113"/>
        <v>8370.8954999999969</v>
      </c>
      <c r="W610" s="6">
        <f t="shared" si="114"/>
        <v>0.43522803392262976</v>
      </c>
      <c r="X610" t="str" cm="1">
        <f t="array" ref="X610">_xlfn.IFS(S610&lt;=25%, "Low", S610&lt;=75%, "Medium", S610&gt;75%, "High")</f>
        <v>High</v>
      </c>
      <c r="Y610" s="8">
        <f>Table1[[#This Row],[Quantity]]*(Table1[[#This Row],[UnitPrice]]*(1-Table1[[#This Row],[DiscountPct]]))</f>
        <v>19233.355499999998</v>
      </c>
      <c r="Z610" s="9">
        <f t="shared" si="115"/>
        <v>8370.8954999999969</v>
      </c>
      <c r="AA610">
        <f>COUNTIF($G$2:G611,G610)</f>
        <v>52</v>
      </c>
      <c r="AB610" s="21">
        <f t="shared" si="116"/>
        <v>44988</v>
      </c>
      <c r="AC610" s="21">
        <f t="shared" si="117"/>
        <v>45016</v>
      </c>
      <c r="AD610" s="5">
        <f>(Table1[[#This Row],[OrderDate]]-Table1[[#This Row],[Date of first order]])/30</f>
        <v>29.8</v>
      </c>
      <c r="AE610" t="str">
        <f t="shared" si="118"/>
        <v>Poor</v>
      </c>
      <c r="AF610">
        <f>COUNTIF(AE$2:AE611,AE610)</f>
        <v>443</v>
      </c>
      <c r="AG610" t="str">
        <f t="shared" si="119"/>
        <v>True</v>
      </c>
      <c r="AH610" s="7">
        <f>Table1[[#This Row],[UnitPrice]]*(1-Table1[[#This Row],[Disc Scenario]])*Table1[[#This Row],[Quantity]]</f>
        <v>19233.355499999998</v>
      </c>
      <c r="AI610">
        <f>ROUNDDOWN((Table1[[#This Row],[Quantity]]*(1+20%)),0)</f>
        <v>21</v>
      </c>
      <c r="AJ610" s="7">
        <f>Table1[[#This Row],[Quantity increase by 20%]]*Table1[[#This Row],[UnitPrice]]</f>
        <v>28225.05</v>
      </c>
      <c r="AK610">
        <f>ROUNDDOWN(Table1[[#This Row],[Quantity]]*(1+20%),0)</f>
        <v>21</v>
      </c>
      <c r="AL610" s="7">
        <f>Table1[[#This Row],[UnitCost]]*(1+15%)</f>
        <v>693.9905</v>
      </c>
      <c r="AM610" s="9">
        <f>Table1[[#This Row],[Quantity]]*Table1[[#This Row],[Cost of unit by inflation 15%]]</f>
        <v>12491.829</v>
      </c>
      <c r="AN610" s="21" cm="1">
        <f t="array" ref="AN610">_xlfn.UNIQUE(AC610)</f>
        <v>45016</v>
      </c>
    </row>
    <row r="611" spans="1:40" x14ac:dyDescent="0.35">
      <c r="A611" t="s">
        <v>369</v>
      </c>
      <c r="B611" s="21">
        <v>45883</v>
      </c>
      <c r="C611" s="10">
        <v>45911</v>
      </c>
      <c r="D611" s="3">
        <f t="shared" si="108"/>
        <v>28</v>
      </c>
      <c r="E611" s="10" t="str">
        <f t="shared" si="109"/>
        <v>Q3-2025</v>
      </c>
      <c r="F611" t="s">
        <v>647</v>
      </c>
      <c r="G611" t="s">
        <v>654</v>
      </c>
      <c r="H611" t="s">
        <v>669</v>
      </c>
      <c r="I611" t="s">
        <v>702</v>
      </c>
      <c r="J611" t="s">
        <v>710</v>
      </c>
      <c r="K611" t="s">
        <v>720</v>
      </c>
      <c r="L611" t="s">
        <v>727</v>
      </c>
      <c r="M611" t="s">
        <v>1087</v>
      </c>
      <c r="N611" s="3">
        <v>1203.02</v>
      </c>
      <c r="O611" s="3">
        <v>2439.33</v>
      </c>
      <c r="P611" s="6">
        <v>0</v>
      </c>
      <c r="Q611" s="6">
        <f>IF(Table1[[#This Row],[DiscountPct]]&gt;25%,25%,Table1[[#This Row],[DiscountPct]])</f>
        <v>0</v>
      </c>
      <c r="R611" s="5">
        <v>18</v>
      </c>
      <c r="S611" s="6">
        <f t="shared" si="110"/>
        <v>1.0276720254027365</v>
      </c>
      <c r="T611" s="8">
        <f t="shared" si="111"/>
        <v>43907.94</v>
      </c>
      <c r="U611" s="8">
        <f t="shared" si="112"/>
        <v>21654.36</v>
      </c>
      <c r="V611" s="9">
        <f t="shared" si="113"/>
        <v>22253.58</v>
      </c>
      <c r="W611" s="6">
        <f t="shared" si="114"/>
        <v>0.50682359500354612</v>
      </c>
      <c r="X611" t="str" cm="1">
        <f t="array" ref="X611">_xlfn.IFS(S611&lt;=25%, "Low", S611&lt;=75%, "Medium", S611&gt;75%, "High")</f>
        <v>High</v>
      </c>
      <c r="Y611" s="8">
        <f>Table1[[#This Row],[Quantity]]*(Table1[[#This Row],[UnitPrice]]*(1-Table1[[#This Row],[DiscountPct]]))</f>
        <v>43907.94</v>
      </c>
      <c r="Z611" s="9">
        <f t="shared" si="115"/>
        <v>22253.58</v>
      </c>
      <c r="AA611">
        <f>COUNTIF($G$2:G612,G611)</f>
        <v>59</v>
      </c>
      <c r="AB611" s="21">
        <f t="shared" si="116"/>
        <v>44988</v>
      </c>
      <c r="AC611" s="21">
        <f t="shared" si="117"/>
        <v>45016</v>
      </c>
      <c r="AD611" s="5">
        <f>(Table1[[#This Row],[OrderDate]]-Table1[[#This Row],[Date of first order]])/30</f>
        <v>29.833333333333332</v>
      </c>
      <c r="AE611" t="str">
        <f t="shared" si="118"/>
        <v>Poor</v>
      </c>
      <c r="AF611">
        <f>COUNTIF(AE$2:AE612,AE611)</f>
        <v>443</v>
      </c>
      <c r="AG611" t="str">
        <f t="shared" si="119"/>
        <v>False</v>
      </c>
      <c r="AH611" s="7">
        <f>Table1[[#This Row],[UnitPrice]]*(1-Table1[[#This Row],[Disc Scenario]])*Table1[[#This Row],[Quantity]]</f>
        <v>43907.94</v>
      </c>
      <c r="AI611">
        <f>ROUNDDOWN((Table1[[#This Row],[Quantity]]*(1+20%)),0)</f>
        <v>21</v>
      </c>
      <c r="AJ611" s="7">
        <f>Table1[[#This Row],[Quantity increase by 20%]]*Table1[[#This Row],[UnitPrice]]</f>
        <v>51225.93</v>
      </c>
      <c r="AK611">
        <f>ROUNDDOWN(Table1[[#This Row],[Quantity]]*(1+20%),0)</f>
        <v>21</v>
      </c>
      <c r="AL611" s="7">
        <f>Table1[[#This Row],[UnitCost]]*(1+15%)</f>
        <v>1383.473</v>
      </c>
      <c r="AM611" s="9">
        <f>Table1[[#This Row],[Quantity]]*Table1[[#This Row],[Cost of unit by inflation 15%]]</f>
        <v>24902.513999999999</v>
      </c>
      <c r="AN611" s="21" cm="1">
        <f t="array" ref="AN611">_xlfn.UNIQUE(AC611)</f>
        <v>45016</v>
      </c>
    </row>
    <row r="612" spans="1:40" x14ac:dyDescent="0.35">
      <c r="A612" t="s">
        <v>558</v>
      </c>
      <c r="B612" s="21">
        <v>45889</v>
      </c>
      <c r="C612" s="10">
        <v>45895</v>
      </c>
      <c r="D612" s="3">
        <f t="shared" si="108"/>
        <v>6</v>
      </c>
      <c r="E612" s="10" t="str">
        <f t="shared" si="109"/>
        <v>Q3-2025</v>
      </c>
      <c r="F612" t="s">
        <v>647</v>
      </c>
      <c r="G612" t="s">
        <v>659</v>
      </c>
      <c r="H612" t="s">
        <v>699</v>
      </c>
      <c r="I612" t="s">
        <v>700</v>
      </c>
      <c r="J612" t="s">
        <v>706</v>
      </c>
      <c r="K612" t="s">
        <v>723</v>
      </c>
      <c r="L612" t="s">
        <v>728</v>
      </c>
      <c r="M612" t="s">
        <v>1274</v>
      </c>
      <c r="N612" s="3">
        <v>1304.95</v>
      </c>
      <c r="O612" s="3">
        <v>1712.03</v>
      </c>
      <c r="P612" s="6">
        <v>0.21199999999999999</v>
      </c>
      <c r="Q612" s="6">
        <f>IF(Table1[[#This Row],[DiscountPct]]&gt;25%,25%,Table1[[#This Row],[DiscountPct]])</f>
        <v>0.21199999999999999</v>
      </c>
      <c r="R612" s="5">
        <v>8</v>
      </c>
      <c r="S612" s="6">
        <f t="shared" si="110"/>
        <v>0.31195064945017043</v>
      </c>
      <c r="T612" s="8">
        <f t="shared" si="111"/>
        <v>10792.637119999999</v>
      </c>
      <c r="U612" s="8">
        <f t="shared" si="112"/>
        <v>10439.6</v>
      </c>
      <c r="V612" s="9">
        <f t="shared" si="113"/>
        <v>353.03711999999905</v>
      </c>
      <c r="W612" s="6">
        <f t="shared" si="114"/>
        <v>3.2710922833287949E-2</v>
      </c>
      <c r="X612" t="str" cm="1">
        <f t="array" ref="X612">_xlfn.IFS(S612&lt;=25%, "Low", S612&lt;=75%, "Medium", S612&gt;75%, "High")</f>
        <v>Medium</v>
      </c>
      <c r="Y612" s="8">
        <f>Table1[[#This Row],[Quantity]]*(Table1[[#This Row],[UnitPrice]]*(1-Table1[[#This Row],[DiscountPct]]))</f>
        <v>10792.637119999999</v>
      </c>
      <c r="Z612" s="9">
        <f t="shared" si="115"/>
        <v>353.03711999999905</v>
      </c>
      <c r="AA612">
        <f>COUNTIF($G$2:G613,G612)</f>
        <v>50</v>
      </c>
      <c r="AB612" s="21">
        <f t="shared" si="116"/>
        <v>44988</v>
      </c>
      <c r="AC612" s="21">
        <f t="shared" si="117"/>
        <v>45016</v>
      </c>
      <c r="AD612" s="5">
        <f>(Table1[[#This Row],[OrderDate]]-Table1[[#This Row],[Date of first order]])/30</f>
        <v>30.033333333333335</v>
      </c>
      <c r="AE612" t="str">
        <f t="shared" si="118"/>
        <v>Good</v>
      </c>
      <c r="AF612">
        <f>COUNTIF(AE$2:AE613,AE612)</f>
        <v>168</v>
      </c>
      <c r="AG612" t="str">
        <f t="shared" si="119"/>
        <v>True</v>
      </c>
      <c r="AH612" s="7">
        <f>Table1[[#This Row],[UnitPrice]]*(1-Table1[[#This Row],[Disc Scenario]])*Table1[[#This Row],[Quantity]]</f>
        <v>10792.637119999999</v>
      </c>
      <c r="AI612">
        <f>ROUNDDOWN((Table1[[#This Row],[Quantity]]*(1+20%)),0)</f>
        <v>9</v>
      </c>
      <c r="AJ612" s="7">
        <f>Table1[[#This Row],[Quantity increase by 20%]]*Table1[[#This Row],[UnitPrice]]</f>
        <v>15408.27</v>
      </c>
      <c r="AK612">
        <f>ROUNDDOWN(Table1[[#This Row],[Quantity]]*(1+20%),0)</f>
        <v>9</v>
      </c>
      <c r="AL612" s="7">
        <f>Table1[[#This Row],[UnitCost]]*(1+15%)</f>
        <v>1500.6924999999999</v>
      </c>
      <c r="AM612" s="9">
        <f>Table1[[#This Row],[Quantity]]*Table1[[#This Row],[Cost of unit by inflation 15%]]</f>
        <v>12005.539999999999</v>
      </c>
      <c r="AN612" s="21" cm="1">
        <f t="array" ref="AN612">_xlfn.UNIQUE(AC612)</f>
        <v>45016</v>
      </c>
    </row>
    <row r="613" spans="1:40" x14ac:dyDescent="0.35">
      <c r="A613" t="s">
        <v>409</v>
      </c>
      <c r="B613" s="21">
        <v>45890</v>
      </c>
      <c r="C613" s="10">
        <v>45914</v>
      </c>
      <c r="D613" s="3">
        <f t="shared" si="108"/>
        <v>24</v>
      </c>
      <c r="E613" s="10" t="str">
        <f t="shared" si="109"/>
        <v>Q3-2025</v>
      </c>
      <c r="F613" t="s">
        <v>648</v>
      </c>
      <c r="G613" t="s">
        <v>655</v>
      </c>
      <c r="H613" t="s">
        <v>670</v>
      </c>
      <c r="I613" t="s">
        <v>702</v>
      </c>
      <c r="J613" t="s">
        <v>707</v>
      </c>
      <c r="K613" t="s">
        <v>719</v>
      </c>
      <c r="L613" t="s">
        <v>731</v>
      </c>
      <c r="M613" t="s">
        <v>1126</v>
      </c>
      <c r="N613" s="3">
        <v>1397.67</v>
      </c>
      <c r="O613" s="3">
        <v>3131.37</v>
      </c>
      <c r="P613" s="6">
        <v>0.10299999999999999</v>
      </c>
      <c r="Q613" s="6">
        <f>IF(Table1[[#This Row],[DiscountPct]]&gt;25%,25%,Table1[[#This Row],[DiscountPct]])</f>
        <v>0.10299999999999999</v>
      </c>
      <c r="R613" s="5">
        <v>20</v>
      </c>
      <c r="S613" s="6">
        <f t="shared" si="110"/>
        <v>1.2404215587370406</v>
      </c>
      <c r="T613" s="8">
        <f t="shared" si="111"/>
        <v>56176.777799999996</v>
      </c>
      <c r="U613" s="8">
        <f t="shared" si="112"/>
        <v>27953.4</v>
      </c>
      <c r="V613" s="9">
        <f t="shared" si="113"/>
        <v>28223.377799999995</v>
      </c>
      <c r="W613" s="6">
        <f t="shared" si="114"/>
        <v>0.50240293062874808</v>
      </c>
      <c r="X613" t="str" cm="1">
        <f t="array" ref="X613">_xlfn.IFS(S613&lt;=25%, "Low", S613&lt;=75%, "Medium", S613&gt;75%, "High")</f>
        <v>High</v>
      </c>
      <c r="Y613" s="8">
        <f>Table1[[#This Row],[Quantity]]*(Table1[[#This Row],[UnitPrice]]*(1-Table1[[#This Row],[DiscountPct]]))</f>
        <v>56176.777799999996</v>
      </c>
      <c r="Z613" s="9">
        <f t="shared" si="115"/>
        <v>28223.377799999995</v>
      </c>
      <c r="AA613">
        <f>COUNTIF($G$2:G614,G613)</f>
        <v>51</v>
      </c>
      <c r="AB613" s="21">
        <f t="shared" si="116"/>
        <v>44988</v>
      </c>
      <c r="AC613" s="21">
        <f t="shared" si="117"/>
        <v>45016</v>
      </c>
      <c r="AD613" s="5">
        <f>(Table1[[#This Row],[OrderDate]]-Table1[[#This Row],[Date of first order]])/30</f>
        <v>30.066666666666666</v>
      </c>
      <c r="AE613" t="str">
        <f t="shared" si="118"/>
        <v>Poor</v>
      </c>
      <c r="AF613">
        <f>COUNTIF(AE$2:AE614,AE613)</f>
        <v>445</v>
      </c>
      <c r="AG613" t="str">
        <f t="shared" si="119"/>
        <v>False</v>
      </c>
      <c r="AH613" s="7">
        <f>Table1[[#This Row],[UnitPrice]]*(1-Table1[[#This Row],[Disc Scenario]])*Table1[[#This Row],[Quantity]]</f>
        <v>56176.777799999996</v>
      </c>
      <c r="AI613">
        <f>ROUNDDOWN((Table1[[#This Row],[Quantity]]*(1+20%)),0)</f>
        <v>24</v>
      </c>
      <c r="AJ613" s="7">
        <f>Table1[[#This Row],[Quantity increase by 20%]]*Table1[[#This Row],[UnitPrice]]</f>
        <v>75152.88</v>
      </c>
      <c r="AK613">
        <f>ROUNDDOWN(Table1[[#This Row],[Quantity]]*(1+20%),0)</f>
        <v>24</v>
      </c>
      <c r="AL613" s="7">
        <f>Table1[[#This Row],[UnitCost]]*(1+15%)</f>
        <v>1607.3205</v>
      </c>
      <c r="AM613" s="9">
        <f>Table1[[#This Row],[Quantity]]*Table1[[#This Row],[Cost of unit by inflation 15%]]</f>
        <v>32146.41</v>
      </c>
      <c r="AN613" s="21" cm="1">
        <f t="array" ref="AN613">_xlfn.UNIQUE(AC613)</f>
        <v>45016</v>
      </c>
    </row>
    <row r="614" spans="1:40" x14ac:dyDescent="0.35">
      <c r="A614" t="s">
        <v>193</v>
      </c>
      <c r="B614" s="21">
        <v>45890</v>
      </c>
      <c r="C614" s="10">
        <v>45912</v>
      </c>
      <c r="D614" s="3">
        <f t="shared" si="108"/>
        <v>22</v>
      </c>
      <c r="E614" s="10" t="str">
        <f t="shared" si="109"/>
        <v>Q3-2025</v>
      </c>
      <c r="F614" t="s">
        <v>646</v>
      </c>
      <c r="G614" t="s">
        <v>658</v>
      </c>
      <c r="H614" t="s">
        <v>675</v>
      </c>
      <c r="I614" t="s">
        <v>701</v>
      </c>
      <c r="J614" t="s">
        <v>706</v>
      </c>
      <c r="K614" t="s">
        <v>716</v>
      </c>
      <c r="L614" t="s">
        <v>727</v>
      </c>
      <c r="M614" t="s">
        <v>911</v>
      </c>
      <c r="N614" s="3">
        <v>352.66</v>
      </c>
      <c r="O614" s="3">
        <v>411.18</v>
      </c>
      <c r="P614" s="6">
        <v>0.17299999999999999</v>
      </c>
      <c r="Q614" s="6">
        <f>IF(Table1[[#This Row],[DiscountPct]]&gt;25%,25%,Table1[[#This Row],[DiscountPct]])</f>
        <v>0.17299999999999999</v>
      </c>
      <c r="R614" s="5">
        <v>13</v>
      </c>
      <c r="S614" s="6">
        <f t="shared" si="110"/>
        <v>0.1659388646288209</v>
      </c>
      <c r="T614" s="8">
        <f t="shared" si="111"/>
        <v>4420.5961799999995</v>
      </c>
      <c r="U614" s="8">
        <f t="shared" si="112"/>
        <v>4584.58</v>
      </c>
      <c r="V614" s="9">
        <f t="shared" si="113"/>
        <v>-163.98382000000038</v>
      </c>
      <c r="W614" s="6">
        <f t="shared" si="114"/>
        <v>-3.7095408248758066E-2</v>
      </c>
      <c r="X614" t="str" cm="1">
        <f t="array" ref="X614">_xlfn.IFS(S614&lt;=25%, "Low", S614&lt;=75%, "Medium", S614&gt;75%, "High")</f>
        <v>Low</v>
      </c>
      <c r="Y614" s="8">
        <f>Table1[[#This Row],[Quantity]]*(Table1[[#This Row],[UnitPrice]]*(1-Table1[[#This Row],[DiscountPct]]))</f>
        <v>4420.5961800000005</v>
      </c>
      <c r="Z614" s="9">
        <f t="shared" si="115"/>
        <v>-163.98381999999947</v>
      </c>
      <c r="AA614">
        <f>COUNTIF($G$2:G615,G614)</f>
        <v>51</v>
      </c>
      <c r="AB614" s="21">
        <f t="shared" si="116"/>
        <v>44988</v>
      </c>
      <c r="AC614" s="21">
        <f t="shared" si="117"/>
        <v>45016</v>
      </c>
      <c r="AD614" s="5">
        <f>(Table1[[#This Row],[OrderDate]]-Table1[[#This Row],[Date of first order]])/30</f>
        <v>30.066666666666666</v>
      </c>
      <c r="AE614" t="str">
        <f t="shared" si="118"/>
        <v>Poor</v>
      </c>
      <c r="AF614">
        <f>COUNTIF(AE$2:AE615,AE614)</f>
        <v>446</v>
      </c>
      <c r="AG614" t="str">
        <f t="shared" si="119"/>
        <v>False</v>
      </c>
      <c r="AH614" s="7">
        <f>Table1[[#This Row],[UnitPrice]]*(1-Table1[[#This Row],[Disc Scenario]])*Table1[[#This Row],[Quantity]]</f>
        <v>4420.5961800000005</v>
      </c>
      <c r="AI614">
        <f>ROUNDDOWN((Table1[[#This Row],[Quantity]]*(1+20%)),0)</f>
        <v>15</v>
      </c>
      <c r="AJ614" s="7">
        <f>Table1[[#This Row],[Quantity increase by 20%]]*Table1[[#This Row],[UnitPrice]]</f>
        <v>6167.7</v>
      </c>
      <c r="AK614">
        <f>ROUNDDOWN(Table1[[#This Row],[Quantity]]*(1+20%),0)</f>
        <v>15</v>
      </c>
      <c r="AL614" s="7">
        <f>Table1[[#This Row],[UnitCost]]*(1+15%)</f>
        <v>405.55899999999997</v>
      </c>
      <c r="AM614" s="9">
        <f>Table1[[#This Row],[Quantity]]*Table1[[#This Row],[Cost of unit by inflation 15%]]</f>
        <v>5272.2669999999998</v>
      </c>
      <c r="AN614" s="21" cm="1">
        <f t="array" ref="AN614">_xlfn.UNIQUE(AC614)</f>
        <v>45016</v>
      </c>
    </row>
    <row r="615" spans="1:40" x14ac:dyDescent="0.35">
      <c r="A615" t="s">
        <v>233</v>
      </c>
      <c r="B615" s="21">
        <v>45894</v>
      </c>
      <c r="C615" s="10">
        <v>45924</v>
      </c>
      <c r="D615" s="3">
        <f t="shared" si="108"/>
        <v>30</v>
      </c>
      <c r="E615" s="10" t="str">
        <f t="shared" si="109"/>
        <v>Q3-2025</v>
      </c>
      <c r="F615" t="s">
        <v>645</v>
      </c>
      <c r="G615" t="s">
        <v>649</v>
      </c>
      <c r="H615" t="s">
        <v>663</v>
      </c>
      <c r="I615" t="s">
        <v>703</v>
      </c>
      <c r="J615" t="s">
        <v>710</v>
      </c>
      <c r="K615" t="s">
        <v>716</v>
      </c>
      <c r="L615" t="s">
        <v>726</v>
      </c>
      <c r="M615" t="s">
        <v>951</v>
      </c>
      <c r="N615" s="3">
        <v>589.14</v>
      </c>
      <c r="O615" s="3">
        <v>1300.58</v>
      </c>
      <c r="P615" s="6">
        <v>5.5E-2</v>
      </c>
      <c r="Q615" s="6">
        <f>IF(Table1[[#This Row],[DiscountPct]]&gt;25%,25%,Table1[[#This Row],[DiscountPct]])</f>
        <v>5.5E-2</v>
      </c>
      <c r="R615" s="5">
        <v>11</v>
      </c>
      <c r="S615" s="6">
        <f t="shared" si="110"/>
        <v>1.207590725464236</v>
      </c>
      <c r="T615" s="8">
        <f t="shared" si="111"/>
        <v>13519.529099999998</v>
      </c>
      <c r="U615" s="8">
        <f t="shared" si="112"/>
        <v>6480.54</v>
      </c>
      <c r="V615" s="9">
        <f t="shared" si="113"/>
        <v>7038.989099999998</v>
      </c>
      <c r="W615" s="6">
        <f t="shared" si="114"/>
        <v>0.52065342275863724</v>
      </c>
      <c r="X615" t="str" cm="1">
        <f t="array" ref="X615">_xlfn.IFS(S615&lt;=25%, "Low", S615&lt;=75%, "Medium", S615&gt;75%, "High")</f>
        <v>High</v>
      </c>
      <c r="Y615" s="8">
        <f>Table1[[#This Row],[Quantity]]*(Table1[[#This Row],[UnitPrice]]*(1-Table1[[#This Row],[DiscountPct]]))</f>
        <v>13519.5291</v>
      </c>
      <c r="Z615" s="9">
        <f t="shared" si="115"/>
        <v>7038.9890999999998</v>
      </c>
      <c r="AA615">
        <f>COUNTIF($G$2:G616,G615)</f>
        <v>54</v>
      </c>
      <c r="AB615" s="21">
        <f t="shared" si="116"/>
        <v>44988</v>
      </c>
      <c r="AC615" s="21">
        <f t="shared" si="117"/>
        <v>45016</v>
      </c>
      <c r="AD615" s="5">
        <f>(Table1[[#This Row],[OrderDate]]-Table1[[#This Row],[Date of first order]])/30</f>
        <v>30.2</v>
      </c>
      <c r="AE615" t="str">
        <f t="shared" si="118"/>
        <v>Poor</v>
      </c>
      <c r="AF615">
        <f>COUNTIF(AE$2:AE616,AE615)</f>
        <v>446</v>
      </c>
      <c r="AG615" t="str">
        <f t="shared" si="119"/>
        <v>False</v>
      </c>
      <c r="AH615" s="7">
        <f>Table1[[#This Row],[UnitPrice]]*(1-Table1[[#This Row],[Disc Scenario]])*Table1[[#This Row],[Quantity]]</f>
        <v>13519.5291</v>
      </c>
      <c r="AI615">
        <f>ROUNDDOWN((Table1[[#This Row],[Quantity]]*(1+20%)),0)</f>
        <v>13</v>
      </c>
      <c r="AJ615" s="7">
        <f>Table1[[#This Row],[Quantity increase by 20%]]*Table1[[#This Row],[UnitPrice]]</f>
        <v>16907.54</v>
      </c>
      <c r="AK615">
        <f>ROUNDDOWN(Table1[[#This Row],[Quantity]]*(1+20%),0)</f>
        <v>13</v>
      </c>
      <c r="AL615" s="7">
        <f>Table1[[#This Row],[UnitCost]]*(1+15%)</f>
        <v>677.51099999999997</v>
      </c>
      <c r="AM615" s="9">
        <f>Table1[[#This Row],[Quantity]]*Table1[[#This Row],[Cost of unit by inflation 15%]]</f>
        <v>7452.6209999999992</v>
      </c>
      <c r="AN615" s="21" cm="1">
        <f t="array" ref="AN615">_xlfn.UNIQUE(AC615)</f>
        <v>45016</v>
      </c>
    </row>
    <row r="616" spans="1:40" x14ac:dyDescent="0.35">
      <c r="A616" t="s">
        <v>303</v>
      </c>
      <c r="B616" s="21">
        <v>45895</v>
      </c>
      <c r="C616" s="10">
        <v>45897</v>
      </c>
      <c r="D616" s="3">
        <f t="shared" si="108"/>
        <v>2</v>
      </c>
      <c r="E616" s="10" t="str">
        <f t="shared" si="109"/>
        <v>Q3-2025</v>
      </c>
      <c r="F616" t="s">
        <v>645</v>
      </c>
      <c r="G616" t="s">
        <v>650</v>
      </c>
      <c r="H616" t="s">
        <v>662</v>
      </c>
      <c r="I616" t="s">
        <v>704</v>
      </c>
      <c r="J616" t="s">
        <v>706</v>
      </c>
      <c r="K616" t="s">
        <v>719</v>
      </c>
      <c r="L616" t="s">
        <v>732</v>
      </c>
      <c r="M616" t="s">
        <v>1021</v>
      </c>
      <c r="N616" s="3">
        <v>521.05999999999995</v>
      </c>
      <c r="O616" s="3">
        <v>1240.31</v>
      </c>
      <c r="P616" s="6">
        <v>0.14599999999999999</v>
      </c>
      <c r="Q616" s="6">
        <f>IF(Table1[[#This Row],[DiscountPct]]&gt;25%,25%,Table1[[#This Row],[DiscountPct]])</f>
        <v>0.14599999999999999</v>
      </c>
      <c r="R616" s="5">
        <v>18</v>
      </c>
      <c r="S616" s="6">
        <f t="shared" si="110"/>
        <v>1.3803592676467202</v>
      </c>
      <c r="T616" s="8">
        <f t="shared" si="111"/>
        <v>19066.045319999997</v>
      </c>
      <c r="U616" s="8">
        <f t="shared" si="112"/>
        <v>9379.0799999999981</v>
      </c>
      <c r="V616" s="9">
        <f t="shared" si="113"/>
        <v>9686.9653199999993</v>
      </c>
      <c r="W616" s="6">
        <f t="shared" si="114"/>
        <v>0.50807417885650974</v>
      </c>
      <c r="X616" t="str" cm="1">
        <f t="array" ref="X616">_xlfn.IFS(S616&lt;=25%, "Low", S616&lt;=75%, "Medium", S616&gt;75%, "High")</f>
        <v>High</v>
      </c>
      <c r="Y616" s="8">
        <f>Table1[[#This Row],[Quantity]]*(Table1[[#This Row],[UnitPrice]]*(1-Table1[[#This Row],[DiscountPct]]))</f>
        <v>19066.045319999997</v>
      </c>
      <c r="Z616" s="9">
        <f t="shared" si="115"/>
        <v>9686.9653199999993</v>
      </c>
      <c r="AA616">
        <f>COUNTIF($G$2:G617,G616)</f>
        <v>44</v>
      </c>
      <c r="AB616" s="21">
        <f t="shared" si="116"/>
        <v>44988</v>
      </c>
      <c r="AC616" s="21">
        <f t="shared" si="117"/>
        <v>45016</v>
      </c>
      <c r="AD616" s="5">
        <f>(Table1[[#This Row],[OrderDate]]-Table1[[#This Row],[Date of first order]])/30</f>
        <v>30.233333333333334</v>
      </c>
      <c r="AE616" t="str">
        <f t="shared" si="118"/>
        <v>Good</v>
      </c>
      <c r="AF616">
        <f>COUNTIF(AE$2:AE617,AE616)</f>
        <v>169</v>
      </c>
      <c r="AG616" t="str">
        <f t="shared" si="119"/>
        <v>False</v>
      </c>
      <c r="AH616" s="7">
        <f>Table1[[#This Row],[UnitPrice]]*(1-Table1[[#This Row],[Disc Scenario]])*Table1[[#This Row],[Quantity]]</f>
        <v>19066.045319999997</v>
      </c>
      <c r="AI616">
        <f>ROUNDDOWN((Table1[[#This Row],[Quantity]]*(1+20%)),0)</f>
        <v>21</v>
      </c>
      <c r="AJ616" s="7">
        <f>Table1[[#This Row],[Quantity increase by 20%]]*Table1[[#This Row],[UnitPrice]]</f>
        <v>26046.51</v>
      </c>
      <c r="AK616">
        <f>ROUNDDOWN(Table1[[#This Row],[Quantity]]*(1+20%),0)</f>
        <v>21</v>
      </c>
      <c r="AL616" s="7">
        <f>Table1[[#This Row],[UnitCost]]*(1+15%)</f>
        <v>599.21899999999994</v>
      </c>
      <c r="AM616" s="9">
        <f>Table1[[#This Row],[Quantity]]*Table1[[#This Row],[Cost of unit by inflation 15%]]</f>
        <v>10785.941999999999</v>
      </c>
      <c r="AN616" s="21" cm="1">
        <f t="array" ref="AN616">_xlfn.UNIQUE(AC616)</f>
        <v>45016</v>
      </c>
    </row>
    <row r="617" spans="1:40" x14ac:dyDescent="0.35">
      <c r="A617" t="s">
        <v>439</v>
      </c>
      <c r="B617" s="21">
        <v>45897</v>
      </c>
      <c r="C617" s="10">
        <v>45905</v>
      </c>
      <c r="D617" s="3">
        <f t="shared" si="108"/>
        <v>8</v>
      </c>
      <c r="E617" s="10" t="str">
        <f t="shared" si="109"/>
        <v>Q3-2025</v>
      </c>
      <c r="F617" t="s">
        <v>645</v>
      </c>
      <c r="G617" t="s">
        <v>650</v>
      </c>
      <c r="H617" t="s">
        <v>662</v>
      </c>
      <c r="I617" t="s">
        <v>704</v>
      </c>
      <c r="J617" t="s">
        <v>708</v>
      </c>
      <c r="K617" t="s">
        <v>717</v>
      </c>
      <c r="L617" t="s">
        <v>730</v>
      </c>
      <c r="M617" t="s">
        <v>1156</v>
      </c>
      <c r="N617" s="3">
        <v>1271.0999999999999</v>
      </c>
      <c r="O617" s="3">
        <v>1932.42</v>
      </c>
      <c r="P617" s="6">
        <v>0.25</v>
      </c>
      <c r="Q617" s="6">
        <f>IF(Table1[[#This Row],[DiscountPct]]&gt;25%,25%,Table1[[#This Row],[DiscountPct]])</f>
        <v>0.25</v>
      </c>
      <c r="R617" s="5">
        <v>21</v>
      </c>
      <c r="S617" s="6">
        <f t="shared" si="110"/>
        <v>0.52027377861694613</v>
      </c>
      <c r="T617" s="8">
        <f t="shared" si="111"/>
        <v>30435.614999999998</v>
      </c>
      <c r="U617" s="8">
        <f t="shared" si="112"/>
        <v>26693.1</v>
      </c>
      <c r="V617" s="9">
        <f t="shared" si="113"/>
        <v>3742.5149999999994</v>
      </c>
      <c r="W617" s="6">
        <f t="shared" si="114"/>
        <v>0.12296498690760807</v>
      </c>
      <c r="X617" t="str" cm="1">
        <f t="array" ref="X617">_xlfn.IFS(S617&lt;=25%, "Low", S617&lt;=75%, "Medium", S617&gt;75%, "High")</f>
        <v>Medium</v>
      </c>
      <c r="Y617" s="8">
        <f>Table1[[#This Row],[Quantity]]*(Table1[[#This Row],[UnitPrice]]*(1-Table1[[#This Row],[DiscountPct]]))</f>
        <v>30435.615000000002</v>
      </c>
      <c r="Z617" s="9">
        <f t="shared" si="115"/>
        <v>3742.5150000000031</v>
      </c>
      <c r="AA617">
        <f>COUNTIF($G$2:G618,G617)</f>
        <v>44</v>
      </c>
      <c r="AB617" s="21">
        <f t="shared" si="116"/>
        <v>44988</v>
      </c>
      <c r="AC617" s="21">
        <f t="shared" si="117"/>
        <v>45016</v>
      </c>
      <c r="AD617" s="5">
        <f>(Table1[[#This Row],[OrderDate]]-Table1[[#This Row],[Date of first order]])/30</f>
        <v>30.3</v>
      </c>
      <c r="AE617" t="str">
        <f t="shared" si="118"/>
        <v>Poor</v>
      </c>
      <c r="AF617">
        <f>COUNTIF(AE$2:AE618,AE617)</f>
        <v>447</v>
      </c>
      <c r="AG617" t="str">
        <f t="shared" si="119"/>
        <v>True</v>
      </c>
      <c r="AH617" s="7">
        <f>Table1[[#This Row],[UnitPrice]]*(1-Table1[[#This Row],[Disc Scenario]])*Table1[[#This Row],[Quantity]]</f>
        <v>30435.615000000002</v>
      </c>
      <c r="AI617">
        <f>ROUNDDOWN((Table1[[#This Row],[Quantity]]*(1+20%)),0)</f>
        <v>25</v>
      </c>
      <c r="AJ617" s="7">
        <f>Table1[[#This Row],[Quantity increase by 20%]]*Table1[[#This Row],[UnitPrice]]</f>
        <v>48310.5</v>
      </c>
      <c r="AK617">
        <f>ROUNDDOWN(Table1[[#This Row],[Quantity]]*(1+20%),0)</f>
        <v>25</v>
      </c>
      <c r="AL617" s="7">
        <f>Table1[[#This Row],[UnitCost]]*(1+15%)</f>
        <v>1461.7649999999999</v>
      </c>
      <c r="AM617" s="9">
        <f>Table1[[#This Row],[Quantity]]*Table1[[#This Row],[Cost of unit by inflation 15%]]</f>
        <v>30697.064999999999</v>
      </c>
      <c r="AN617" s="21" cm="1">
        <f t="array" ref="AN617">_xlfn.UNIQUE(AC617)</f>
        <v>45016</v>
      </c>
    </row>
    <row r="618" spans="1:40" x14ac:dyDescent="0.35">
      <c r="A618" t="s">
        <v>495</v>
      </c>
      <c r="B618" s="21">
        <v>45899</v>
      </c>
      <c r="C618" s="10">
        <v>45903</v>
      </c>
      <c r="D618" s="3">
        <f t="shared" si="108"/>
        <v>4</v>
      </c>
      <c r="E618" s="10" t="str">
        <f t="shared" si="109"/>
        <v>Q3-2025</v>
      </c>
      <c r="F618" t="s">
        <v>648</v>
      </c>
      <c r="G618" t="s">
        <v>656</v>
      </c>
      <c r="H618" t="s">
        <v>672</v>
      </c>
      <c r="I618" t="s">
        <v>704</v>
      </c>
      <c r="J618" t="s">
        <v>708</v>
      </c>
      <c r="K618" t="s">
        <v>712</v>
      </c>
      <c r="L618" t="s">
        <v>730</v>
      </c>
      <c r="M618" t="s">
        <v>1212</v>
      </c>
      <c r="N618" s="3">
        <v>1286.56</v>
      </c>
      <c r="O618" s="3">
        <v>2777.35</v>
      </c>
      <c r="P618" s="6">
        <v>0.13200000000000001</v>
      </c>
      <c r="Q618" s="6">
        <f>IF(Table1[[#This Row],[DiscountPct]]&gt;25%,25%,Table1[[#This Row],[DiscountPct]])</f>
        <v>0.13200000000000001</v>
      </c>
      <c r="R618" s="5">
        <v>15</v>
      </c>
      <c r="S618" s="6">
        <f t="shared" si="110"/>
        <v>1.1587411391617959</v>
      </c>
      <c r="T618" s="8">
        <f t="shared" si="111"/>
        <v>36161.097000000002</v>
      </c>
      <c r="U618" s="8">
        <f t="shared" si="112"/>
        <v>19298.399999999998</v>
      </c>
      <c r="V618" s="9">
        <f t="shared" si="113"/>
        <v>16862.697000000004</v>
      </c>
      <c r="W618" s="6">
        <f t="shared" si="114"/>
        <v>0.46632150014696744</v>
      </c>
      <c r="X618" t="str" cm="1">
        <f t="array" ref="X618">_xlfn.IFS(S618&lt;=25%, "Low", S618&lt;=75%, "Medium", S618&gt;75%, "High")</f>
        <v>High</v>
      </c>
      <c r="Y618" s="8">
        <f>Table1[[#This Row],[Quantity]]*(Table1[[#This Row],[UnitPrice]]*(1-Table1[[#This Row],[DiscountPct]]))</f>
        <v>36161.096999999994</v>
      </c>
      <c r="Z618" s="9">
        <f t="shared" si="115"/>
        <v>16862.696999999996</v>
      </c>
      <c r="AA618">
        <f>COUNTIF($G$2:G619,G618)</f>
        <v>54</v>
      </c>
      <c r="AB618" s="21">
        <f t="shared" si="116"/>
        <v>44988</v>
      </c>
      <c r="AC618" s="21">
        <f t="shared" si="117"/>
        <v>45016</v>
      </c>
      <c r="AD618" s="5">
        <f>(Table1[[#This Row],[OrderDate]]-Table1[[#This Row],[Date of first order]])/30</f>
        <v>30.366666666666667</v>
      </c>
      <c r="AE618" t="str">
        <f t="shared" si="118"/>
        <v>Good</v>
      </c>
      <c r="AF618">
        <f>COUNTIF(AE$2:AE619,AE618)</f>
        <v>170</v>
      </c>
      <c r="AG618" t="str">
        <f t="shared" si="119"/>
        <v>False</v>
      </c>
      <c r="AH618" s="7">
        <f>Table1[[#This Row],[UnitPrice]]*(1-Table1[[#This Row],[Disc Scenario]])*Table1[[#This Row],[Quantity]]</f>
        <v>36161.096999999994</v>
      </c>
      <c r="AI618">
        <f>ROUNDDOWN((Table1[[#This Row],[Quantity]]*(1+20%)),0)</f>
        <v>18</v>
      </c>
      <c r="AJ618" s="7">
        <f>Table1[[#This Row],[Quantity increase by 20%]]*Table1[[#This Row],[UnitPrice]]</f>
        <v>49992.299999999996</v>
      </c>
      <c r="AK618">
        <f>ROUNDDOWN(Table1[[#This Row],[Quantity]]*(1+20%),0)</f>
        <v>18</v>
      </c>
      <c r="AL618" s="7">
        <f>Table1[[#This Row],[UnitCost]]*(1+15%)</f>
        <v>1479.5439999999999</v>
      </c>
      <c r="AM618" s="9">
        <f>Table1[[#This Row],[Quantity]]*Table1[[#This Row],[Cost of unit by inflation 15%]]</f>
        <v>22193.159999999996</v>
      </c>
      <c r="AN618" s="21" cm="1">
        <f t="array" ref="AN618">_xlfn.UNIQUE(AC618)</f>
        <v>45016</v>
      </c>
    </row>
    <row r="619" spans="1:40" x14ac:dyDescent="0.35">
      <c r="A619" t="s">
        <v>604</v>
      </c>
      <c r="B619" s="21">
        <v>45899</v>
      </c>
      <c r="C619" s="10">
        <v>45922</v>
      </c>
      <c r="D619" s="3">
        <f t="shared" si="108"/>
        <v>23</v>
      </c>
      <c r="E619" s="10" t="str">
        <f t="shared" si="109"/>
        <v>Q3-2025</v>
      </c>
      <c r="F619" t="s">
        <v>648</v>
      </c>
      <c r="G619" t="s">
        <v>656</v>
      </c>
      <c r="H619" t="s">
        <v>672</v>
      </c>
      <c r="I619" t="s">
        <v>700</v>
      </c>
      <c r="J619" t="s">
        <v>710</v>
      </c>
      <c r="K619" t="s">
        <v>717</v>
      </c>
      <c r="L619" t="s">
        <v>726</v>
      </c>
      <c r="M619" t="s">
        <v>1320</v>
      </c>
      <c r="N619" s="3">
        <v>663.9</v>
      </c>
      <c r="O619" s="3">
        <v>947.77</v>
      </c>
      <c r="P619" s="6">
        <v>0.17399999999999999</v>
      </c>
      <c r="Q619" s="6">
        <f>IF(Table1[[#This Row],[DiscountPct]]&gt;25%,25%,Table1[[#This Row],[DiscountPct]])</f>
        <v>0.17399999999999999</v>
      </c>
      <c r="R619" s="5">
        <v>15</v>
      </c>
      <c r="S619" s="6">
        <f t="shared" si="110"/>
        <v>0.42757945473715925</v>
      </c>
      <c r="T619" s="8">
        <f t="shared" si="111"/>
        <v>11742.8703</v>
      </c>
      <c r="U619" s="8">
        <f t="shared" si="112"/>
        <v>9958.5</v>
      </c>
      <c r="V619" s="9">
        <f t="shared" si="113"/>
        <v>1784.3703000000005</v>
      </c>
      <c r="W619" s="6">
        <f t="shared" si="114"/>
        <v>0.1519535049280073</v>
      </c>
      <c r="X619" t="str" cm="1">
        <f t="array" ref="X619">_xlfn.IFS(S619&lt;=25%, "Low", S619&lt;=75%, "Medium", S619&gt;75%, "High")</f>
        <v>Medium</v>
      </c>
      <c r="Y619" s="8">
        <f>Table1[[#This Row],[Quantity]]*(Table1[[#This Row],[UnitPrice]]*(1-Table1[[#This Row],[DiscountPct]]))</f>
        <v>11742.8703</v>
      </c>
      <c r="Z619" s="9">
        <f t="shared" si="115"/>
        <v>1784.3703000000005</v>
      </c>
      <c r="AA619">
        <f>COUNTIF($G$2:G620,G619)</f>
        <v>54</v>
      </c>
      <c r="AB619" s="21">
        <f t="shared" si="116"/>
        <v>44988</v>
      </c>
      <c r="AC619" s="21">
        <f t="shared" si="117"/>
        <v>45016</v>
      </c>
      <c r="AD619" s="5">
        <f>(Table1[[#This Row],[OrderDate]]-Table1[[#This Row],[Date of first order]])/30</f>
        <v>30.366666666666667</v>
      </c>
      <c r="AE619" t="str">
        <f t="shared" si="118"/>
        <v>Poor</v>
      </c>
      <c r="AF619">
        <f>COUNTIF(AE$2:AE620,AE619)</f>
        <v>449</v>
      </c>
      <c r="AG619" t="str">
        <f t="shared" si="119"/>
        <v>False</v>
      </c>
      <c r="AH619" s="7">
        <f>Table1[[#This Row],[UnitPrice]]*(1-Table1[[#This Row],[Disc Scenario]])*Table1[[#This Row],[Quantity]]</f>
        <v>11742.8703</v>
      </c>
      <c r="AI619">
        <f>ROUNDDOWN((Table1[[#This Row],[Quantity]]*(1+20%)),0)</f>
        <v>18</v>
      </c>
      <c r="AJ619" s="7">
        <f>Table1[[#This Row],[Quantity increase by 20%]]*Table1[[#This Row],[UnitPrice]]</f>
        <v>17059.86</v>
      </c>
      <c r="AK619">
        <f>ROUNDDOWN(Table1[[#This Row],[Quantity]]*(1+20%),0)</f>
        <v>18</v>
      </c>
      <c r="AL619" s="7">
        <f>Table1[[#This Row],[UnitCost]]*(1+15%)</f>
        <v>763.4849999999999</v>
      </c>
      <c r="AM619" s="9">
        <f>Table1[[#This Row],[Quantity]]*Table1[[#This Row],[Cost of unit by inflation 15%]]</f>
        <v>11452.274999999998</v>
      </c>
      <c r="AN619" s="21" cm="1">
        <f t="array" ref="AN619">_xlfn.UNIQUE(AC619)</f>
        <v>45016</v>
      </c>
    </row>
    <row r="620" spans="1:40" x14ac:dyDescent="0.35">
      <c r="A620" t="s">
        <v>29</v>
      </c>
      <c r="B620" s="21">
        <v>45901</v>
      </c>
      <c r="C620" s="10">
        <v>45930</v>
      </c>
      <c r="D620" s="3">
        <f t="shared" si="108"/>
        <v>29</v>
      </c>
      <c r="E620" s="10" t="str">
        <f t="shared" si="109"/>
        <v>Q3-2025</v>
      </c>
      <c r="F620" t="s">
        <v>647</v>
      </c>
      <c r="G620" t="s">
        <v>654</v>
      </c>
      <c r="H620" t="s">
        <v>671</v>
      </c>
      <c r="I620" t="s">
        <v>701</v>
      </c>
      <c r="J620" t="s">
        <v>706</v>
      </c>
      <c r="K620" t="s">
        <v>722</v>
      </c>
      <c r="L620" t="s">
        <v>732</v>
      </c>
      <c r="M620" t="s">
        <v>747</v>
      </c>
      <c r="N620" s="3">
        <v>780.59</v>
      </c>
      <c r="O620" s="3">
        <v>1451.8974000000001</v>
      </c>
      <c r="P620" s="6">
        <v>0</v>
      </c>
      <c r="Q620" s="6">
        <f>IF(Table1[[#This Row],[DiscountPct]]&gt;25%,25%,Table1[[#This Row],[DiscountPct]])</f>
        <v>0</v>
      </c>
      <c r="R620" s="5">
        <v>12</v>
      </c>
      <c r="S620" s="6">
        <f t="shared" si="110"/>
        <v>0.86</v>
      </c>
      <c r="T620" s="8">
        <f t="shared" si="111"/>
        <v>17422.768800000002</v>
      </c>
      <c r="U620" s="8">
        <f t="shared" si="112"/>
        <v>9367.08</v>
      </c>
      <c r="V620" s="9">
        <f t="shared" si="113"/>
        <v>8055.6888000000017</v>
      </c>
      <c r="W620" s="6">
        <f t="shared" si="114"/>
        <v>0.4623655913978495</v>
      </c>
      <c r="X620" t="str" cm="1">
        <f t="array" ref="X620">_xlfn.IFS(S620&lt;=25%, "Low", S620&lt;=75%, "Medium", S620&gt;75%, "High")</f>
        <v>High</v>
      </c>
      <c r="Y620" s="8">
        <f>Table1[[#This Row],[Quantity]]*(Table1[[#This Row],[UnitPrice]]*(1-Table1[[#This Row],[DiscountPct]]))</f>
        <v>17422.768800000002</v>
      </c>
      <c r="Z620" s="9">
        <f t="shared" si="115"/>
        <v>8055.6888000000017</v>
      </c>
      <c r="AA620">
        <f>COUNTIF($G$2:G621,G620)</f>
        <v>60</v>
      </c>
      <c r="AB620" s="21">
        <f t="shared" si="116"/>
        <v>44988</v>
      </c>
      <c r="AC620" s="21">
        <f t="shared" si="117"/>
        <v>45016</v>
      </c>
      <c r="AD620" s="5">
        <f>(Table1[[#This Row],[OrderDate]]-Table1[[#This Row],[Date of first order]])/30</f>
        <v>30.433333333333334</v>
      </c>
      <c r="AE620" t="str">
        <f t="shared" si="118"/>
        <v>Poor</v>
      </c>
      <c r="AF620">
        <f>COUNTIF(AE$2:AE621,AE620)</f>
        <v>450</v>
      </c>
      <c r="AG620" t="str">
        <f t="shared" si="119"/>
        <v>False</v>
      </c>
      <c r="AH620" s="7">
        <f>Table1[[#This Row],[UnitPrice]]*(1-Table1[[#This Row],[Disc Scenario]])*Table1[[#This Row],[Quantity]]</f>
        <v>17422.768800000002</v>
      </c>
      <c r="AI620">
        <f>ROUNDDOWN((Table1[[#This Row],[Quantity]]*(1+20%)),0)</f>
        <v>14</v>
      </c>
      <c r="AJ620" s="7">
        <f>Table1[[#This Row],[Quantity increase by 20%]]*Table1[[#This Row],[UnitPrice]]</f>
        <v>20326.563600000001</v>
      </c>
      <c r="AK620">
        <f>ROUNDDOWN(Table1[[#This Row],[Quantity]]*(1+20%),0)</f>
        <v>14</v>
      </c>
      <c r="AL620" s="7">
        <f>Table1[[#This Row],[UnitCost]]*(1+15%)</f>
        <v>897.67849999999999</v>
      </c>
      <c r="AM620" s="9">
        <f>Table1[[#This Row],[Quantity]]*Table1[[#This Row],[Cost of unit by inflation 15%]]</f>
        <v>10772.142</v>
      </c>
      <c r="AN620" s="21" cm="1">
        <f t="array" ref="AN620">_xlfn.UNIQUE(AC620)</f>
        <v>45016</v>
      </c>
    </row>
    <row r="621" spans="1:40" x14ac:dyDescent="0.35">
      <c r="A621" t="s">
        <v>278</v>
      </c>
      <c r="B621" s="21">
        <v>45902</v>
      </c>
      <c r="C621" s="10">
        <v>45911</v>
      </c>
      <c r="D621" s="3">
        <f t="shared" si="108"/>
        <v>9</v>
      </c>
      <c r="E621" s="10" t="str">
        <f t="shared" si="109"/>
        <v>Q3-2025</v>
      </c>
      <c r="F621" t="s">
        <v>647</v>
      </c>
      <c r="G621" t="s">
        <v>652</v>
      </c>
      <c r="H621" t="s">
        <v>666</v>
      </c>
      <c r="I621" t="s">
        <v>700</v>
      </c>
      <c r="J621" t="s">
        <v>709</v>
      </c>
      <c r="K621" t="s">
        <v>723</v>
      </c>
      <c r="L621" t="s">
        <v>727</v>
      </c>
      <c r="M621" t="s">
        <v>996</v>
      </c>
      <c r="N621" s="3">
        <v>1207.6300000000001</v>
      </c>
      <c r="O621" s="3">
        <v>2209.9629000000004</v>
      </c>
      <c r="P621" s="6">
        <v>0.19600000000000001</v>
      </c>
      <c r="Q621" s="6">
        <f>IF(Table1[[#This Row],[DiscountPct]]&gt;25%,25%,Table1[[#This Row],[DiscountPct]])</f>
        <v>0.19600000000000001</v>
      </c>
      <c r="R621" s="5">
        <v>17</v>
      </c>
      <c r="S621" s="6">
        <f t="shared" si="110"/>
        <v>0.83000000000000018</v>
      </c>
      <c r="T621" s="8">
        <f t="shared" si="111"/>
        <v>30205.772917200007</v>
      </c>
      <c r="U621" s="8">
        <f t="shared" si="112"/>
        <v>20529.710000000003</v>
      </c>
      <c r="V621" s="9">
        <f t="shared" si="113"/>
        <v>9676.0629172000044</v>
      </c>
      <c r="W621" s="6">
        <f t="shared" si="114"/>
        <v>0.32033819971182348</v>
      </c>
      <c r="X621" t="str" cm="1">
        <f t="array" ref="X621">_xlfn.IFS(S621&lt;=25%, "Low", S621&lt;=75%, "Medium", S621&gt;75%, "High")</f>
        <v>High</v>
      </c>
      <c r="Y621" s="8">
        <f>Table1[[#This Row],[Quantity]]*(Table1[[#This Row],[UnitPrice]]*(1-Table1[[#This Row],[DiscountPct]]))</f>
        <v>30205.772917200011</v>
      </c>
      <c r="Z621" s="9">
        <f t="shared" si="115"/>
        <v>9676.0629172000081</v>
      </c>
      <c r="AA621">
        <f>COUNTIF($G$2:G622,G621)</f>
        <v>44</v>
      </c>
      <c r="AB621" s="21">
        <f t="shared" si="116"/>
        <v>44988</v>
      </c>
      <c r="AC621" s="21">
        <f t="shared" si="117"/>
        <v>45016</v>
      </c>
      <c r="AD621" s="5">
        <f>(Table1[[#This Row],[OrderDate]]-Table1[[#This Row],[Date of first order]])/30</f>
        <v>30.466666666666665</v>
      </c>
      <c r="AE621" t="str">
        <f t="shared" si="118"/>
        <v>Poor</v>
      </c>
      <c r="AF621">
        <f>COUNTIF(AE$2:AE622,AE621)</f>
        <v>451</v>
      </c>
      <c r="AG621" t="str">
        <f t="shared" si="119"/>
        <v>False</v>
      </c>
      <c r="AH621" s="7">
        <f>Table1[[#This Row],[UnitPrice]]*(1-Table1[[#This Row],[Disc Scenario]])*Table1[[#This Row],[Quantity]]</f>
        <v>30205.772917200011</v>
      </c>
      <c r="AI621">
        <f>ROUNDDOWN((Table1[[#This Row],[Quantity]]*(1+20%)),0)</f>
        <v>20</v>
      </c>
      <c r="AJ621" s="7">
        <f>Table1[[#This Row],[Quantity increase by 20%]]*Table1[[#This Row],[UnitPrice]]</f>
        <v>44199.258000000009</v>
      </c>
      <c r="AK621">
        <f>ROUNDDOWN(Table1[[#This Row],[Quantity]]*(1+20%),0)</f>
        <v>20</v>
      </c>
      <c r="AL621" s="7">
        <f>Table1[[#This Row],[UnitCost]]*(1+15%)</f>
        <v>1388.7745</v>
      </c>
      <c r="AM621" s="9">
        <f>Table1[[#This Row],[Quantity]]*Table1[[#This Row],[Cost of unit by inflation 15%]]</f>
        <v>23609.166499999999</v>
      </c>
      <c r="AN621" s="21" cm="1">
        <f t="array" ref="AN621">_xlfn.UNIQUE(AC621)</f>
        <v>45016</v>
      </c>
    </row>
    <row r="622" spans="1:40" x14ac:dyDescent="0.35">
      <c r="A622" t="s">
        <v>32</v>
      </c>
      <c r="B622" s="21">
        <v>45908</v>
      </c>
      <c r="C622" s="10">
        <v>45916</v>
      </c>
      <c r="D622" s="3">
        <f t="shared" si="108"/>
        <v>8</v>
      </c>
      <c r="E622" s="10" t="str">
        <f t="shared" si="109"/>
        <v>Q3-2025</v>
      </c>
      <c r="F622" t="s">
        <v>646</v>
      </c>
      <c r="G622" t="s">
        <v>651</v>
      </c>
      <c r="H622" t="s">
        <v>665</v>
      </c>
      <c r="I622" t="s">
        <v>700</v>
      </c>
      <c r="J622" t="s">
        <v>709</v>
      </c>
      <c r="K622" t="s">
        <v>711</v>
      </c>
      <c r="L622" t="s">
        <v>729</v>
      </c>
      <c r="M622" t="s">
        <v>750</v>
      </c>
      <c r="N622" s="3">
        <v>1225.57</v>
      </c>
      <c r="O622" s="3">
        <v>2705.57</v>
      </c>
      <c r="P622" s="6">
        <v>0.183</v>
      </c>
      <c r="Q622" s="6">
        <f>IF(Table1[[#This Row],[DiscountPct]]&gt;25%,25%,Table1[[#This Row],[DiscountPct]])</f>
        <v>0.183</v>
      </c>
      <c r="R622" s="5">
        <v>16</v>
      </c>
      <c r="S622" s="6">
        <f t="shared" si="110"/>
        <v>1.2076013609993719</v>
      </c>
      <c r="T622" s="8">
        <f t="shared" si="111"/>
        <v>35367.211040000002</v>
      </c>
      <c r="U622" s="8">
        <f t="shared" si="112"/>
        <v>19609.12</v>
      </c>
      <c r="V622" s="9">
        <f t="shared" si="113"/>
        <v>15758.091040000003</v>
      </c>
      <c r="W622" s="6">
        <f t="shared" si="114"/>
        <v>0.44555650775453404</v>
      </c>
      <c r="X622" t="str" cm="1">
        <f t="array" ref="X622">_xlfn.IFS(S622&lt;=25%, "Low", S622&lt;=75%, "Medium", S622&gt;75%, "High")</f>
        <v>High</v>
      </c>
      <c r="Y622" s="8">
        <f>Table1[[#This Row],[Quantity]]*(Table1[[#This Row],[UnitPrice]]*(1-Table1[[#This Row],[DiscountPct]]))</f>
        <v>35367.211040000002</v>
      </c>
      <c r="Z622" s="9">
        <f t="shared" si="115"/>
        <v>15758.091040000003</v>
      </c>
      <c r="AA622">
        <f>COUNTIF($G$2:G623,G622)</f>
        <v>57</v>
      </c>
      <c r="AB622" s="21">
        <f t="shared" si="116"/>
        <v>44988</v>
      </c>
      <c r="AC622" s="21">
        <f t="shared" si="117"/>
        <v>45016</v>
      </c>
      <c r="AD622" s="5">
        <f>(Table1[[#This Row],[OrderDate]]-Table1[[#This Row],[Date of first order]])/30</f>
        <v>30.666666666666668</v>
      </c>
      <c r="AE622" t="str">
        <f t="shared" si="118"/>
        <v>Poor</v>
      </c>
      <c r="AF622">
        <f>COUNTIF(AE$2:AE623,AE622)</f>
        <v>452</v>
      </c>
      <c r="AG622" t="str">
        <f t="shared" si="119"/>
        <v>False</v>
      </c>
      <c r="AH622" s="7">
        <f>Table1[[#This Row],[UnitPrice]]*(1-Table1[[#This Row],[Disc Scenario]])*Table1[[#This Row],[Quantity]]</f>
        <v>35367.211040000002</v>
      </c>
      <c r="AI622">
        <f>ROUNDDOWN((Table1[[#This Row],[Quantity]]*(1+20%)),0)</f>
        <v>19</v>
      </c>
      <c r="AJ622" s="7">
        <f>Table1[[#This Row],[Quantity increase by 20%]]*Table1[[#This Row],[UnitPrice]]</f>
        <v>51405.83</v>
      </c>
      <c r="AK622">
        <f>ROUNDDOWN(Table1[[#This Row],[Quantity]]*(1+20%),0)</f>
        <v>19</v>
      </c>
      <c r="AL622" s="7">
        <f>Table1[[#This Row],[UnitCost]]*(1+15%)</f>
        <v>1409.4054999999998</v>
      </c>
      <c r="AM622" s="9">
        <f>Table1[[#This Row],[Quantity]]*Table1[[#This Row],[Cost of unit by inflation 15%]]</f>
        <v>22550.487999999998</v>
      </c>
      <c r="AN622" s="21" cm="1">
        <f t="array" ref="AN622">_xlfn.UNIQUE(AC622)</f>
        <v>45016</v>
      </c>
    </row>
    <row r="623" spans="1:40" x14ac:dyDescent="0.35">
      <c r="A623" t="s">
        <v>512</v>
      </c>
      <c r="B623" s="21">
        <v>45908</v>
      </c>
      <c r="C623" s="10">
        <v>45935</v>
      </c>
      <c r="D623" s="3">
        <f t="shared" si="108"/>
        <v>27</v>
      </c>
      <c r="E623" s="10" t="str">
        <f t="shared" si="109"/>
        <v>Q3-2025</v>
      </c>
      <c r="F623" t="s">
        <v>647</v>
      </c>
      <c r="G623" t="s">
        <v>654</v>
      </c>
      <c r="H623" t="s">
        <v>691</v>
      </c>
      <c r="I623" t="s">
        <v>701</v>
      </c>
      <c r="J623" t="s">
        <v>707</v>
      </c>
      <c r="K623" t="s">
        <v>711</v>
      </c>
      <c r="L623" t="s">
        <v>731</v>
      </c>
      <c r="M623" t="s">
        <v>1229</v>
      </c>
      <c r="N623" s="3">
        <v>660.78</v>
      </c>
      <c r="O623" s="3">
        <v>1630.39</v>
      </c>
      <c r="P623" s="6">
        <v>0.218</v>
      </c>
      <c r="Q623" s="6">
        <f>IF(Table1[[#This Row],[DiscountPct]]&gt;25%,25%,Table1[[#This Row],[DiscountPct]])</f>
        <v>0.218</v>
      </c>
      <c r="R623" s="5">
        <v>13</v>
      </c>
      <c r="S623" s="6">
        <f t="shared" si="110"/>
        <v>1.4673718938224525</v>
      </c>
      <c r="T623" s="8">
        <f t="shared" si="111"/>
        <v>16574.544740000001</v>
      </c>
      <c r="U623" s="8">
        <f t="shared" si="112"/>
        <v>8590.14</v>
      </c>
      <c r="V623" s="9">
        <f t="shared" si="113"/>
        <v>7984.4047400000018</v>
      </c>
      <c r="W623" s="6">
        <f t="shared" si="114"/>
        <v>0.48172694123724097</v>
      </c>
      <c r="X623" t="str" cm="1">
        <f t="array" ref="X623">_xlfn.IFS(S623&lt;=25%, "Low", S623&lt;=75%, "Medium", S623&gt;75%, "High")</f>
        <v>High</v>
      </c>
      <c r="Y623" s="8">
        <f>Table1[[#This Row],[Quantity]]*(Table1[[#This Row],[UnitPrice]]*(1-Table1[[#This Row],[DiscountPct]]))</f>
        <v>16574.544740000001</v>
      </c>
      <c r="Z623" s="9">
        <f t="shared" si="115"/>
        <v>7984.4047400000018</v>
      </c>
      <c r="AA623">
        <f>COUNTIF($G$2:G624,G623)</f>
        <v>61</v>
      </c>
      <c r="AB623" s="21">
        <f t="shared" si="116"/>
        <v>44988</v>
      </c>
      <c r="AC623" s="21">
        <f t="shared" si="117"/>
        <v>45016</v>
      </c>
      <c r="AD623" s="5">
        <f>(Table1[[#This Row],[OrderDate]]-Table1[[#This Row],[Date of first order]])/30</f>
        <v>30.666666666666668</v>
      </c>
      <c r="AE623" t="str">
        <f t="shared" si="118"/>
        <v>Poor</v>
      </c>
      <c r="AF623">
        <f>COUNTIF(AE$2:AE624,AE623)</f>
        <v>452</v>
      </c>
      <c r="AG623" t="str">
        <f t="shared" si="119"/>
        <v>True</v>
      </c>
      <c r="AH623" s="7">
        <f>Table1[[#This Row],[UnitPrice]]*(1-Table1[[#This Row],[Disc Scenario]])*Table1[[#This Row],[Quantity]]</f>
        <v>16574.544740000001</v>
      </c>
      <c r="AI623">
        <f>ROUNDDOWN((Table1[[#This Row],[Quantity]]*(1+20%)),0)</f>
        <v>15</v>
      </c>
      <c r="AJ623" s="7">
        <f>Table1[[#This Row],[Quantity increase by 20%]]*Table1[[#This Row],[UnitPrice]]</f>
        <v>24455.850000000002</v>
      </c>
      <c r="AK623">
        <f>ROUNDDOWN(Table1[[#This Row],[Quantity]]*(1+20%),0)</f>
        <v>15</v>
      </c>
      <c r="AL623" s="7">
        <f>Table1[[#This Row],[UnitCost]]*(1+15%)</f>
        <v>759.89699999999993</v>
      </c>
      <c r="AM623" s="9">
        <f>Table1[[#This Row],[Quantity]]*Table1[[#This Row],[Cost of unit by inflation 15%]]</f>
        <v>9878.6610000000001</v>
      </c>
      <c r="AN623" s="21" cm="1">
        <f t="array" ref="AN623">_xlfn.UNIQUE(AC623)</f>
        <v>45016</v>
      </c>
    </row>
    <row r="624" spans="1:40" x14ac:dyDescent="0.35">
      <c r="A624" t="s">
        <v>76</v>
      </c>
      <c r="B624" s="21">
        <v>45910</v>
      </c>
      <c r="C624" s="10">
        <v>45912</v>
      </c>
      <c r="D624" s="3">
        <f t="shared" si="108"/>
        <v>2</v>
      </c>
      <c r="E624" s="10" t="str">
        <f t="shared" si="109"/>
        <v>Q3-2025</v>
      </c>
      <c r="F624" t="s">
        <v>646</v>
      </c>
      <c r="G624" t="s">
        <v>651</v>
      </c>
      <c r="H624" t="s">
        <v>688</v>
      </c>
      <c r="I624" t="s">
        <v>703</v>
      </c>
      <c r="J624" t="s">
        <v>707</v>
      </c>
      <c r="K624" t="s">
        <v>718</v>
      </c>
      <c r="L624" t="s">
        <v>726</v>
      </c>
      <c r="M624" t="s">
        <v>794</v>
      </c>
      <c r="N624" s="3">
        <v>1470.15</v>
      </c>
      <c r="O624" s="3">
        <v>2593.7800000000002</v>
      </c>
      <c r="P624" s="6">
        <v>0.11</v>
      </c>
      <c r="Q624" s="6">
        <f>IF(Table1[[#This Row],[DiscountPct]]&gt;25%,25%,Table1[[#This Row],[DiscountPct]])</f>
        <v>0.11</v>
      </c>
      <c r="R624" s="5">
        <v>12</v>
      </c>
      <c r="S624" s="6">
        <f t="shared" si="110"/>
        <v>0.7642961602557562</v>
      </c>
      <c r="T624" s="8">
        <f t="shared" si="111"/>
        <v>27701.570400000001</v>
      </c>
      <c r="U624" s="8">
        <f t="shared" si="112"/>
        <v>17641.800000000003</v>
      </c>
      <c r="V624" s="9">
        <f t="shared" si="113"/>
        <v>10059.770399999998</v>
      </c>
      <c r="W624" s="6">
        <f t="shared" si="114"/>
        <v>0.36314801849645306</v>
      </c>
      <c r="X624" t="str" cm="1">
        <f t="array" ref="X624">_xlfn.IFS(S624&lt;=25%, "Low", S624&lt;=75%, "Medium", S624&gt;75%, "High")</f>
        <v>High</v>
      </c>
      <c r="Y624" s="8">
        <f>Table1[[#This Row],[Quantity]]*(Table1[[#This Row],[UnitPrice]]*(1-Table1[[#This Row],[DiscountPct]]))</f>
        <v>27701.570400000004</v>
      </c>
      <c r="Z624" s="9">
        <f t="shared" si="115"/>
        <v>10059.770400000001</v>
      </c>
      <c r="AA624">
        <f>COUNTIF($G$2:G625,G624)</f>
        <v>58</v>
      </c>
      <c r="AB624" s="21">
        <f t="shared" si="116"/>
        <v>44988</v>
      </c>
      <c r="AC624" s="21">
        <f t="shared" si="117"/>
        <v>45016</v>
      </c>
      <c r="AD624" s="5">
        <f>(Table1[[#This Row],[OrderDate]]-Table1[[#This Row],[Date of first order]])/30</f>
        <v>30.733333333333334</v>
      </c>
      <c r="AE624" t="str">
        <f t="shared" si="118"/>
        <v>Good</v>
      </c>
      <c r="AF624">
        <f>COUNTIF(AE$2:AE625,AE624)</f>
        <v>171</v>
      </c>
      <c r="AG624" t="str">
        <f t="shared" si="119"/>
        <v>False</v>
      </c>
      <c r="AH624" s="7">
        <f>Table1[[#This Row],[UnitPrice]]*(1-Table1[[#This Row],[Disc Scenario]])*Table1[[#This Row],[Quantity]]</f>
        <v>27701.570400000004</v>
      </c>
      <c r="AI624">
        <f>ROUNDDOWN((Table1[[#This Row],[Quantity]]*(1+20%)),0)</f>
        <v>14</v>
      </c>
      <c r="AJ624" s="7">
        <f>Table1[[#This Row],[Quantity increase by 20%]]*Table1[[#This Row],[UnitPrice]]</f>
        <v>36312.920000000006</v>
      </c>
      <c r="AK624">
        <f>ROUNDDOWN(Table1[[#This Row],[Quantity]]*(1+20%),0)</f>
        <v>14</v>
      </c>
      <c r="AL624" s="7">
        <f>Table1[[#This Row],[UnitCost]]*(1+15%)</f>
        <v>1690.6724999999999</v>
      </c>
      <c r="AM624" s="9">
        <f>Table1[[#This Row],[Quantity]]*Table1[[#This Row],[Cost of unit by inflation 15%]]</f>
        <v>20288.07</v>
      </c>
      <c r="AN624" s="21" cm="1">
        <f t="array" ref="AN624">_xlfn.UNIQUE(AC624)</f>
        <v>45016</v>
      </c>
    </row>
    <row r="625" spans="1:40" x14ac:dyDescent="0.35">
      <c r="A625" t="s">
        <v>109</v>
      </c>
      <c r="B625" s="21">
        <v>45910</v>
      </c>
      <c r="C625" s="10">
        <v>45930</v>
      </c>
      <c r="D625" s="3">
        <f t="shared" si="108"/>
        <v>20</v>
      </c>
      <c r="E625" s="10" t="str">
        <f t="shared" si="109"/>
        <v>Q3-2025</v>
      </c>
      <c r="F625" t="s">
        <v>645</v>
      </c>
      <c r="G625" t="s">
        <v>649</v>
      </c>
      <c r="H625" t="s">
        <v>674</v>
      </c>
      <c r="I625" t="s">
        <v>700</v>
      </c>
      <c r="J625" t="s">
        <v>710</v>
      </c>
      <c r="K625" t="s">
        <v>715</v>
      </c>
      <c r="L625" t="s">
        <v>729</v>
      </c>
      <c r="M625" t="s">
        <v>827</v>
      </c>
      <c r="N625" s="3">
        <v>1009.48</v>
      </c>
      <c r="O625" s="3">
        <v>1088.81</v>
      </c>
      <c r="P625" s="6">
        <v>0.16</v>
      </c>
      <c r="Q625" s="6">
        <f>IF(Table1[[#This Row],[DiscountPct]]&gt;25%,25%,Table1[[#This Row],[DiscountPct]])</f>
        <v>0.16</v>
      </c>
      <c r="R625" s="5">
        <v>6</v>
      </c>
      <c r="S625" s="6">
        <f t="shared" si="110"/>
        <v>7.8585014066648098E-2</v>
      </c>
      <c r="T625" s="8">
        <f t="shared" si="111"/>
        <v>5487.6023999999998</v>
      </c>
      <c r="U625" s="8">
        <f t="shared" si="112"/>
        <v>6056.88</v>
      </c>
      <c r="V625" s="9">
        <f t="shared" si="113"/>
        <v>-569.27760000000035</v>
      </c>
      <c r="W625" s="6">
        <f t="shared" si="114"/>
        <v>-0.10373885688219693</v>
      </c>
      <c r="X625" t="str" cm="1">
        <f t="array" ref="X625">_xlfn.IFS(S625&lt;=25%, "Low", S625&lt;=75%, "Medium", S625&gt;75%, "High")</f>
        <v>Low</v>
      </c>
      <c r="Y625" s="8">
        <f>Table1[[#This Row],[Quantity]]*(Table1[[#This Row],[UnitPrice]]*(1-Table1[[#This Row],[DiscountPct]]))</f>
        <v>5487.6023999999998</v>
      </c>
      <c r="Z625" s="9">
        <f t="shared" si="115"/>
        <v>-569.27760000000035</v>
      </c>
      <c r="AA625">
        <f>COUNTIF($G$2:G626,G625)</f>
        <v>56</v>
      </c>
      <c r="AB625" s="21">
        <f t="shared" si="116"/>
        <v>44988</v>
      </c>
      <c r="AC625" s="21">
        <f t="shared" si="117"/>
        <v>45016</v>
      </c>
      <c r="AD625" s="5">
        <f>(Table1[[#This Row],[OrderDate]]-Table1[[#This Row],[Date of first order]])/30</f>
        <v>30.733333333333334</v>
      </c>
      <c r="AE625" t="str">
        <f t="shared" si="118"/>
        <v>Poor</v>
      </c>
      <c r="AF625">
        <f>COUNTIF(AE$2:AE626,AE625)</f>
        <v>454</v>
      </c>
      <c r="AG625" t="str">
        <f t="shared" si="119"/>
        <v>False</v>
      </c>
      <c r="AH625" s="7">
        <f>Table1[[#This Row],[UnitPrice]]*(1-Table1[[#This Row],[Disc Scenario]])*Table1[[#This Row],[Quantity]]</f>
        <v>5487.6023999999998</v>
      </c>
      <c r="AI625">
        <f>ROUNDDOWN((Table1[[#This Row],[Quantity]]*(1+20%)),0)</f>
        <v>7</v>
      </c>
      <c r="AJ625" s="7">
        <f>Table1[[#This Row],[Quantity increase by 20%]]*Table1[[#This Row],[UnitPrice]]</f>
        <v>7621.67</v>
      </c>
      <c r="AK625">
        <f>ROUNDDOWN(Table1[[#This Row],[Quantity]]*(1+20%),0)</f>
        <v>7</v>
      </c>
      <c r="AL625" s="7">
        <f>Table1[[#This Row],[UnitCost]]*(1+15%)</f>
        <v>1160.902</v>
      </c>
      <c r="AM625" s="9">
        <f>Table1[[#This Row],[Quantity]]*Table1[[#This Row],[Cost of unit by inflation 15%]]</f>
        <v>6965.4120000000003</v>
      </c>
      <c r="AN625" s="21" cm="1">
        <f t="array" ref="AN625">_xlfn.UNIQUE(AC625)</f>
        <v>45016</v>
      </c>
    </row>
    <row r="626" spans="1:40" x14ac:dyDescent="0.35">
      <c r="A626" t="s">
        <v>160</v>
      </c>
      <c r="B626" s="21">
        <v>45911</v>
      </c>
      <c r="C626" s="10">
        <v>45928</v>
      </c>
      <c r="D626" s="3">
        <f t="shared" si="108"/>
        <v>17</v>
      </c>
      <c r="E626" s="10" t="str">
        <f t="shared" si="109"/>
        <v>Q3-2025</v>
      </c>
      <c r="F626" t="s">
        <v>645</v>
      </c>
      <c r="G626" t="s">
        <v>649</v>
      </c>
      <c r="H626" t="s">
        <v>663</v>
      </c>
      <c r="I626" t="s">
        <v>702</v>
      </c>
      <c r="J626" t="s">
        <v>709</v>
      </c>
      <c r="K626" t="s">
        <v>712</v>
      </c>
      <c r="L626" t="s">
        <v>730</v>
      </c>
      <c r="M626" t="s">
        <v>878</v>
      </c>
      <c r="N626" s="3">
        <v>891.46</v>
      </c>
      <c r="O626" s="3">
        <v>1765.0907999999999</v>
      </c>
      <c r="P626" s="6">
        <v>0.185</v>
      </c>
      <c r="Q626" s="6">
        <f>IF(Table1[[#This Row],[DiscountPct]]&gt;25%,25%,Table1[[#This Row],[DiscountPct]])</f>
        <v>0.185</v>
      </c>
      <c r="R626" s="5">
        <v>6</v>
      </c>
      <c r="S626" s="6">
        <f t="shared" si="110"/>
        <v>0.97999999999999987</v>
      </c>
      <c r="T626" s="8">
        <f t="shared" si="111"/>
        <v>8631.2940119999985</v>
      </c>
      <c r="U626" s="8">
        <f t="shared" si="112"/>
        <v>5348.76</v>
      </c>
      <c r="V626" s="9">
        <f t="shared" si="113"/>
        <v>3282.5340119999983</v>
      </c>
      <c r="W626" s="6">
        <f t="shared" si="114"/>
        <v>0.38030612877238629</v>
      </c>
      <c r="X626" t="str" cm="1">
        <f t="array" ref="X626">_xlfn.IFS(S626&lt;=25%, "Low", S626&lt;=75%, "Medium", S626&gt;75%, "High")</f>
        <v>High</v>
      </c>
      <c r="Y626" s="8">
        <f>Table1[[#This Row],[Quantity]]*(Table1[[#This Row],[UnitPrice]]*(1-Table1[[#This Row],[DiscountPct]]))</f>
        <v>8631.2940120000003</v>
      </c>
      <c r="Z626" s="9">
        <f t="shared" si="115"/>
        <v>3282.5340120000001</v>
      </c>
      <c r="AA626">
        <f>COUNTIF($G$2:G627,G626)</f>
        <v>56</v>
      </c>
      <c r="AB626" s="21">
        <f t="shared" si="116"/>
        <v>44988</v>
      </c>
      <c r="AC626" s="21">
        <f t="shared" si="117"/>
        <v>45016</v>
      </c>
      <c r="AD626" s="5">
        <f>(Table1[[#This Row],[OrderDate]]-Table1[[#This Row],[Date of first order]])/30</f>
        <v>30.766666666666666</v>
      </c>
      <c r="AE626" t="str">
        <f t="shared" si="118"/>
        <v>Poor</v>
      </c>
      <c r="AF626">
        <f>COUNTIF(AE$2:AE627,AE626)</f>
        <v>455</v>
      </c>
      <c r="AG626" t="str">
        <f t="shared" si="119"/>
        <v>False</v>
      </c>
      <c r="AH626" s="7">
        <f>Table1[[#This Row],[UnitPrice]]*(1-Table1[[#This Row],[Disc Scenario]])*Table1[[#This Row],[Quantity]]</f>
        <v>8631.2940120000003</v>
      </c>
      <c r="AI626">
        <f>ROUNDDOWN((Table1[[#This Row],[Quantity]]*(1+20%)),0)</f>
        <v>7</v>
      </c>
      <c r="AJ626" s="7">
        <f>Table1[[#This Row],[Quantity increase by 20%]]*Table1[[#This Row],[UnitPrice]]</f>
        <v>12355.6356</v>
      </c>
      <c r="AK626">
        <f>ROUNDDOWN(Table1[[#This Row],[Quantity]]*(1+20%),0)</f>
        <v>7</v>
      </c>
      <c r="AL626" s="7">
        <f>Table1[[#This Row],[UnitCost]]*(1+15%)</f>
        <v>1025.1789999999999</v>
      </c>
      <c r="AM626" s="9">
        <f>Table1[[#This Row],[Quantity]]*Table1[[#This Row],[Cost of unit by inflation 15%]]</f>
        <v>6151.0739999999987</v>
      </c>
      <c r="AN626" s="21" cm="1">
        <f t="array" ref="AN626">_xlfn.UNIQUE(AC626)</f>
        <v>45016</v>
      </c>
    </row>
    <row r="627" spans="1:40" x14ac:dyDescent="0.35">
      <c r="A627" t="s">
        <v>262</v>
      </c>
      <c r="B627" s="21">
        <v>45912</v>
      </c>
      <c r="C627" s="10">
        <v>45930</v>
      </c>
      <c r="D627" s="3">
        <f t="shared" si="108"/>
        <v>18</v>
      </c>
      <c r="E627" s="10" t="str">
        <f t="shared" si="109"/>
        <v>Q3-2025</v>
      </c>
      <c r="F627" t="s">
        <v>646</v>
      </c>
      <c r="G627" t="s">
        <v>651</v>
      </c>
      <c r="H627" t="s">
        <v>693</v>
      </c>
      <c r="I627" t="s">
        <v>702</v>
      </c>
      <c r="J627" t="s">
        <v>708</v>
      </c>
      <c r="K627" t="s">
        <v>720</v>
      </c>
      <c r="L627" t="s">
        <v>731</v>
      </c>
      <c r="M627" t="s">
        <v>980</v>
      </c>
      <c r="N627" s="3">
        <v>1212.99</v>
      </c>
      <c r="O627" s="3">
        <v>1653.64</v>
      </c>
      <c r="P627" s="6">
        <v>0.107</v>
      </c>
      <c r="Q627" s="6">
        <f>IF(Table1[[#This Row],[DiscountPct]]&gt;25%,25%,Table1[[#This Row],[DiscountPct]])</f>
        <v>0.107</v>
      </c>
      <c r="R627" s="5">
        <v>8</v>
      </c>
      <c r="S627" s="6">
        <f t="shared" si="110"/>
        <v>0.36327587201873063</v>
      </c>
      <c r="T627" s="8">
        <f t="shared" si="111"/>
        <v>11813.604160000001</v>
      </c>
      <c r="U627" s="8">
        <f t="shared" si="112"/>
        <v>9703.92</v>
      </c>
      <c r="V627" s="9">
        <f t="shared" si="113"/>
        <v>2109.6841600000007</v>
      </c>
      <c r="W627" s="6">
        <f t="shared" si="114"/>
        <v>0.17858090819931455</v>
      </c>
      <c r="X627" t="str" cm="1">
        <f t="array" ref="X627">_xlfn.IFS(S627&lt;=25%, "Low", S627&lt;=75%, "Medium", S627&gt;75%, "High")</f>
        <v>Medium</v>
      </c>
      <c r="Y627" s="8">
        <f>Table1[[#This Row],[Quantity]]*(Table1[[#This Row],[UnitPrice]]*(1-Table1[[#This Row],[DiscountPct]]))</f>
        <v>11813.604160000001</v>
      </c>
      <c r="Z627" s="9">
        <f t="shared" si="115"/>
        <v>2109.6841600000007</v>
      </c>
      <c r="AA627">
        <f>COUNTIF($G$2:G628,G627)</f>
        <v>59</v>
      </c>
      <c r="AB627" s="21">
        <f t="shared" si="116"/>
        <v>44988</v>
      </c>
      <c r="AC627" s="21">
        <f t="shared" si="117"/>
        <v>45016</v>
      </c>
      <c r="AD627" s="5">
        <f>(Table1[[#This Row],[OrderDate]]-Table1[[#This Row],[Date of first order]])/30</f>
        <v>30.8</v>
      </c>
      <c r="AE627" t="str">
        <f t="shared" si="118"/>
        <v>Poor</v>
      </c>
      <c r="AF627">
        <f>COUNTIF(AE$2:AE628,AE627)</f>
        <v>456</v>
      </c>
      <c r="AG627" t="str">
        <f t="shared" si="119"/>
        <v>False</v>
      </c>
      <c r="AH627" s="7">
        <f>Table1[[#This Row],[UnitPrice]]*(1-Table1[[#This Row],[Disc Scenario]])*Table1[[#This Row],[Quantity]]</f>
        <v>11813.604160000001</v>
      </c>
      <c r="AI627">
        <f>ROUNDDOWN((Table1[[#This Row],[Quantity]]*(1+20%)),0)</f>
        <v>9</v>
      </c>
      <c r="AJ627" s="7">
        <f>Table1[[#This Row],[Quantity increase by 20%]]*Table1[[#This Row],[UnitPrice]]</f>
        <v>14882.76</v>
      </c>
      <c r="AK627">
        <f>ROUNDDOWN(Table1[[#This Row],[Quantity]]*(1+20%),0)</f>
        <v>9</v>
      </c>
      <c r="AL627" s="7">
        <f>Table1[[#This Row],[UnitCost]]*(1+15%)</f>
        <v>1394.9385</v>
      </c>
      <c r="AM627" s="9">
        <f>Table1[[#This Row],[Quantity]]*Table1[[#This Row],[Cost of unit by inflation 15%]]</f>
        <v>11159.508</v>
      </c>
      <c r="AN627" s="21" cm="1">
        <f t="array" ref="AN627">_xlfn.UNIQUE(AC627)</f>
        <v>45016</v>
      </c>
    </row>
    <row r="628" spans="1:40" x14ac:dyDescent="0.35">
      <c r="A628" t="s">
        <v>411</v>
      </c>
      <c r="B628" s="21">
        <v>45914</v>
      </c>
      <c r="C628" s="10">
        <v>45923</v>
      </c>
      <c r="D628" s="3">
        <f t="shared" si="108"/>
        <v>9</v>
      </c>
      <c r="E628" s="10" t="str">
        <f t="shared" si="109"/>
        <v>Q3-2025</v>
      </c>
      <c r="F628" t="s">
        <v>645</v>
      </c>
      <c r="G628" t="s">
        <v>660</v>
      </c>
      <c r="H628" t="s">
        <v>686</v>
      </c>
      <c r="I628" t="s">
        <v>702</v>
      </c>
      <c r="J628" t="s">
        <v>707</v>
      </c>
      <c r="K628" t="s">
        <v>725</v>
      </c>
      <c r="L628" t="s">
        <v>726</v>
      </c>
      <c r="M628" t="s">
        <v>1128</v>
      </c>
      <c r="N628" s="3">
        <v>1310.3</v>
      </c>
      <c r="O628" s="3">
        <v>2875.8</v>
      </c>
      <c r="P628" s="6">
        <v>8.3000000000000004E-2</v>
      </c>
      <c r="Q628" s="6">
        <f>IF(Table1[[#This Row],[DiscountPct]]&gt;25%,25%,Table1[[#This Row],[DiscountPct]])</f>
        <v>8.3000000000000004E-2</v>
      </c>
      <c r="R628" s="5">
        <v>5</v>
      </c>
      <c r="S628" s="6">
        <f t="shared" si="110"/>
        <v>1.19476455773487</v>
      </c>
      <c r="T628" s="8">
        <f t="shared" si="111"/>
        <v>13185.543</v>
      </c>
      <c r="U628" s="8">
        <f t="shared" si="112"/>
        <v>6551.5</v>
      </c>
      <c r="V628" s="9">
        <f t="shared" si="113"/>
        <v>6634.0429999999997</v>
      </c>
      <c r="W628" s="6">
        <f t="shared" si="114"/>
        <v>0.50313005691157353</v>
      </c>
      <c r="X628" t="str" cm="1">
        <f t="array" ref="X628">_xlfn.IFS(S628&lt;=25%, "Low", S628&lt;=75%, "Medium", S628&gt;75%, "High")</f>
        <v>High</v>
      </c>
      <c r="Y628" s="8">
        <f>Table1[[#This Row],[Quantity]]*(Table1[[#This Row],[UnitPrice]]*(1-Table1[[#This Row],[DiscountPct]]))</f>
        <v>13185.543000000001</v>
      </c>
      <c r="Z628" s="9">
        <f t="shared" si="115"/>
        <v>6634.0430000000015</v>
      </c>
      <c r="AA628">
        <f>COUNTIF($G$2:G629,G628)</f>
        <v>45</v>
      </c>
      <c r="AB628" s="21">
        <f t="shared" si="116"/>
        <v>44988</v>
      </c>
      <c r="AC628" s="21">
        <f t="shared" si="117"/>
        <v>45016</v>
      </c>
      <c r="AD628" s="5">
        <f>(Table1[[#This Row],[OrderDate]]-Table1[[#This Row],[Date of first order]])/30</f>
        <v>30.866666666666667</v>
      </c>
      <c r="AE628" t="str">
        <f t="shared" si="118"/>
        <v>Poor</v>
      </c>
      <c r="AF628">
        <f>COUNTIF(AE$2:AE629,AE628)</f>
        <v>457</v>
      </c>
      <c r="AG628" t="str">
        <f t="shared" si="119"/>
        <v>False</v>
      </c>
      <c r="AH628" s="7">
        <f>Table1[[#This Row],[UnitPrice]]*(1-Table1[[#This Row],[Disc Scenario]])*Table1[[#This Row],[Quantity]]</f>
        <v>13185.543000000001</v>
      </c>
      <c r="AI628">
        <f>ROUNDDOWN((Table1[[#This Row],[Quantity]]*(1+20%)),0)</f>
        <v>6</v>
      </c>
      <c r="AJ628" s="7">
        <f>Table1[[#This Row],[Quantity increase by 20%]]*Table1[[#This Row],[UnitPrice]]</f>
        <v>17254.800000000003</v>
      </c>
      <c r="AK628">
        <f>ROUNDDOWN(Table1[[#This Row],[Quantity]]*(1+20%),0)</f>
        <v>6</v>
      </c>
      <c r="AL628" s="7">
        <f>Table1[[#This Row],[UnitCost]]*(1+15%)</f>
        <v>1506.8449999999998</v>
      </c>
      <c r="AM628" s="9">
        <f>Table1[[#This Row],[Quantity]]*Table1[[#This Row],[Cost of unit by inflation 15%]]</f>
        <v>7534.2249999999985</v>
      </c>
      <c r="AN628" s="21" cm="1">
        <f t="array" ref="AN628">_xlfn.UNIQUE(AC628)</f>
        <v>45016</v>
      </c>
    </row>
    <row r="629" spans="1:40" x14ac:dyDescent="0.35">
      <c r="A629" t="s">
        <v>344</v>
      </c>
      <c r="B629" s="21">
        <v>45914</v>
      </c>
      <c r="C629" s="10">
        <v>45926</v>
      </c>
      <c r="D629" s="3">
        <f t="shared" si="108"/>
        <v>12</v>
      </c>
      <c r="E629" s="10" t="str">
        <f t="shared" si="109"/>
        <v>Q3-2025</v>
      </c>
      <c r="F629" t="s">
        <v>648</v>
      </c>
      <c r="G629" t="s">
        <v>657</v>
      </c>
      <c r="H629" t="s">
        <v>682</v>
      </c>
      <c r="I629" t="s">
        <v>704</v>
      </c>
      <c r="J629" t="s">
        <v>710</v>
      </c>
      <c r="K629" t="s">
        <v>724</v>
      </c>
      <c r="L629" t="s">
        <v>728</v>
      </c>
      <c r="M629" t="s">
        <v>1062</v>
      </c>
      <c r="N629" s="3">
        <v>425.15</v>
      </c>
      <c r="O629" s="3">
        <v>885.92</v>
      </c>
      <c r="P629" s="6">
        <v>0.23899999999999999</v>
      </c>
      <c r="Q629" s="6">
        <f>IF(Table1[[#This Row],[DiscountPct]]&gt;25%,25%,Table1[[#This Row],[DiscountPct]])</f>
        <v>0.23899999999999999</v>
      </c>
      <c r="R629" s="5">
        <v>13</v>
      </c>
      <c r="S629" s="6">
        <f t="shared" si="110"/>
        <v>1.0837821945195814</v>
      </c>
      <c r="T629" s="8">
        <f t="shared" si="111"/>
        <v>8764.4065599999994</v>
      </c>
      <c r="U629" s="8">
        <f t="shared" si="112"/>
        <v>5526.95</v>
      </c>
      <c r="V629" s="9">
        <f t="shared" si="113"/>
        <v>3237.4565599999996</v>
      </c>
      <c r="W629" s="6">
        <f t="shared" si="114"/>
        <v>0.3693868532725848</v>
      </c>
      <c r="X629" t="str" cm="1">
        <f t="array" ref="X629">_xlfn.IFS(S629&lt;=25%, "Low", S629&lt;=75%, "Medium", S629&gt;75%, "High")</f>
        <v>High</v>
      </c>
      <c r="Y629" s="8">
        <f>Table1[[#This Row],[Quantity]]*(Table1[[#This Row],[UnitPrice]]*(1-Table1[[#This Row],[DiscountPct]]))</f>
        <v>8764.4065599999994</v>
      </c>
      <c r="Z629" s="9">
        <f t="shared" si="115"/>
        <v>3237.4565599999996</v>
      </c>
      <c r="AA629">
        <f>COUNTIF($G$2:G630,G629)</f>
        <v>54</v>
      </c>
      <c r="AB629" s="21">
        <f t="shared" si="116"/>
        <v>44988</v>
      </c>
      <c r="AC629" s="21">
        <f t="shared" si="117"/>
        <v>45016</v>
      </c>
      <c r="AD629" s="5">
        <f>(Table1[[#This Row],[OrderDate]]-Table1[[#This Row],[Date of first order]])/30</f>
        <v>30.866666666666667</v>
      </c>
      <c r="AE629" t="str">
        <f t="shared" si="118"/>
        <v>Poor</v>
      </c>
      <c r="AF629">
        <f>COUNTIF(AE$2:AE630,AE629)</f>
        <v>458</v>
      </c>
      <c r="AG629" t="str">
        <f t="shared" si="119"/>
        <v>True</v>
      </c>
      <c r="AH629" s="7">
        <f>Table1[[#This Row],[UnitPrice]]*(1-Table1[[#This Row],[Disc Scenario]])*Table1[[#This Row],[Quantity]]</f>
        <v>8764.4065599999994</v>
      </c>
      <c r="AI629">
        <f>ROUNDDOWN((Table1[[#This Row],[Quantity]]*(1+20%)),0)</f>
        <v>15</v>
      </c>
      <c r="AJ629" s="7">
        <f>Table1[[#This Row],[Quantity increase by 20%]]*Table1[[#This Row],[UnitPrice]]</f>
        <v>13288.8</v>
      </c>
      <c r="AK629">
        <f>ROUNDDOWN(Table1[[#This Row],[Quantity]]*(1+20%),0)</f>
        <v>15</v>
      </c>
      <c r="AL629" s="7">
        <f>Table1[[#This Row],[UnitCost]]*(1+15%)</f>
        <v>488.92249999999996</v>
      </c>
      <c r="AM629" s="9">
        <f>Table1[[#This Row],[Quantity]]*Table1[[#This Row],[Cost of unit by inflation 15%]]</f>
        <v>6355.9924999999994</v>
      </c>
      <c r="AN629" s="21" cm="1">
        <f t="array" ref="AN629">_xlfn.UNIQUE(AC629)</f>
        <v>45016</v>
      </c>
    </row>
    <row r="630" spans="1:40" x14ac:dyDescent="0.35">
      <c r="A630" t="s">
        <v>436</v>
      </c>
      <c r="B630" s="21">
        <v>45915</v>
      </c>
      <c r="C630" s="10">
        <v>45925</v>
      </c>
      <c r="D630" s="3">
        <f t="shared" si="108"/>
        <v>10</v>
      </c>
      <c r="E630" s="10" t="str">
        <f t="shared" si="109"/>
        <v>Q3-2025</v>
      </c>
      <c r="F630" t="s">
        <v>646</v>
      </c>
      <c r="G630" t="s">
        <v>653</v>
      </c>
      <c r="H630" t="s">
        <v>679</v>
      </c>
      <c r="I630" t="s">
        <v>703</v>
      </c>
      <c r="J630" t="s">
        <v>706</v>
      </c>
      <c r="K630" t="s">
        <v>719</v>
      </c>
      <c r="L630" t="s">
        <v>729</v>
      </c>
      <c r="M630" t="s">
        <v>1153</v>
      </c>
      <c r="N630" s="3">
        <v>1488.91</v>
      </c>
      <c r="O630" s="3">
        <v>2620.4816000000001</v>
      </c>
      <c r="P630" s="6">
        <v>0.16800000000000001</v>
      </c>
      <c r="Q630" s="6">
        <f>IF(Table1[[#This Row],[DiscountPct]]&gt;25%,25%,Table1[[#This Row],[DiscountPct]])</f>
        <v>0.16800000000000001</v>
      </c>
      <c r="R630" s="5">
        <v>24</v>
      </c>
      <c r="S630" s="6">
        <f t="shared" si="110"/>
        <v>0.7599999999999999</v>
      </c>
      <c r="T630" s="8">
        <f t="shared" si="111"/>
        <v>52325.776588799999</v>
      </c>
      <c r="U630" s="8">
        <f t="shared" si="112"/>
        <v>35733.840000000004</v>
      </c>
      <c r="V630" s="9">
        <f t="shared" si="113"/>
        <v>16591.936588799996</v>
      </c>
      <c r="W630" s="6">
        <f t="shared" si="114"/>
        <v>0.31708916083916078</v>
      </c>
      <c r="X630" t="str" cm="1">
        <f t="array" ref="X630">_xlfn.IFS(S630&lt;=25%, "Low", S630&lt;=75%, "Medium", S630&gt;75%, "High")</f>
        <v>High</v>
      </c>
      <c r="Y630" s="8">
        <f>Table1[[#This Row],[Quantity]]*(Table1[[#This Row],[UnitPrice]]*(1-Table1[[#This Row],[DiscountPct]]))</f>
        <v>52325.776588799999</v>
      </c>
      <c r="Z630" s="9">
        <f t="shared" si="115"/>
        <v>16591.936588799996</v>
      </c>
      <c r="AA630">
        <f>COUNTIF($G$2:G631,G630)</f>
        <v>60</v>
      </c>
      <c r="AB630" s="21">
        <f t="shared" si="116"/>
        <v>44988</v>
      </c>
      <c r="AC630" s="21">
        <f t="shared" si="117"/>
        <v>45016</v>
      </c>
      <c r="AD630" s="5">
        <f>(Table1[[#This Row],[OrderDate]]-Table1[[#This Row],[Date of first order]])/30</f>
        <v>30.9</v>
      </c>
      <c r="AE630" t="str">
        <f t="shared" si="118"/>
        <v>Poor</v>
      </c>
      <c r="AF630">
        <f>COUNTIF(AC$2:AC631,AE630)</f>
        <v>0</v>
      </c>
      <c r="AG630" t="str">
        <f t="shared" si="119"/>
        <v>False</v>
      </c>
      <c r="AH630" s="7">
        <f>Table1[[#This Row],[UnitPrice]]*(1-Table1[[#This Row],[Disc Scenario]])*Table1[[#This Row],[Quantity]]</f>
        <v>52325.776588799999</v>
      </c>
      <c r="AI630">
        <f>ROUNDDOWN((Table1[[#This Row],[Quantity]]*(1+20%)),0)</f>
        <v>28</v>
      </c>
      <c r="AJ630" s="7">
        <f>Table1[[#This Row],[Quantity increase by 20%]]*Table1[[#This Row],[UnitPrice]]</f>
        <v>73373.484800000006</v>
      </c>
      <c r="AK630">
        <f>ROUNDDOWN(Table1[[#This Row],[Quantity]]*(1+20%),0)</f>
        <v>28</v>
      </c>
      <c r="AL630" s="7">
        <f>Table1[[#This Row],[UnitCost]]*(1+15%)</f>
        <v>1712.2465</v>
      </c>
      <c r="AM630" s="9">
        <f>Table1[[#This Row],[Quantity]]*Table1[[#This Row],[Cost of unit by inflation 15%]]</f>
        <v>41093.915999999997</v>
      </c>
      <c r="AN630" s="21" cm="1">
        <f t="array" ref="AN630">_xlfn.UNIQUE(AC630)</f>
        <v>45016</v>
      </c>
    </row>
    <row r="631" spans="1:40" x14ac:dyDescent="0.35">
      <c r="A631" t="s">
        <v>194</v>
      </c>
      <c r="B631" s="21">
        <v>45915</v>
      </c>
      <c r="C631" s="10">
        <v>45918</v>
      </c>
      <c r="D631" s="3">
        <f t="shared" si="108"/>
        <v>3</v>
      </c>
      <c r="E631" s="10" t="str">
        <f t="shared" si="109"/>
        <v>Q3-2025</v>
      </c>
      <c r="F631" t="s">
        <v>647</v>
      </c>
      <c r="G631" t="s">
        <v>654</v>
      </c>
      <c r="H631" t="s">
        <v>691</v>
      </c>
      <c r="I631" t="s">
        <v>702</v>
      </c>
      <c r="J631" t="s">
        <v>710</v>
      </c>
      <c r="K631" t="s">
        <v>715</v>
      </c>
      <c r="L631" t="s">
        <v>732</v>
      </c>
      <c r="M631" t="s">
        <v>912</v>
      </c>
      <c r="N631" s="3">
        <v>5.5</v>
      </c>
      <c r="O631" s="3">
        <v>5.92</v>
      </c>
      <c r="P631" s="6">
        <v>0.21199999999999999</v>
      </c>
      <c r="Q631" s="6">
        <f>IF(Table1[[#This Row],[DiscountPct]]&gt;25%,25%,Table1[[#This Row],[DiscountPct]])</f>
        <v>0.21199999999999999</v>
      </c>
      <c r="R631" s="5">
        <v>4</v>
      </c>
      <c r="S631" s="6">
        <f t="shared" si="110"/>
        <v>7.6363636363636356E-2</v>
      </c>
      <c r="T631" s="8">
        <f t="shared" si="111"/>
        <v>18.659839999999999</v>
      </c>
      <c r="U631" s="8">
        <f t="shared" si="112"/>
        <v>22</v>
      </c>
      <c r="V631" s="9">
        <f t="shared" si="113"/>
        <v>-3.3401600000000009</v>
      </c>
      <c r="W631" s="6">
        <f t="shared" si="114"/>
        <v>-0.17900260666758133</v>
      </c>
      <c r="X631" t="str" cm="1">
        <f t="array" ref="X631">_xlfn.IFS(S631&lt;=25%, "Low", S631&lt;=75%, "Medium", S631&gt;75%, "High")</f>
        <v>Low</v>
      </c>
      <c r="Y631" s="8">
        <f>Table1[[#This Row],[Quantity]]*(Table1[[#This Row],[UnitPrice]]*(1-Table1[[#This Row],[DiscountPct]]))</f>
        <v>18.659839999999999</v>
      </c>
      <c r="Z631" s="9">
        <f t="shared" si="115"/>
        <v>-3.3401600000000009</v>
      </c>
      <c r="AA631">
        <f>COUNTIF($G$2:G632,G631)</f>
        <v>62</v>
      </c>
      <c r="AB631" s="21">
        <f t="shared" si="116"/>
        <v>44988</v>
      </c>
      <c r="AC631" s="21">
        <f t="shared" si="117"/>
        <v>45016</v>
      </c>
      <c r="AD631" s="5">
        <f>(Table1[[#This Row],[OrderDate]]-Table1[[#This Row],[Date of first order]])/30</f>
        <v>30.9</v>
      </c>
      <c r="AE631" t="str">
        <f t="shared" si="118"/>
        <v>Good</v>
      </c>
      <c r="AF631">
        <f>COUNTIF(AE$2:AE632,AE631)</f>
        <v>172</v>
      </c>
      <c r="AG631" t="str">
        <f t="shared" si="119"/>
        <v>True</v>
      </c>
      <c r="AH631" s="7">
        <f>Table1[[#This Row],[UnitPrice]]*(1-Table1[[#This Row],[Disc Scenario]])*Table1[[#This Row],[Quantity]]</f>
        <v>18.659839999999999</v>
      </c>
      <c r="AI631">
        <f>ROUNDDOWN((Table1[[#This Row],[Quantity]]*(1+20%)),0)</f>
        <v>4</v>
      </c>
      <c r="AJ631" s="7">
        <f>Table1[[#This Row],[Quantity increase by 20%]]*Table1[[#This Row],[UnitPrice]]</f>
        <v>23.68</v>
      </c>
      <c r="AK631">
        <f>ROUNDDOWN(Table1[[#This Row],[Quantity]]*(1+20%),0)</f>
        <v>4</v>
      </c>
      <c r="AL631" s="7">
        <f>Table1[[#This Row],[UnitCost]]*(1+15%)</f>
        <v>6.3249999999999993</v>
      </c>
      <c r="AM631" s="9">
        <f>Table1[[#This Row],[Quantity]]*Table1[[#This Row],[Cost of unit by inflation 15%]]</f>
        <v>25.299999999999997</v>
      </c>
      <c r="AN631" s="21" cm="1">
        <f t="array" ref="AN631">_xlfn.UNIQUE(AC631)</f>
        <v>45016</v>
      </c>
    </row>
    <row r="632" spans="1:40" x14ac:dyDescent="0.35">
      <c r="O632" s="3"/>
      <c r="P632" s="4"/>
      <c r="R632" s="4"/>
    </row>
    <row r="633" spans="1:40" x14ac:dyDescent="0.35">
      <c r="O633" s="3"/>
      <c r="P633" s="4"/>
      <c r="R633" s="4"/>
    </row>
    <row r="635" spans="1:40" x14ac:dyDescent="0.35">
      <c r="M635" s="3"/>
      <c r="N635" s="7"/>
      <c r="O635"/>
      <c r="P635" s="5"/>
      <c r="Q635"/>
    </row>
    <row r="636" spans="1:40" x14ac:dyDescent="0.35">
      <c r="M636" s="3"/>
      <c r="N636" s="7"/>
      <c r="O636"/>
      <c r="P636" s="5"/>
      <c r="Q636"/>
    </row>
    <row r="637" spans="1:40" x14ac:dyDescent="0.35">
      <c r="M637" s="3"/>
      <c r="N637" s="7"/>
      <c r="O637"/>
      <c r="P637" s="5"/>
      <c r="Q637"/>
    </row>
    <row r="638" spans="1:40" x14ac:dyDescent="0.35">
      <c r="M638" s="3"/>
      <c r="N638" s="7"/>
      <c r="O638"/>
      <c r="P638" s="5"/>
      <c r="Q638"/>
    </row>
    <row r="639" spans="1:40" x14ac:dyDescent="0.35">
      <c r="M639" s="3"/>
      <c r="N639" s="7"/>
      <c r="O639"/>
      <c r="P639" s="5"/>
      <c r="Q639"/>
    </row>
    <row r="640" spans="1:40" x14ac:dyDescent="0.35">
      <c r="M640" s="3"/>
      <c r="N640" s="7"/>
      <c r="O640"/>
      <c r="P640" s="5"/>
      <c r="Q640"/>
    </row>
    <row r="641" spans="13:17" x14ac:dyDescent="0.35">
      <c r="M641" s="3"/>
      <c r="N641" s="7"/>
      <c r="O641"/>
      <c r="P641" s="5"/>
      <c r="Q641"/>
    </row>
    <row r="642" spans="13:17" x14ac:dyDescent="0.35">
      <c r="M642" s="3"/>
      <c r="N642" s="7"/>
      <c r="O642"/>
      <c r="P642" s="5"/>
      <c r="Q642"/>
    </row>
    <row r="643" spans="13:17" x14ac:dyDescent="0.35">
      <c r="M643" s="3"/>
      <c r="N643" s="7"/>
      <c r="O643"/>
      <c r="P643" s="5"/>
      <c r="Q643"/>
    </row>
    <row r="644" spans="13:17" x14ac:dyDescent="0.35">
      <c r="M644" s="3"/>
      <c r="N644" s="7"/>
      <c r="O644"/>
      <c r="P644" s="5"/>
      <c r="Q644"/>
    </row>
    <row r="645" spans="13:17" x14ac:dyDescent="0.35">
      <c r="M645" s="3"/>
      <c r="N645" s="7"/>
      <c r="O645"/>
      <c r="P645" s="5"/>
      <c r="Q645"/>
    </row>
    <row r="646" spans="13:17" x14ac:dyDescent="0.35">
      <c r="M646" s="3"/>
      <c r="N646" s="7"/>
      <c r="O646"/>
      <c r="P646" s="5"/>
      <c r="Q646"/>
    </row>
    <row r="647" spans="13:17" x14ac:dyDescent="0.35">
      <c r="M647" s="3"/>
      <c r="N647" s="7"/>
      <c r="O647"/>
      <c r="P647" s="5"/>
      <c r="Q647"/>
    </row>
    <row r="648" spans="13:17" x14ac:dyDescent="0.35">
      <c r="M648" s="3"/>
      <c r="N648" s="7"/>
      <c r="O648"/>
      <c r="P648" s="5"/>
      <c r="Q648"/>
    </row>
    <row r="649" spans="13:17" x14ac:dyDescent="0.35">
      <c r="M649" s="3"/>
      <c r="N649" s="7"/>
      <c r="O649"/>
      <c r="P649" s="5"/>
      <c r="Q649"/>
    </row>
    <row r="650" spans="13:17" x14ac:dyDescent="0.35">
      <c r="M650" s="3"/>
      <c r="N650" s="7"/>
      <c r="O650"/>
      <c r="P650" s="5"/>
      <c r="Q650"/>
    </row>
    <row r="651" spans="13:17" x14ac:dyDescent="0.35">
      <c r="M651" s="3"/>
      <c r="N651" s="7"/>
      <c r="O651"/>
      <c r="P651" s="5"/>
      <c r="Q651"/>
    </row>
    <row r="652" spans="13:17" x14ac:dyDescent="0.35">
      <c r="M652" s="3"/>
      <c r="N652" s="7"/>
      <c r="O652"/>
      <c r="P652" s="5"/>
      <c r="Q652"/>
    </row>
    <row r="653" spans="13:17" x14ac:dyDescent="0.35">
      <c r="M653" s="3"/>
      <c r="N653" s="7"/>
      <c r="O653"/>
      <c r="P653" s="5"/>
      <c r="Q653"/>
    </row>
    <row r="654" spans="13:17" x14ac:dyDescent="0.35">
      <c r="M654" s="3"/>
      <c r="N654" s="7"/>
      <c r="O654"/>
      <c r="P654" s="5"/>
      <c r="Q654"/>
    </row>
    <row r="655" spans="13:17" x14ac:dyDescent="0.35">
      <c r="M655" s="3"/>
      <c r="N655" s="7"/>
      <c r="O655"/>
      <c r="P655" s="5"/>
      <c r="Q655"/>
    </row>
    <row r="656" spans="13:17" x14ac:dyDescent="0.35">
      <c r="M656" s="3"/>
      <c r="N656" s="7"/>
      <c r="O656"/>
      <c r="P656" s="5"/>
      <c r="Q656"/>
    </row>
    <row r="657" spans="13:17" x14ac:dyDescent="0.35">
      <c r="M657" s="3"/>
      <c r="N657" s="7"/>
      <c r="O657"/>
      <c r="P657" s="5"/>
      <c r="Q657"/>
    </row>
    <row r="658" spans="13:17" x14ac:dyDescent="0.35">
      <c r="M658" s="3"/>
      <c r="N658" s="7"/>
      <c r="O658"/>
      <c r="P658" s="5"/>
      <c r="Q658"/>
    </row>
    <row r="659" spans="13:17" x14ac:dyDescent="0.35">
      <c r="M659" s="3"/>
      <c r="N659" s="7"/>
      <c r="O659"/>
      <c r="P659" s="5"/>
      <c r="Q659"/>
    </row>
    <row r="660" spans="13:17" x14ac:dyDescent="0.35">
      <c r="M660" s="3"/>
      <c r="N660" s="7"/>
      <c r="O660"/>
      <c r="P660" s="5"/>
      <c r="Q660"/>
    </row>
    <row r="661" spans="13:17" x14ac:dyDescent="0.35">
      <c r="M661" s="3"/>
      <c r="N661" s="7"/>
      <c r="O661"/>
      <c r="P661" s="5"/>
      <c r="Q661"/>
    </row>
    <row r="662" spans="13:17" x14ac:dyDescent="0.35">
      <c r="M662" s="3"/>
      <c r="N662" s="7"/>
      <c r="O662"/>
      <c r="P662" s="5"/>
      <c r="Q662"/>
    </row>
    <row r="663" spans="13:17" x14ac:dyDescent="0.35">
      <c r="M663" s="3"/>
      <c r="N663" s="7"/>
      <c r="O663"/>
      <c r="P663" s="5"/>
      <c r="Q663"/>
    </row>
    <row r="664" spans="13:17" x14ac:dyDescent="0.35">
      <c r="M664" s="3"/>
      <c r="N664" s="7"/>
      <c r="O664"/>
      <c r="P664" s="5"/>
      <c r="Q664"/>
    </row>
    <row r="665" spans="13:17" x14ac:dyDescent="0.35">
      <c r="M665" s="3"/>
      <c r="N665" s="7"/>
      <c r="O665"/>
      <c r="P665" s="5"/>
      <c r="Q66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F3B5-ACC2-4492-A1CD-ACD4BCCA02F9}">
  <dimension ref="F4:AK7"/>
  <sheetViews>
    <sheetView workbookViewId="0">
      <selection activeCell="H8" sqref="H8"/>
    </sheetView>
  </sheetViews>
  <sheetFormatPr defaultRowHeight="14.5" x14ac:dyDescent="0.35"/>
  <cols>
    <col min="6" max="6" width="10.453125" style="21" bestFit="1" customWidth="1"/>
  </cols>
  <sheetData>
    <row r="4" spans="6:37" x14ac:dyDescent="0.35">
      <c r="G4">
        <v>0</v>
      </c>
      <c r="H4">
        <v>1</v>
      </c>
      <c r="I4">
        <v>2</v>
      </c>
      <c r="J4">
        <v>3</v>
      </c>
      <c r="K4">
        <v>4</v>
      </c>
      <c r="L4">
        <v>5</v>
      </c>
      <c r="M4">
        <v>6</v>
      </c>
      <c r="N4">
        <v>7</v>
      </c>
      <c r="O4">
        <v>8</v>
      </c>
      <c r="P4">
        <v>9</v>
      </c>
      <c r="Q4">
        <v>10</v>
      </c>
      <c r="R4">
        <v>11</v>
      </c>
      <c r="S4">
        <v>12</v>
      </c>
      <c r="T4">
        <v>13</v>
      </c>
      <c r="U4">
        <v>14</v>
      </c>
      <c r="V4">
        <v>15</v>
      </c>
      <c r="W4">
        <v>16</v>
      </c>
      <c r="X4">
        <v>17</v>
      </c>
      <c r="Y4">
        <v>18</v>
      </c>
      <c r="Z4">
        <v>19</v>
      </c>
      <c r="AA4">
        <v>20</v>
      </c>
      <c r="AB4">
        <v>21</v>
      </c>
      <c r="AC4">
        <v>22</v>
      </c>
      <c r="AD4">
        <v>23</v>
      </c>
      <c r="AE4">
        <v>24</v>
      </c>
      <c r="AF4">
        <v>25</v>
      </c>
      <c r="AG4">
        <v>26</v>
      </c>
      <c r="AH4">
        <v>27</v>
      </c>
      <c r="AI4">
        <v>28</v>
      </c>
      <c r="AJ4">
        <v>29</v>
      </c>
      <c r="AK4">
        <v>30</v>
      </c>
    </row>
    <row r="5" spans="6:37" x14ac:dyDescent="0.35">
      <c r="F5" s="21" cm="1">
        <f t="array" ref="F5:F7">_xlfn.UNIQUE(Table1[COHORT])</f>
        <v>44957</v>
      </c>
    </row>
    <row r="6" spans="6:37" x14ac:dyDescent="0.35">
      <c r="F6" s="21">
        <v>44985</v>
      </c>
    </row>
    <row r="7" spans="6:37" x14ac:dyDescent="0.35">
      <c r="F7" s="21">
        <v>45016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5"/>
  <sheetViews>
    <sheetView topLeftCell="A61" workbookViewId="0">
      <selection activeCell="A66" sqref="A66"/>
    </sheetView>
  </sheetViews>
  <sheetFormatPr defaultRowHeight="18.5" x14ac:dyDescent="0.45"/>
  <cols>
    <col min="1" max="16384" width="8.7265625" style="2"/>
  </cols>
  <sheetData>
    <row r="1" spans="1:3" x14ac:dyDescent="0.45">
      <c r="A1" s="1" t="s">
        <v>1361</v>
      </c>
    </row>
    <row r="2" spans="1:3" x14ac:dyDescent="0.45">
      <c r="A2" s="2" t="s">
        <v>1362</v>
      </c>
    </row>
    <row r="4" spans="1:3" x14ac:dyDescent="0.45">
      <c r="A4" s="2" t="s">
        <v>1363</v>
      </c>
    </row>
    <row r="5" spans="1:3" x14ac:dyDescent="0.45">
      <c r="A5" s="2" t="s">
        <v>1364</v>
      </c>
    </row>
    <row r="6" spans="1:3" x14ac:dyDescent="0.45">
      <c r="A6" s="2" t="s">
        <v>1365</v>
      </c>
    </row>
    <row r="8" spans="1:3" x14ac:dyDescent="0.45">
      <c r="A8" s="2" t="s">
        <v>1366</v>
      </c>
    </row>
    <row r="9" spans="1:3" x14ac:dyDescent="0.45">
      <c r="A9" s="2" t="s">
        <v>1367</v>
      </c>
    </row>
    <row r="10" spans="1:3" x14ac:dyDescent="0.45">
      <c r="A10" s="2" t="s">
        <v>1368</v>
      </c>
    </row>
    <row r="11" spans="1:3" x14ac:dyDescent="0.45">
      <c r="B11" s="2" t="s">
        <v>1422</v>
      </c>
      <c r="C11" s="2" t="s">
        <v>1419</v>
      </c>
    </row>
    <row r="12" spans="1:3" x14ac:dyDescent="0.45">
      <c r="B12" s="2" t="s">
        <v>1423</v>
      </c>
      <c r="C12" s="2" t="s">
        <v>1420</v>
      </c>
    </row>
    <row r="13" spans="1:3" x14ac:dyDescent="0.45">
      <c r="B13" s="2" t="s">
        <v>1424</v>
      </c>
      <c r="C13" s="2" t="s">
        <v>1421</v>
      </c>
    </row>
    <row r="15" spans="1:3" x14ac:dyDescent="0.45">
      <c r="A15" s="2" t="s">
        <v>1369</v>
      </c>
    </row>
    <row r="16" spans="1:3" x14ac:dyDescent="0.45">
      <c r="B16" s="2" t="s">
        <v>1425</v>
      </c>
    </row>
    <row r="17" spans="1:1" x14ac:dyDescent="0.45">
      <c r="A17" s="2" t="s">
        <v>1370</v>
      </c>
    </row>
    <row r="19" spans="1:1" x14ac:dyDescent="0.45">
      <c r="A19" s="2" t="s">
        <v>1371</v>
      </c>
    </row>
    <row r="21" spans="1:1" x14ac:dyDescent="0.45">
      <c r="A21" s="2" t="s">
        <v>1372</v>
      </c>
    </row>
    <row r="22" spans="1:1" x14ac:dyDescent="0.45">
      <c r="A22" s="2" t="s">
        <v>1373</v>
      </c>
    </row>
    <row r="24" spans="1:1" x14ac:dyDescent="0.45">
      <c r="A24" s="2" t="s">
        <v>1374</v>
      </c>
    </row>
    <row r="25" spans="1:1" x14ac:dyDescent="0.45">
      <c r="A25" s="2" t="s">
        <v>1375</v>
      </c>
    </row>
    <row r="26" spans="1:1" x14ac:dyDescent="0.45">
      <c r="A26" s="2" t="s">
        <v>1376</v>
      </c>
    </row>
    <row r="27" spans="1:1" x14ac:dyDescent="0.45">
      <c r="A27" s="2" t="s">
        <v>1377</v>
      </c>
    </row>
    <row r="28" spans="1:1" x14ac:dyDescent="0.45">
      <c r="A28" s="2" t="s">
        <v>1378</v>
      </c>
    </row>
    <row r="30" spans="1:1" x14ac:dyDescent="0.45">
      <c r="A30" s="2" t="s">
        <v>1379</v>
      </c>
    </row>
    <row r="31" spans="1:1" x14ac:dyDescent="0.45">
      <c r="A31" s="2" t="s">
        <v>1380</v>
      </c>
    </row>
    <row r="32" spans="1:1" x14ac:dyDescent="0.45">
      <c r="A32" s="2" t="s">
        <v>1381</v>
      </c>
    </row>
    <row r="33" spans="1:1" x14ac:dyDescent="0.45">
      <c r="A33" s="2" t="s">
        <v>1382</v>
      </c>
    </row>
    <row r="34" spans="1:1" x14ac:dyDescent="0.45">
      <c r="A34" s="2" t="s">
        <v>1383</v>
      </c>
    </row>
    <row r="36" spans="1:1" x14ac:dyDescent="0.45">
      <c r="A36" s="2" t="s">
        <v>1384</v>
      </c>
    </row>
    <row r="37" spans="1:1" x14ac:dyDescent="0.45">
      <c r="A37" s="2" t="s">
        <v>1385</v>
      </c>
    </row>
    <row r="38" spans="1:1" x14ac:dyDescent="0.45">
      <c r="A38" s="2" t="s">
        <v>1386</v>
      </c>
    </row>
    <row r="40" spans="1:1" x14ac:dyDescent="0.45">
      <c r="A40" s="2" t="s">
        <v>1387</v>
      </c>
    </row>
    <row r="41" spans="1:1" x14ac:dyDescent="0.45">
      <c r="A41" s="2" t="s">
        <v>1388</v>
      </c>
    </row>
    <row r="42" spans="1:1" x14ac:dyDescent="0.45">
      <c r="A42" s="2" t="s">
        <v>1389</v>
      </c>
    </row>
    <row r="43" spans="1:1" x14ac:dyDescent="0.45">
      <c r="A43" s="2" t="s">
        <v>1390</v>
      </c>
    </row>
    <row r="44" spans="1:1" x14ac:dyDescent="0.45">
      <c r="A44" s="2" t="s">
        <v>1391</v>
      </c>
    </row>
    <row r="45" spans="1:1" x14ac:dyDescent="0.45">
      <c r="A45" s="2" t="s">
        <v>1392</v>
      </c>
    </row>
    <row r="46" spans="1:1" x14ac:dyDescent="0.45">
      <c r="A46" s="2" t="s">
        <v>1393</v>
      </c>
    </row>
    <row r="47" spans="1:1" x14ac:dyDescent="0.45">
      <c r="A47" s="2" t="s">
        <v>1394</v>
      </c>
    </row>
    <row r="48" spans="1:1" x14ac:dyDescent="0.45">
      <c r="A48" s="2" t="s">
        <v>1395</v>
      </c>
    </row>
    <row r="49" spans="1:1" x14ac:dyDescent="0.45">
      <c r="A49" s="2" t="s">
        <v>1396</v>
      </c>
    </row>
    <row r="51" spans="1:1" x14ac:dyDescent="0.45">
      <c r="A51" s="2" t="s">
        <v>1397</v>
      </c>
    </row>
    <row r="52" spans="1:1" x14ac:dyDescent="0.45">
      <c r="A52" s="2" t="s">
        <v>1398</v>
      </c>
    </row>
    <row r="53" spans="1:1" x14ac:dyDescent="0.45">
      <c r="A53" s="2" t="s">
        <v>1399</v>
      </c>
    </row>
    <row r="54" spans="1:1" x14ac:dyDescent="0.45">
      <c r="A54" s="2" t="s">
        <v>1400</v>
      </c>
    </row>
    <row r="55" spans="1:1" x14ac:dyDescent="0.45">
      <c r="A55" s="2" t="s">
        <v>1401</v>
      </c>
    </row>
    <row r="56" spans="1:1" x14ac:dyDescent="0.45">
      <c r="A56" s="2" t="s">
        <v>1402</v>
      </c>
    </row>
    <row r="58" spans="1:1" x14ac:dyDescent="0.45">
      <c r="A58" s="2" t="s">
        <v>1403</v>
      </c>
    </row>
    <row r="59" spans="1:1" x14ac:dyDescent="0.45">
      <c r="A59" s="2" t="s">
        <v>1404</v>
      </c>
    </row>
    <row r="60" spans="1:1" x14ac:dyDescent="0.45">
      <c r="A60" s="2" t="s">
        <v>1405</v>
      </c>
    </row>
    <row r="61" spans="1:1" x14ac:dyDescent="0.45">
      <c r="A61" s="2" t="s">
        <v>1406</v>
      </c>
    </row>
    <row r="62" spans="1:1" x14ac:dyDescent="0.45">
      <c r="A62" s="2" t="s">
        <v>1407</v>
      </c>
    </row>
    <row r="63" spans="1:1" x14ac:dyDescent="0.45">
      <c r="A63" s="2" t="s">
        <v>1408</v>
      </c>
    </row>
    <row r="64" spans="1:1" x14ac:dyDescent="0.45">
      <c r="A64" s="2" t="s">
        <v>1409</v>
      </c>
    </row>
    <row r="65" spans="1:1" x14ac:dyDescent="0.45">
      <c r="A65" s="2" t="s">
        <v>1410</v>
      </c>
    </row>
    <row r="66" spans="1:1" x14ac:dyDescent="0.45">
      <c r="A66" s="2" t="s">
        <v>1411</v>
      </c>
    </row>
    <row r="67" spans="1:1" x14ac:dyDescent="0.45">
      <c r="A67" s="2" t="s">
        <v>1412</v>
      </c>
    </row>
    <row r="69" spans="1:1" x14ac:dyDescent="0.45">
      <c r="A69" s="2" t="s">
        <v>1413</v>
      </c>
    </row>
    <row r="70" spans="1:1" x14ac:dyDescent="0.45">
      <c r="A70" s="2" t="s">
        <v>1414</v>
      </c>
    </row>
    <row r="72" spans="1:1" x14ac:dyDescent="0.45">
      <c r="A72" s="2" t="s">
        <v>1415</v>
      </c>
    </row>
    <row r="73" spans="1:1" x14ac:dyDescent="0.45">
      <c r="A73" s="2" t="s">
        <v>1416</v>
      </c>
    </row>
    <row r="74" spans="1:1" x14ac:dyDescent="0.45">
      <c r="A74" s="2" t="s">
        <v>1417</v>
      </c>
    </row>
    <row r="75" spans="1:1" x14ac:dyDescent="0.45">
      <c r="A75" s="2" t="s">
        <v>1418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941F4-BEE8-4243-9A2D-28EC911D8976}">
  <dimension ref="B2:L21"/>
  <sheetViews>
    <sheetView workbookViewId="0">
      <selection activeCell="E10" sqref="E10"/>
    </sheetView>
  </sheetViews>
  <sheetFormatPr defaultRowHeight="14.5" x14ac:dyDescent="0.35"/>
  <cols>
    <col min="2" max="2" width="21.7265625" bestFit="1" customWidth="1"/>
    <col min="3" max="3" width="12.90625" customWidth="1"/>
    <col min="4" max="6" width="12.54296875" bestFit="1" customWidth="1"/>
  </cols>
  <sheetData>
    <row r="2" spans="2:12" x14ac:dyDescent="0.35">
      <c r="B2" s="23"/>
      <c r="C2" s="23" t="s">
        <v>645</v>
      </c>
      <c r="D2" s="23" t="s">
        <v>647</v>
      </c>
      <c r="E2" s="23" t="s">
        <v>646</v>
      </c>
      <c r="F2" s="23" t="s">
        <v>648</v>
      </c>
      <c r="L2">
        <v>1</v>
      </c>
    </row>
    <row r="3" spans="2:12" x14ac:dyDescent="0.35">
      <c r="B3" t="s">
        <v>1427</v>
      </c>
      <c r="C3" s="9">
        <f>CHOOSE($C$9,C12,C13,C14,C15)</f>
        <v>2763326.1770899007</v>
      </c>
      <c r="D3" s="9">
        <f t="shared" ref="D3:F3" si="0">CHOOSE($C$9,D12,D13,D14,D15)</f>
        <v>2798915.2278935979</v>
      </c>
      <c r="E3" s="9">
        <f t="shared" si="0"/>
        <v>3017438.5241233986</v>
      </c>
      <c r="F3" s="9">
        <f t="shared" si="0"/>
        <v>3083180.0263184006</v>
      </c>
      <c r="L3">
        <v>2</v>
      </c>
    </row>
    <row r="4" spans="2:12" x14ac:dyDescent="0.35">
      <c r="B4" t="s">
        <v>1460</v>
      </c>
      <c r="C4" s="7">
        <f>CHOOSE($C$9,C18,C19,C20,C21)</f>
        <v>1759971.9900000005</v>
      </c>
      <c r="D4" s="7">
        <f t="shared" ref="D4:F4" si="1">CHOOSE($C$9,D18,D19,D20,D21)</f>
        <v>1818965.89</v>
      </c>
      <c r="E4" s="7">
        <f t="shared" si="1"/>
        <v>1978661.6900000002</v>
      </c>
      <c r="F4" s="7">
        <f t="shared" si="1"/>
        <v>1931152.2800000007</v>
      </c>
      <c r="L4">
        <v>3</v>
      </c>
    </row>
    <row r="5" spans="2:12" x14ac:dyDescent="0.35">
      <c r="L5">
        <v>4</v>
      </c>
    </row>
    <row r="6" spans="2:12" x14ac:dyDescent="0.35">
      <c r="B6" t="s">
        <v>1429</v>
      </c>
      <c r="C6" s="27">
        <f>C3-C4</f>
        <v>1003354.1870899003</v>
      </c>
      <c r="D6" s="27">
        <f t="shared" ref="D6:F6" si="2">D3-D4</f>
        <v>979949.33789359801</v>
      </c>
      <c r="E6" s="27">
        <f t="shared" si="2"/>
        <v>1038776.8341233984</v>
      </c>
      <c r="F6" s="27">
        <f t="shared" si="2"/>
        <v>1152027.7463183999</v>
      </c>
    </row>
    <row r="7" spans="2:12" x14ac:dyDescent="0.35">
      <c r="B7" t="s">
        <v>1471</v>
      </c>
      <c r="C7" s="4">
        <f>C6/C3</f>
        <v>0.3630965448120016</v>
      </c>
      <c r="D7" s="4">
        <f t="shared" ref="D7:F7" si="3">D6/D3</f>
        <v>0.3501175484443258</v>
      </c>
      <c r="E7" s="4">
        <f t="shared" si="3"/>
        <v>0.34425782855847092</v>
      </c>
      <c r="F7" s="4">
        <f t="shared" si="3"/>
        <v>0.37364919871189828</v>
      </c>
    </row>
    <row r="8" spans="2:12" x14ac:dyDescent="0.35">
      <c r="C8" s="4"/>
      <c r="D8" s="4"/>
      <c r="E8" s="4"/>
      <c r="F8" s="4"/>
    </row>
    <row r="9" spans="2:12" x14ac:dyDescent="0.35">
      <c r="B9" t="s">
        <v>1466</v>
      </c>
      <c r="C9">
        <v>1</v>
      </c>
    </row>
    <row r="11" spans="2:12" s="23" customFormat="1" x14ac:dyDescent="0.35">
      <c r="B11" s="23" t="s">
        <v>1461</v>
      </c>
    </row>
    <row r="12" spans="2:12" x14ac:dyDescent="0.35">
      <c r="B12" t="s">
        <v>1462</v>
      </c>
      <c r="C12" s="9">
        <v>2763326.1770899007</v>
      </c>
      <c r="D12" s="9">
        <v>2798915.2278935979</v>
      </c>
      <c r="E12" s="9">
        <v>3017438.5241233986</v>
      </c>
      <c r="F12" s="9">
        <v>3083180.0263184006</v>
      </c>
    </row>
    <row r="13" spans="2:12" x14ac:dyDescent="0.35">
      <c r="B13" t="s">
        <v>1463</v>
      </c>
      <c r="C13" s="9">
        <v>2766046.4979299004</v>
      </c>
      <c r="D13" s="9">
        <v>2800996.4702535979</v>
      </c>
      <c r="E13" s="9">
        <v>3018626.2731133988</v>
      </c>
      <c r="F13" s="9">
        <v>3085480.230558401</v>
      </c>
    </row>
    <row r="14" spans="2:12" x14ac:dyDescent="0.35">
      <c r="B14" t="s">
        <v>1465</v>
      </c>
      <c r="C14" s="9">
        <v>2763326.1770899007</v>
      </c>
      <c r="D14" s="9">
        <v>2798915.2278935979</v>
      </c>
      <c r="E14" s="9">
        <v>3017438.5241233986</v>
      </c>
      <c r="F14" s="9">
        <v>3083180.0263184006</v>
      </c>
    </row>
    <row r="15" spans="2:12" x14ac:dyDescent="0.35">
      <c r="B15" t="s">
        <v>1459</v>
      </c>
      <c r="C15" s="9">
        <v>3676831.8247999996</v>
      </c>
      <c r="D15" s="9">
        <v>3753368.921000002</v>
      </c>
      <c r="E15" s="9">
        <v>4041779.0162999998</v>
      </c>
      <c r="F15" s="9">
        <v>4083533.1821999978</v>
      </c>
    </row>
    <row r="17" spans="2:6" s="23" customFormat="1" x14ac:dyDescent="0.35">
      <c r="B17" s="23" t="s">
        <v>1464</v>
      </c>
    </row>
    <row r="18" spans="2:6" x14ac:dyDescent="0.35">
      <c r="B18" t="s">
        <v>1462</v>
      </c>
      <c r="C18" s="9">
        <v>1759971.9900000005</v>
      </c>
      <c r="D18" s="9">
        <v>1818965.89</v>
      </c>
      <c r="E18" s="9">
        <v>1978661.6900000002</v>
      </c>
      <c r="F18" s="9">
        <v>1931152.2800000007</v>
      </c>
    </row>
    <row r="19" spans="2:6" x14ac:dyDescent="0.35">
      <c r="B19" t="s">
        <v>1463</v>
      </c>
      <c r="C19" s="7">
        <v>1759971.9900000005</v>
      </c>
      <c r="D19" s="7">
        <v>1818965.89</v>
      </c>
      <c r="E19" s="7">
        <v>1978661.6900000002</v>
      </c>
      <c r="F19" s="7">
        <v>1931152.2800000007</v>
      </c>
    </row>
    <row r="20" spans="2:6" x14ac:dyDescent="0.35">
      <c r="B20" t="s">
        <v>1465</v>
      </c>
      <c r="C20" s="9">
        <v>2023967.7884999998</v>
      </c>
      <c r="D20" s="9">
        <v>2091810.7734999994</v>
      </c>
      <c r="E20" s="9">
        <v>2275460.9434999991</v>
      </c>
      <c r="F20" s="9">
        <v>2220825.1220000014</v>
      </c>
    </row>
    <row r="21" spans="2:6" x14ac:dyDescent="0.35">
      <c r="B21" t="s">
        <v>1459</v>
      </c>
      <c r="C21" s="7">
        <v>1759971.9900000005</v>
      </c>
      <c r="D21" s="7">
        <v>1818965.89</v>
      </c>
      <c r="E21" s="7">
        <v>1978661.6900000002</v>
      </c>
      <c r="F21" s="7">
        <v>1931152.2800000007</v>
      </c>
    </row>
  </sheetData>
  <dataValidations count="1">
    <dataValidation type="list" allowBlank="1" showInputMessage="1" showErrorMessage="1" sqref="C9" xr:uid="{AFA9969E-B8B7-4D38-8387-40331DCDF8D8}">
      <formula1>$L$2:$L$5</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4216-4B06-4AB3-AD1D-5ABA88D95D67}">
  <dimension ref="A1:AL26"/>
  <sheetViews>
    <sheetView workbookViewId="0">
      <selection activeCell="F18" sqref="F18"/>
    </sheetView>
  </sheetViews>
  <sheetFormatPr defaultRowHeight="14.5" x14ac:dyDescent="0.35"/>
  <cols>
    <col min="1" max="1" width="15.90625" bestFit="1" customWidth="1"/>
    <col min="2" max="3" width="9.08984375" bestFit="1" customWidth="1"/>
    <col min="4" max="4" width="6.26953125" bestFit="1" customWidth="1"/>
    <col min="5" max="5" width="8.26953125" bestFit="1" customWidth="1"/>
    <col min="6" max="6" width="12.6328125" bestFit="1" customWidth="1"/>
    <col min="7" max="7" width="20.1796875" bestFit="1" customWidth="1"/>
    <col min="8" max="8" width="12.08984375" bestFit="1" customWidth="1"/>
    <col min="9" max="9" width="13.453125" bestFit="1" customWidth="1"/>
    <col min="10" max="10" width="11.453125" bestFit="1" customWidth="1"/>
    <col min="11" max="11" width="8.81640625" bestFit="1" customWidth="1"/>
    <col min="12" max="12" width="11.7265625" bestFit="1" customWidth="1"/>
    <col min="13" max="13" width="9.81640625" bestFit="1" customWidth="1"/>
    <col min="14" max="14" width="8.26953125" bestFit="1" customWidth="1"/>
    <col min="15" max="15" width="8.453125" bestFit="1" customWidth="1"/>
    <col min="16" max="16" width="8.26953125" bestFit="1" customWidth="1"/>
    <col min="17" max="17" width="8.1796875" bestFit="1" customWidth="1"/>
    <col min="18" max="18" width="8.26953125" bestFit="1" customWidth="1"/>
    <col min="19" max="19" width="7.6328125" bestFit="1" customWidth="1"/>
    <col min="20" max="20" width="11.08984375" bestFit="1" customWidth="1"/>
    <col min="21" max="22" width="10.08984375" bestFit="1" customWidth="1"/>
    <col min="23" max="23" width="6.81640625" bestFit="1" customWidth="1"/>
    <col min="24" max="24" width="8" bestFit="1" customWidth="1"/>
    <col min="25" max="25" width="11.08984375" bestFit="1" customWidth="1"/>
    <col min="26" max="26" width="10.08984375" bestFit="1" customWidth="1"/>
    <col min="27" max="27" width="8.54296875" bestFit="1" customWidth="1"/>
    <col min="28" max="29" width="10.453125" bestFit="1" customWidth="1"/>
    <col min="30" max="30" width="7.08984375" bestFit="1" customWidth="1"/>
    <col min="31" max="31" width="6" bestFit="1" customWidth="1"/>
    <col min="32" max="32" width="8.26953125" bestFit="1" customWidth="1"/>
    <col min="33" max="33" width="11.08984375" bestFit="1" customWidth="1"/>
    <col min="34" max="34" width="8.26953125" bestFit="1" customWidth="1"/>
    <col min="35" max="35" width="11.08984375" bestFit="1" customWidth="1"/>
    <col min="36" max="36" width="8.26953125" bestFit="1" customWidth="1"/>
    <col min="37" max="37" width="9.08984375" bestFit="1" customWidth="1"/>
    <col min="38" max="38" width="10.08984375" bestFit="1" customWidth="1"/>
  </cols>
  <sheetData>
    <row r="1" spans="1:38" ht="58.5" thickBot="1" x14ac:dyDescent="0.4">
      <c r="A1" s="33" t="s">
        <v>0</v>
      </c>
      <c r="B1" s="34" t="s">
        <v>1</v>
      </c>
      <c r="C1" s="34" t="s">
        <v>2</v>
      </c>
      <c r="D1" s="35" t="s">
        <v>1426</v>
      </c>
      <c r="E1" s="34" t="s">
        <v>1476</v>
      </c>
      <c r="F1" s="36" t="s">
        <v>3</v>
      </c>
      <c r="G1" s="36" t="s">
        <v>4</v>
      </c>
      <c r="H1" s="36" t="s">
        <v>5</v>
      </c>
      <c r="I1" s="37" t="s">
        <v>6</v>
      </c>
      <c r="J1" s="36" t="s">
        <v>7</v>
      </c>
      <c r="K1" s="36" t="s">
        <v>8</v>
      </c>
      <c r="L1" s="36" t="s">
        <v>9</v>
      </c>
      <c r="M1" s="36" t="s">
        <v>10</v>
      </c>
      <c r="N1" s="35" t="s">
        <v>11</v>
      </c>
      <c r="O1" s="38" t="s">
        <v>12</v>
      </c>
      <c r="P1" s="36" t="s">
        <v>13</v>
      </c>
      <c r="Q1" s="36" t="s">
        <v>1457</v>
      </c>
      <c r="R1" s="39" t="s">
        <v>14</v>
      </c>
      <c r="S1" s="37" t="s">
        <v>1431</v>
      </c>
      <c r="T1" s="40" t="s">
        <v>1427</v>
      </c>
      <c r="U1" s="37" t="s">
        <v>1428</v>
      </c>
      <c r="V1" s="37" t="s">
        <v>1429</v>
      </c>
      <c r="W1" s="37" t="s">
        <v>1430</v>
      </c>
      <c r="X1" s="37" t="s">
        <v>1432</v>
      </c>
      <c r="Y1" s="37" t="s">
        <v>1433</v>
      </c>
      <c r="Z1" s="37" t="s">
        <v>1434</v>
      </c>
      <c r="AA1" s="37" t="s">
        <v>1443</v>
      </c>
      <c r="AB1" s="37" t="s">
        <v>1444</v>
      </c>
      <c r="AC1" s="41" t="s">
        <v>1445</v>
      </c>
      <c r="AD1" s="37" t="s">
        <v>1446</v>
      </c>
      <c r="AE1" s="37" t="s">
        <v>1447</v>
      </c>
      <c r="AF1" s="37" t="s">
        <v>1455</v>
      </c>
      <c r="AG1" s="40" t="s">
        <v>1458</v>
      </c>
      <c r="AH1" s="37" t="s">
        <v>1468</v>
      </c>
      <c r="AI1" s="37" t="s">
        <v>1467</v>
      </c>
      <c r="AJ1" s="37" t="s">
        <v>1459</v>
      </c>
      <c r="AK1" s="40" t="s">
        <v>1469</v>
      </c>
      <c r="AL1" s="42" t="s">
        <v>1470</v>
      </c>
    </row>
    <row r="2" spans="1:38" ht="15" thickTop="1" x14ac:dyDescent="0.35">
      <c r="A2" s="29" t="s">
        <v>250</v>
      </c>
      <c r="B2" s="43">
        <v>45855</v>
      </c>
      <c r="C2" s="43">
        <v>45861</v>
      </c>
      <c r="D2" s="44">
        <f t="shared" ref="D2:D11" si="0">DATEDIF(B2,C2,"d")</f>
        <v>6</v>
      </c>
      <c r="E2" s="43" t="str">
        <f t="shared" ref="E2:E11" si="1">"Q"&amp;ROUNDUP(MONTH(B2)/3,0)&amp; "-" &amp;YEAR(B2)</f>
        <v>Q3-2025</v>
      </c>
      <c r="F2" s="30" t="s">
        <v>647</v>
      </c>
      <c r="G2" s="30" t="s">
        <v>652</v>
      </c>
      <c r="H2" s="30" t="s">
        <v>687</v>
      </c>
      <c r="I2" s="30" t="s">
        <v>703</v>
      </c>
      <c r="J2" s="30" t="s">
        <v>707</v>
      </c>
      <c r="K2" s="30" t="s">
        <v>721</v>
      </c>
      <c r="L2" s="30" t="s">
        <v>726</v>
      </c>
      <c r="M2" s="30" t="s">
        <v>968</v>
      </c>
      <c r="N2" s="44">
        <v>1364.89</v>
      </c>
      <c r="O2" s="44">
        <v>2757.54</v>
      </c>
      <c r="P2" s="45">
        <v>0.17199999999999999</v>
      </c>
      <c r="Q2" s="45">
        <f>IF(Table1[[#This Row],[DiscountPct]]&gt;25%,25%,Table1[[#This Row],[DiscountPct]])</f>
        <v>0</v>
      </c>
      <c r="R2" s="46">
        <v>61</v>
      </c>
      <c r="S2" s="45">
        <f t="shared" ref="S2:S11" si="2">(O2-N2)/N2</f>
        <v>1.0203386353479034</v>
      </c>
      <c r="T2" s="47">
        <f t="shared" ref="T2:T11" si="3">O2*R2*(1-P2)</f>
        <v>139277.83032000001</v>
      </c>
      <c r="U2" s="47">
        <f t="shared" ref="U2:U11" si="4">N2*R2</f>
        <v>83258.290000000008</v>
      </c>
      <c r="V2" s="48">
        <f t="shared" ref="V2:V11" si="5">T2-U2</f>
        <v>56019.54032</v>
      </c>
      <c r="W2" s="45">
        <f t="shared" ref="W2:W11" si="6">V2/T2</f>
        <v>0.4022143379983118</v>
      </c>
      <c r="X2" t="str" cm="1">
        <f t="array" ref="X2">_xlfn.IFS(S2&lt;=25%, "Low", S2&lt;=75%, "Medium", S2&gt;75%, "High")</f>
        <v>High</v>
      </c>
      <c r="Y2" s="47">
        <f>Table1[[#This Row],[Quantity]]*(Table1[[#This Row],[UnitPrice]]*(1-Table1[[#This Row],[DiscountPct]]))</f>
        <v>4141.7599999999993</v>
      </c>
      <c r="Z2" s="48">
        <f t="shared" ref="Z2:Z11" si="7">Y2-(N2*R2)</f>
        <v>-79116.530000000013</v>
      </c>
      <c r="AA2" s="30">
        <f>COUNTIF($G$2:G3,G2)</f>
        <v>1</v>
      </c>
      <c r="AB2" s="49">
        <f t="shared" ref="AB2:AB11" si="8">IF(AA2=1,B2,AB1)</f>
        <v>45855</v>
      </c>
      <c r="AC2" s="49">
        <f t="shared" ref="AC2:AC11" si="9">EOMONTH(AB2,0)</f>
        <v>45869</v>
      </c>
      <c r="AD2" s="30" t="str">
        <f t="shared" ref="AD2:AD11" si="10">IF(D2&lt;=7,"Good","Poor")</f>
        <v>Good</v>
      </c>
      <c r="AE2" s="30">
        <f>COUNTIF(AD$2:AD3,AD2)</f>
        <v>1</v>
      </c>
      <c r="AF2" s="30" t="str">
        <f t="shared" ref="AF2:AF11" si="11">IF(P2&gt;20%,"True","False")</f>
        <v>False</v>
      </c>
      <c r="AG2" s="47">
        <f>Table1[[#This Row],[UnitPrice]]*(1-Table1[[#This Row],[Disc Scenario]])*Table1[[#This Row],[Quantity]]</f>
        <v>4141.7599999999993</v>
      </c>
      <c r="AH2" s="30">
        <f>ROUNDDOWN((Table1[[#This Row],[Quantity]]*(1+20%)),0)</f>
        <v>8</v>
      </c>
      <c r="AI2" s="47">
        <f>Table1[[#This Row],[Quantity increase by 20%]]*Table1[[#This Row],[UnitPrice]]</f>
        <v>4733.4399999999996</v>
      </c>
      <c r="AJ2" s="30">
        <f>ROUNDDOWN(Table1[[#This Row],[Quantity]]*(1+20%),0)</f>
        <v>8</v>
      </c>
      <c r="AK2" s="47">
        <f>Table1[[#This Row],[UnitCost]]*(1+15%)</f>
        <v>363.25049999999999</v>
      </c>
      <c r="AL2" s="50">
        <f>Table1[[#This Row],[Quantity]]*Table1[[#This Row],[Cost of unit by inflation 15%]]</f>
        <v>2542.7534999999998</v>
      </c>
    </row>
    <row r="3" spans="1:38" x14ac:dyDescent="0.35">
      <c r="A3" s="31" t="s">
        <v>73</v>
      </c>
      <c r="B3" s="51">
        <v>45817</v>
      </c>
      <c r="C3" s="51">
        <v>45826</v>
      </c>
      <c r="D3" s="52">
        <f t="shared" si="0"/>
        <v>9</v>
      </c>
      <c r="E3" s="51" t="str">
        <f t="shared" si="1"/>
        <v>Q2-2025</v>
      </c>
      <c r="F3" s="32" t="s">
        <v>648</v>
      </c>
      <c r="G3" s="32" t="s">
        <v>656</v>
      </c>
      <c r="H3" s="32" t="s">
        <v>672</v>
      </c>
      <c r="I3" s="32" t="s">
        <v>704</v>
      </c>
      <c r="J3" s="32" t="s">
        <v>708</v>
      </c>
      <c r="K3" s="32" t="s">
        <v>721</v>
      </c>
      <c r="L3" s="32" t="s">
        <v>732</v>
      </c>
      <c r="M3" s="32" t="s">
        <v>791</v>
      </c>
      <c r="N3" s="52">
        <v>1225.5</v>
      </c>
      <c r="O3" s="52">
        <v>2132.37</v>
      </c>
      <c r="P3" s="53">
        <v>7.4999999999999997E-2</v>
      </c>
      <c r="Q3" s="53">
        <f>IF(Table1[[#This Row],[DiscountPct]]&gt;25%,25%,Table1[[#This Row],[DiscountPct]])</f>
        <v>0.14000000000000001</v>
      </c>
      <c r="R3" s="54">
        <v>56</v>
      </c>
      <c r="S3" s="53">
        <f t="shared" si="2"/>
        <v>0.73999999999999988</v>
      </c>
      <c r="T3" s="55">
        <f t="shared" si="3"/>
        <v>110456.766</v>
      </c>
      <c r="U3" s="55">
        <f t="shared" si="4"/>
        <v>68628</v>
      </c>
      <c r="V3" s="56">
        <f t="shared" si="5"/>
        <v>41828.766000000003</v>
      </c>
      <c r="W3" s="53">
        <f t="shared" si="6"/>
        <v>0.3786890338614477</v>
      </c>
      <c r="X3" t="str" cm="1">
        <f t="array" ref="X3">_xlfn.IFS(S3&lt;=25%, "Low", S3&lt;=75%, "Medium", S3&gt;75%, "High")</f>
        <v>Medium</v>
      </c>
      <c r="Y3" s="55">
        <f>Table1[[#This Row],[Quantity]]*(Table1[[#This Row],[UnitPrice]]*(1-Table1[[#This Row],[DiscountPct]]))</f>
        <v>3116.2100000000005</v>
      </c>
      <c r="Z3" s="56">
        <f t="shared" si="7"/>
        <v>-65511.79</v>
      </c>
      <c r="AA3" s="32">
        <f>COUNTIF($G$2:G4,G3)</f>
        <v>1</v>
      </c>
      <c r="AB3" s="57">
        <f t="shared" si="8"/>
        <v>45817</v>
      </c>
      <c r="AC3" s="57">
        <f t="shared" si="9"/>
        <v>45838</v>
      </c>
      <c r="AD3" s="32" t="str">
        <f t="shared" si="10"/>
        <v>Poor</v>
      </c>
      <c r="AE3" s="32">
        <f>COUNTIF(AD$2:AD4,AD3)</f>
        <v>2</v>
      </c>
      <c r="AF3" s="32" t="str">
        <f t="shared" si="11"/>
        <v>False</v>
      </c>
      <c r="AG3" s="55">
        <f>Table1[[#This Row],[UnitPrice]]*(1-Table1[[#This Row],[Disc Scenario]])*Table1[[#This Row],[Quantity]]</f>
        <v>3116.2100000000005</v>
      </c>
      <c r="AH3" s="32">
        <f>ROUNDDOWN((Table1[[#This Row],[Quantity]]*(1+20%)),0)</f>
        <v>6</v>
      </c>
      <c r="AI3" s="55">
        <f>Table1[[#This Row],[Quantity increase by 20%]]*Table1[[#This Row],[UnitPrice]]</f>
        <v>4348.2000000000007</v>
      </c>
      <c r="AJ3" s="32">
        <f>ROUNDDOWN(Table1[[#This Row],[Quantity]]*(1+20%),0)</f>
        <v>6</v>
      </c>
      <c r="AK3" s="55">
        <f>Table1[[#This Row],[UnitCost]]*(1+15%)</f>
        <v>343.87299999999993</v>
      </c>
      <c r="AL3" s="58">
        <f>Table1[[#This Row],[Quantity]]*Table1[[#This Row],[Cost of unit by inflation 15%]]</f>
        <v>1719.3649999999998</v>
      </c>
    </row>
    <row r="4" spans="1:38" x14ac:dyDescent="0.35">
      <c r="A4" s="29" t="s">
        <v>62</v>
      </c>
      <c r="B4" s="43">
        <v>45426</v>
      </c>
      <c r="C4" s="43">
        <v>45440</v>
      </c>
      <c r="D4" s="44">
        <f t="shared" si="0"/>
        <v>14</v>
      </c>
      <c r="E4" s="43" t="str">
        <f t="shared" si="1"/>
        <v>Q2-2024</v>
      </c>
      <c r="F4" s="30" t="s">
        <v>648</v>
      </c>
      <c r="G4" s="30" t="s">
        <v>657</v>
      </c>
      <c r="H4" s="30" t="s">
        <v>673</v>
      </c>
      <c r="I4" s="30" t="s">
        <v>703</v>
      </c>
      <c r="J4" s="30" t="s">
        <v>706</v>
      </c>
      <c r="K4" s="30" t="s">
        <v>716</v>
      </c>
      <c r="L4" s="30" t="s">
        <v>728</v>
      </c>
      <c r="M4" s="30" t="s">
        <v>780</v>
      </c>
      <c r="N4" s="44">
        <v>1421.14</v>
      </c>
      <c r="O4" s="44">
        <v>3524</v>
      </c>
      <c r="P4" s="45">
        <v>0</v>
      </c>
      <c r="Q4" s="45">
        <f>IF(Table1[[#This Row],[DiscountPct]]&gt;25%,25%,Table1[[#This Row],[DiscountPct]])</f>
        <v>8.8999999999999996E-2</v>
      </c>
      <c r="R4" s="46">
        <v>31</v>
      </c>
      <c r="S4" s="45">
        <f t="shared" si="2"/>
        <v>1.4796993962593408</v>
      </c>
      <c r="T4" s="47">
        <f t="shared" si="3"/>
        <v>109244</v>
      </c>
      <c r="U4" s="47">
        <f t="shared" si="4"/>
        <v>44055.340000000004</v>
      </c>
      <c r="V4" s="48">
        <f t="shared" si="5"/>
        <v>65188.659999999996</v>
      </c>
      <c r="W4" s="45">
        <f t="shared" si="6"/>
        <v>0.59672531214528945</v>
      </c>
      <c r="X4" t="str" cm="1">
        <f t="array" ref="X4">_xlfn.IFS(S4&lt;=25%, "Low", S4&lt;=75%, "Medium", S4&gt;75%, "High")</f>
        <v>High</v>
      </c>
      <c r="Y4" s="47">
        <f>Table1[[#This Row],[Quantity]]*(Table1[[#This Row],[UnitPrice]]*(1-Table1[[#This Row],[DiscountPct]]))</f>
        <v>9847.2358600000007</v>
      </c>
      <c r="Z4" s="48">
        <f t="shared" si="7"/>
        <v>-34208.104140000003</v>
      </c>
      <c r="AA4" s="30">
        <f>COUNTIF($G$2:G5,G4)</f>
        <v>1</v>
      </c>
      <c r="AB4" s="49">
        <f t="shared" si="8"/>
        <v>45426</v>
      </c>
      <c r="AC4" s="49">
        <f t="shared" si="9"/>
        <v>45443</v>
      </c>
      <c r="AD4" s="30" t="str">
        <f t="shared" si="10"/>
        <v>Poor</v>
      </c>
      <c r="AE4" s="30">
        <f>COUNTIF(AD$2:AD5,AD4)</f>
        <v>2</v>
      </c>
      <c r="AF4" s="30" t="str">
        <f t="shared" si="11"/>
        <v>False</v>
      </c>
      <c r="AG4" s="47">
        <f>Table1[[#This Row],[UnitPrice]]*(1-Table1[[#This Row],[Disc Scenario]])*Table1[[#This Row],[Quantity]]</f>
        <v>9847.2358600000007</v>
      </c>
      <c r="AH4" s="30">
        <f>ROUNDDOWN((Table1[[#This Row],[Quantity]]*(1+20%)),0)</f>
        <v>16</v>
      </c>
      <c r="AI4" s="47">
        <f>Table1[[#This Row],[Quantity increase by 20%]]*Table1[[#This Row],[UnitPrice]]</f>
        <v>12353.44</v>
      </c>
      <c r="AJ4" s="30">
        <f>ROUNDDOWN(Table1[[#This Row],[Quantity]]*(1+20%),0)</f>
        <v>16</v>
      </c>
      <c r="AK4" s="47">
        <f>Table1[[#This Row],[UnitCost]]*(1+15%)</f>
        <v>461.90899999999999</v>
      </c>
      <c r="AL4" s="50">
        <f>Table1[[#This Row],[Quantity]]*Table1[[#This Row],[Cost of unit by inflation 15%]]</f>
        <v>6466.7259999999997</v>
      </c>
    </row>
    <row r="5" spans="1:38" x14ac:dyDescent="0.35">
      <c r="A5" s="31" t="s">
        <v>435</v>
      </c>
      <c r="B5" s="51">
        <v>45841</v>
      </c>
      <c r="C5" s="51">
        <v>45844</v>
      </c>
      <c r="D5" s="52">
        <f t="shared" si="0"/>
        <v>3</v>
      </c>
      <c r="E5" s="51" t="str">
        <f t="shared" si="1"/>
        <v>Q3-2025</v>
      </c>
      <c r="F5" s="32" t="s">
        <v>645</v>
      </c>
      <c r="G5" s="32" t="s">
        <v>650</v>
      </c>
      <c r="H5" s="32" t="s">
        <v>664</v>
      </c>
      <c r="I5" s="32" t="s">
        <v>703</v>
      </c>
      <c r="J5" s="32" t="s">
        <v>707</v>
      </c>
      <c r="K5" s="32" t="s">
        <v>712</v>
      </c>
      <c r="L5" s="32" t="s">
        <v>730</v>
      </c>
      <c r="M5" s="32" t="s">
        <v>1152</v>
      </c>
      <c r="N5" s="52">
        <v>1313.3</v>
      </c>
      <c r="O5" s="52">
        <v>2884.34</v>
      </c>
      <c r="P5" s="53">
        <v>0.157</v>
      </c>
      <c r="Q5" s="53">
        <f>IF(Table1[[#This Row],[DiscountPct]]&gt;25%,25%,Table1[[#This Row],[DiscountPct]])</f>
        <v>0</v>
      </c>
      <c r="R5" s="54">
        <v>42</v>
      </c>
      <c r="S5" s="53">
        <f t="shared" si="2"/>
        <v>1.196253712023148</v>
      </c>
      <c r="T5" s="55">
        <f t="shared" si="3"/>
        <v>102122.94203999999</v>
      </c>
      <c r="U5" s="55">
        <f t="shared" si="4"/>
        <v>55158.6</v>
      </c>
      <c r="V5" s="56">
        <f t="shared" si="5"/>
        <v>46964.342039999996</v>
      </c>
      <c r="W5" s="53">
        <f t="shared" si="6"/>
        <v>0.45988042551305253</v>
      </c>
      <c r="X5" t="str" cm="1">
        <f t="array" ref="X5">_xlfn.IFS(S5&lt;=25%, "Low", S5&lt;=75%, "Medium", S5&gt;75%, "High")</f>
        <v>High</v>
      </c>
      <c r="Y5" s="55">
        <f>Table1[[#This Row],[Quantity]]*(Table1[[#This Row],[UnitPrice]]*(1-Table1[[#This Row],[DiscountPct]]))</f>
        <v>11406.96</v>
      </c>
      <c r="Z5" s="56">
        <f t="shared" si="7"/>
        <v>-43751.64</v>
      </c>
      <c r="AA5" s="32">
        <f>COUNTIF($G$2:G6,G5)</f>
        <v>1</v>
      </c>
      <c r="AB5" s="57">
        <f t="shared" si="8"/>
        <v>45841</v>
      </c>
      <c r="AC5" s="57">
        <f t="shared" si="9"/>
        <v>45869</v>
      </c>
      <c r="AD5" s="32" t="str">
        <f t="shared" si="10"/>
        <v>Good</v>
      </c>
      <c r="AE5" s="32">
        <f>COUNTIF(AD$2:AD6,AD5)</f>
        <v>2</v>
      </c>
      <c r="AF5" s="32" t="str">
        <f t="shared" si="11"/>
        <v>False</v>
      </c>
      <c r="AG5" s="55">
        <f>Table1[[#This Row],[UnitPrice]]*(1-Table1[[#This Row],[Disc Scenario]])*Table1[[#This Row],[Quantity]]</f>
        <v>11406.96</v>
      </c>
      <c r="AH5" s="32">
        <f>ROUNDDOWN((Table1[[#This Row],[Quantity]]*(1+20%)),0)</f>
        <v>9</v>
      </c>
      <c r="AI5" s="55">
        <f>Table1[[#This Row],[Quantity increase by 20%]]*Table1[[#This Row],[UnitPrice]]</f>
        <v>12832.829999999998</v>
      </c>
      <c r="AJ5" s="32">
        <f>ROUNDDOWN(Table1[[#This Row],[Quantity]]*(1+20%),0)</f>
        <v>9</v>
      </c>
      <c r="AK5" s="55">
        <f>Table1[[#This Row],[UnitCost]]*(1+15%)</f>
        <v>1245.5534999999998</v>
      </c>
      <c r="AL5" s="58">
        <f>Table1[[#This Row],[Quantity]]*Table1[[#This Row],[Cost of unit by inflation 15%]]</f>
        <v>9964.4279999999981</v>
      </c>
    </row>
    <row r="6" spans="1:38" x14ac:dyDescent="0.35">
      <c r="A6" s="29" t="s">
        <v>189</v>
      </c>
      <c r="B6" s="43">
        <v>45761</v>
      </c>
      <c r="C6" s="43">
        <v>45781</v>
      </c>
      <c r="D6" s="44">
        <f t="shared" si="0"/>
        <v>20</v>
      </c>
      <c r="E6" s="43" t="str">
        <f t="shared" si="1"/>
        <v>Q2-2025</v>
      </c>
      <c r="F6" s="30" t="s">
        <v>648</v>
      </c>
      <c r="G6" s="30" t="s">
        <v>657</v>
      </c>
      <c r="H6" s="30" t="s">
        <v>673</v>
      </c>
      <c r="I6" s="30" t="s">
        <v>705</v>
      </c>
      <c r="J6" s="30" t="s">
        <v>708</v>
      </c>
      <c r="K6" s="30" t="s">
        <v>722</v>
      </c>
      <c r="L6" s="30" t="s">
        <v>731</v>
      </c>
      <c r="M6" s="30" t="s">
        <v>907</v>
      </c>
      <c r="N6" s="44">
        <v>1413.87</v>
      </c>
      <c r="O6" s="44">
        <v>3275</v>
      </c>
      <c r="P6" s="45">
        <v>0.255</v>
      </c>
      <c r="Q6" s="45">
        <f>IF(Table1[[#This Row],[DiscountPct]]&gt;25%,25%,Table1[[#This Row],[DiscountPct]])</f>
        <v>5.7000000000000002E-2</v>
      </c>
      <c r="R6" s="46">
        <v>38</v>
      </c>
      <c r="S6" s="45">
        <f t="shared" si="2"/>
        <v>1.3163374284764513</v>
      </c>
      <c r="T6" s="47">
        <f t="shared" si="3"/>
        <v>92715.25</v>
      </c>
      <c r="U6" s="47">
        <f t="shared" si="4"/>
        <v>53727.06</v>
      </c>
      <c r="V6" s="48">
        <f t="shared" si="5"/>
        <v>38988.19</v>
      </c>
      <c r="W6" s="45">
        <f t="shared" si="6"/>
        <v>0.42051539525590453</v>
      </c>
      <c r="X6" t="str" cm="1">
        <f t="array" ref="X6">_xlfn.IFS(S6&lt;=25%, "Low", S6&lt;=75%, "Medium", S6&gt;75%, "High")</f>
        <v>High</v>
      </c>
      <c r="Y6" s="47">
        <f>Table1[[#This Row],[Quantity]]*(Table1[[#This Row],[UnitPrice]]*(1-Table1[[#This Row],[DiscountPct]]))</f>
        <v>14963.769179999999</v>
      </c>
      <c r="Z6" s="48">
        <f t="shared" si="7"/>
        <v>-38763.290819999995</v>
      </c>
      <c r="AA6" s="30">
        <f>COUNTIF($G$2:G7,G6)</f>
        <v>2</v>
      </c>
      <c r="AB6" s="49">
        <f t="shared" si="8"/>
        <v>45841</v>
      </c>
      <c r="AC6" s="49">
        <f t="shared" si="9"/>
        <v>45869</v>
      </c>
      <c r="AD6" s="30" t="str">
        <f t="shared" si="10"/>
        <v>Poor</v>
      </c>
      <c r="AE6" s="30">
        <f>COUNTIF(AD$2:AD7,AD6)</f>
        <v>4</v>
      </c>
      <c r="AF6" s="30" t="str">
        <f t="shared" si="11"/>
        <v>True</v>
      </c>
      <c r="AG6" s="47">
        <f>Table1[[#This Row],[UnitPrice]]*(1-Table1[[#This Row],[Disc Scenario]])*Table1[[#This Row],[Quantity]]</f>
        <v>14963.769179999999</v>
      </c>
      <c r="AH6" s="30">
        <f>ROUNDDOWN((Table1[[#This Row],[Quantity]]*(1+20%)),0)</f>
        <v>21</v>
      </c>
      <c r="AI6" s="47">
        <f>Table1[[#This Row],[Quantity increase by 20%]]*Table1[[#This Row],[UnitPrice]]</f>
        <v>18512.97</v>
      </c>
      <c r="AJ6" s="30">
        <f>ROUNDDOWN(Table1[[#This Row],[Quantity]]*(1+20%),0)</f>
        <v>21</v>
      </c>
      <c r="AK6" s="47">
        <f>Table1[[#This Row],[UnitCost]]*(1+15%)</f>
        <v>958.60550000000001</v>
      </c>
      <c r="AL6" s="50">
        <f>Table1[[#This Row],[Quantity]]*Table1[[#This Row],[Cost of unit by inflation 15%]]</f>
        <v>17254.899000000001</v>
      </c>
    </row>
    <row r="7" spans="1:38" x14ac:dyDescent="0.35">
      <c r="A7" s="31" t="s">
        <v>154</v>
      </c>
      <c r="B7" s="51">
        <v>45048</v>
      </c>
      <c r="C7" s="51">
        <v>45064</v>
      </c>
      <c r="D7" s="52">
        <f t="shared" si="0"/>
        <v>16</v>
      </c>
      <c r="E7" s="51" t="str">
        <f t="shared" si="1"/>
        <v>Q2-2023</v>
      </c>
      <c r="F7" s="32" t="s">
        <v>646</v>
      </c>
      <c r="G7" s="32" t="s">
        <v>653</v>
      </c>
      <c r="H7" s="32" t="s">
        <v>679</v>
      </c>
      <c r="I7" s="32" t="s">
        <v>704</v>
      </c>
      <c r="J7" s="32" t="s">
        <v>708</v>
      </c>
      <c r="K7" s="32" t="s">
        <v>722</v>
      </c>
      <c r="L7" s="32" t="s">
        <v>731</v>
      </c>
      <c r="M7" s="32" t="s">
        <v>872</v>
      </c>
      <c r="N7" s="52">
        <v>1463.92</v>
      </c>
      <c r="O7" s="52">
        <v>2252.2399999999998</v>
      </c>
      <c r="P7" s="53">
        <v>0.11799999999999999</v>
      </c>
      <c r="Q7" s="53">
        <f>IF(Table1[[#This Row],[DiscountPct]]&gt;25%,25%,Table1[[#This Row],[DiscountPct]])</f>
        <v>0.19400000000000001</v>
      </c>
      <c r="R7" s="54">
        <v>44</v>
      </c>
      <c r="S7" s="53">
        <f t="shared" si="2"/>
        <v>0.53849937155035776</v>
      </c>
      <c r="T7" s="55">
        <f t="shared" si="3"/>
        <v>87404.929919999995</v>
      </c>
      <c r="U7" s="55">
        <f t="shared" si="4"/>
        <v>64412.480000000003</v>
      </c>
      <c r="V7" s="56">
        <f t="shared" si="5"/>
        <v>22992.449919999992</v>
      </c>
      <c r="W7" s="53">
        <f t="shared" si="6"/>
        <v>0.26305667130040061</v>
      </c>
      <c r="X7" t="str" cm="1">
        <f t="array" ref="X7">_xlfn.IFS(S7&lt;=25%, "Low", S7&lt;=75%, "Medium", S7&gt;75%, "High")</f>
        <v>Medium</v>
      </c>
      <c r="Y7" s="55">
        <f>Table1[[#This Row],[Quantity]]*(Table1[[#This Row],[UnitPrice]]*(1-Table1[[#This Row],[DiscountPct]]))</f>
        <v>685.06776000000002</v>
      </c>
      <c r="Z7" s="56">
        <f t="shared" si="7"/>
        <v>-63727.412240000005</v>
      </c>
      <c r="AA7" s="32">
        <f>COUNTIF($G$2:G8,G7)</f>
        <v>1</v>
      </c>
      <c r="AB7" s="57">
        <f t="shared" si="8"/>
        <v>45048</v>
      </c>
      <c r="AC7" s="57">
        <f t="shared" si="9"/>
        <v>45077</v>
      </c>
      <c r="AD7" s="32" t="str">
        <f t="shared" si="10"/>
        <v>Poor</v>
      </c>
      <c r="AE7" s="32">
        <f>COUNTIF(AD$2:AD8,AD7)</f>
        <v>5</v>
      </c>
      <c r="AF7" s="32" t="str">
        <f t="shared" si="11"/>
        <v>False</v>
      </c>
      <c r="AG7" s="55">
        <f>Table1[[#This Row],[UnitPrice]]*(1-Table1[[#This Row],[Disc Scenario]])*Table1[[#This Row],[Quantity]]</f>
        <v>685.06776000000002</v>
      </c>
      <c r="AH7" s="32">
        <f>ROUNDDOWN((Table1[[#This Row],[Quantity]]*(1+20%)),0)</f>
        <v>21</v>
      </c>
      <c r="AI7" s="55">
        <f>Table1[[#This Row],[Quantity increase by 20%]]*Table1[[#This Row],[UnitPrice]]</f>
        <v>991.62</v>
      </c>
      <c r="AJ7" s="32">
        <f>ROUNDDOWN(Table1[[#This Row],[Quantity]]*(1+20%),0)</f>
        <v>21</v>
      </c>
      <c r="AK7" s="55">
        <f>Table1[[#This Row],[UnitCost]]*(1+15%)</f>
        <v>32.636999999999993</v>
      </c>
      <c r="AL7" s="58">
        <f>Table1[[#This Row],[Quantity]]*Table1[[#This Row],[Cost of unit by inflation 15%]]</f>
        <v>587.46599999999989</v>
      </c>
    </row>
    <row r="8" spans="1:38" x14ac:dyDescent="0.35">
      <c r="A8" s="29" t="s">
        <v>179</v>
      </c>
      <c r="B8" s="43">
        <v>44976</v>
      </c>
      <c r="C8" s="43">
        <v>44997</v>
      </c>
      <c r="D8" s="44">
        <f t="shared" si="0"/>
        <v>21</v>
      </c>
      <c r="E8" s="43" t="str">
        <f t="shared" si="1"/>
        <v>Q1-2023</v>
      </c>
      <c r="F8" s="30" t="s">
        <v>648</v>
      </c>
      <c r="G8" s="30" t="s">
        <v>655</v>
      </c>
      <c r="H8" s="30" t="s">
        <v>670</v>
      </c>
      <c r="I8" s="30" t="s">
        <v>704</v>
      </c>
      <c r="J8" s="30" t="s">
        <v>710</v>
      </c>
      <c r="K8" s="30" t="s">
        <v>715</v>
      </c>
      <c r="L8" s="30" t="s">
        <v>731</v>
      </c>
      <c r="M8" s="30" t="s">
        <v>897</v>
      </c>
      <c r="N8" s="44">
        <v>1234.81</v>
      </c>
      <c r="O8" s="44">
        <v>2055.2399999999998</v>
      </c>
      <c r="P8" s="45">
        <v>5.2999999999999999E-2</v>
      </c>
      <c r="Q8" s="45">
        <f>IF(Table1[[#This Row],[DiscountPct]]&gt;25%,25%,Table1[[#This Row],[DiscountPct]])</f>
        <v>6.6000000000000003E-2</v>
      </c>
      <c r="R8" s="46">
        <v>44</v>
      </c>
      <c r="S8" s="45">
        <f t="shared" si="2"/>
        <v>0.66441800762870395</v>
      </c>
      <c r="T8" s="47">
        <f t="shared" si="3"/>
        <v>85637.740319999997</v>
      </c>
      <c r="U8" s="47">
        <f t="shared" si="4"/>
        <v>54331.64</v>
      </c>
      <c r="V8" s="48">
        <f t="shared" si="5"/>
        <v>31306.100319999998</v>
      </c>
      <c r="W8" s="45">
        <f t="shared" si="6"/>
        <v>0.36556429680441616</v>
      </c>
      <c r="X8" t="str" cm="1">
        <f t="array" ref="X8">_xlfn.IFS(S8&lt;=25%, "Low", S8&lt;=75%, "Medium", S8&gt;75%, "High")</f>
        <v>Medium</v>
      </c>
      <c r="Y8" s="47">
        <f>Table1[[#This Row],[Quantity]]*(Table1[[#This Row],[UnitPrice]]*(1-Table1[[#This Row],[DiscountPct]]))</f>
        <v>19628.476999999999</v>
      </c>
      <c r="Z8" s="48">
        <f t="shared" si="7"/>
        <v>-34703.163</v>
      </c>
      <c r="AA8" s="30">
        <f>COUNTIF($G$2:G9,G8)</f>
        <v>1</v>
      </c>
      <c r="AB8" s="49">
        <f t="shared" si="8"/>
        <v>44976</v>
      </c>
      <c r="AC8" s="49">
        <f t="shared" si="9"/>
        <v>44985</v>
      </c>
      <c r="AD8" s="30" t="str">
        <f t="shared" si="10"/>
        <v>Poor</v>
      </c>
      <c r="AE8" s="30">
        <f>COUNTIF(AD$2:AD9,AD8)</f>
        <v>6</v>
      </c>
      <c r="AF8" s="30" t="str">
        <f t="shared" si="11"/>
        <v>False</v>
      </c>
      <c r="AG8" s="47">
        <f>Table1[[#This Row],[UnitPrice]]*(1-Table1[[#This Row],[Disc Scenario]])*Table1[[#This Row],[Quantity]]</f>
        <v>19628.476999999999</v>
      </c>
      <c r="AH8" s="30">
        <f>ROUNDDOWN((Table1[[#This Row],[Quantity]]*(1+20%)),0)</f>
        <v>12</v>
      </c>
      <c r="AI8" s="47">
        <f>Table1[[#This Row],[Quantity increase by 20%]]*Table1[[#This Row],[UnitPrice]]</f>
        <v>25218.600000000002</v>
      </c>
      <c r="AJ8" s="30">
        <f>ROUNDDOWN(Table1[[#This Row],[Quantity]]*(1+20%),0)</f>
        <v>12</v>
      </c>
      <c r="AK8" s="47">
        <f>Table1[[#This Row],[UnitCost]]*(1+15%)</f>
        <v>1004.0189999999999</v>
      </c>
      <c r="AL8" s="50">
        <f>Table1[[#This Row],[Quantity]]*Table1[[#This Row],[Cost of unit by inflation 15%]]</f>
        <v>10040.189999999999</v>
      </c>
    </row>
    <row r="9" spans="1:38" x14ac:dyDescent="0.35">
      <c r="A9" s="31" t="s">
        <v>478</v>
      </c>
      <c r="B9" s="51">
        <v>45618</v>
      </c>
      <c r="C9" s="51">
        <v>45641</v>
      </c>
      <c r="D9" s="52">
        <f t="shared" si="0"/>
        <v>23</v>
      </c>
      <c r="E9" s="51" t="str">
        <f t="shared" si="1"/>
        <v>Q4-2024</v>
      </c>
      <c r="F9" s="32" t="s">
        <v>645</v>
      </c>
      <c r="G9" s="32" t="s">
        <v>649</v>
      </c>
      <c r="H9" s="32" t="s">
        <v>674</v>
      </c>
      <c r="I9" s="32" t="s">
        <v>702</v>
      </c>
      <c r="J9" s="32" t="s">
        <v>709</v>
      </c>
      <c r="K9" s="32" t="s">
        <v>711</v>
      </c>
      <c r="L9" s="32" t="s">
        <v>726</v>
      </c>
      <c r="M9" s="32" t="s">
        <v>1195</v>
      </c>
      <c r="N9" s="52">
        <v>1335.76</v>
      </c>
      <c r="O9" s="52">
        <v>2665.91</v>
      </c>
      <c r="P9" s="53">
        <v>0.21099999999999999</v>
      </c>
      <c r="Q9" s="53">
        <f>IF(Table1[[#This Row],[DiscountPct]]&gt;25%,25%,Table1[[#This Row],[DiscountPct]])</f>
        <v>0.24299999999999999</v>
      </c>
      <c r="R9" s="54">
        <v>40</v>
      </c>
      <c r="S9" s="53">
        <f t="shared" si="2"/>
        <v>0.99580014373839598</v>
      </c>
      <c r="T9" s="55">
        <f t="shared" si="3"/>
        <v>84136.119600000005</v>
      </c>
      <c r="U9" s="55">
        <f t="shared" si="4"/>
        <v>53430.400000000001</v>
      </c>
      <c r="V9" s="56">
        <f t="shared" si="5"/>
        <v>30705.719600000004</v>
      </c>
      <c r="W9" s="53">
        <f t="shared" si="6"/>
        <v>0.36495288522909253</v>
      </c>
      <c r="X9" t="str" cm="1">
        <f t="array" ref="X9">_xlfn.IFS(S9&lt;=25%, "Low", S9&lt;=75%, "Medium", S9&gt;75%, "High")</f>
        <v>High</v>
      </c>
      <c r="Y9" s="55">
        <f>Table1[[#This Row],[Quantity]]*(Table1[[#This Row],[UnitPrice]]*(1-Table1[[#This Row],[DiscountPct]]))</f>
        <v>47962.717579999997</v>
      </c>
      <c r="Z9" s="56">
        <f t="shared" si="7"/>
        <v>-5467.6824200000046</v>
      </c>
      <c r="AA9" s="32">
        <f>COUNTIF($G$2:G10,G9)</f>
        <v>1</v>
      </c>
      <c r="AB9" s="57">
        <f t="shared" si="8"/>
        <v>45618</v>
      </c>
      <c r="AC9" s="57">
        <f t="shared" si="9"/>
        <v>45626</v>
      </c>
      <c r="AD9" s="32" t="str">
        <f t="shared" si="10"/>
        <v>Poor</v>
      </c>
      <c r="AE9" s="32">
        <f>COUNTIF(AD$2:AD10,AD9)</f>
        <v>6</v>
      </c>
      <c r="AF9" s="32" t="str">
        <f t="shared" si="11"/>
        <v>True</v>
      </c>
      <c r="AG9" s="55">
        <f>Table1[[#This Row],[UnitPrice]]*(1-Table1[[#This Row],[Disc Scenario]])*Table1[[#This Row],[Quantity]]</f>
        <v>47962.717579999997</v>
      </c>
      <c r="AH9" s="32">
        <f>ROUNDDOWN((Table1[[#This Row],[Quantity]]*(1+20%)),0)</f>
        <v>49</v>
      </c>
      <c r="AI9" s="55">
        <f>Table1[[#This Row],[Quantity increase by 20%]]*Table1[[#This Row],[UnitPrice]]</f>
        <v>75721.659999999989</v>
      </c>
      <c r="AJ9" s="32">
        <f>ROUNDDOWN(Table1[[#This Row],[Quantity]]*(1+20%),0)</f>
        <v>49</v>
      </c>
      <c r="AK9" s="55">
        <f>Table1[[#This Row],[UnitCost]]*(1+15%)</f>
        <v>1017.0139999999999</v>
      </c>
      <c r="AL9" s="58">
        <f>Table1[[#This Row],[Quantity]]*Table1[[#This Row],[Cost of unit by inflation 15%]]</f>
        <v>41697.573999999993</v>
      </c>
    </row>
    <row r="10" spans="1:38" x14ac:dyDescent="0.35">
      <c r="A10" s="29" t="s">
        <v>375</v>
      </c>
      <c r="B10" s="43">
        <v>45108</v>
      </c>
      <c r="C10" s="43">
        <v>45115</v>
      </c>
      <c r="D10" s="44">
        <f t="shared" si="0"/>
        <v>7</v>
      </c>
      <c r="E10" s="43" t="str">
        <f t="shared" si="1"/>
        <v>Q3-2023</v>
      </c>
      <c r="F10" s="30" t="s">
        <v>645</v>
      </c>
      <c r="G10" s="30" t="s">
        <v>650</v>
      </c>
      <c r="H10" s="30" t="s">
        <v>662</v>
      </c>
      <c r="I10" s="30" t="s">
        <v>700</v>
      </c>
      <c r="J10" s="30" t="s">
        <v>706</v>
      </c>
      <c r="K10" s="30" t="s">
        <v>719</v>
      </c>
      <c r="L10" s="30" t="s">
        <v>730</v>
      </c>
      <c r="M10" s="30" t="s">
        <v>1093</v>
      </c>
      <c r="N10" s="44">
        <v>834.26</v>
      </c>
      <c r="O10" s="44">
        <v>1780.56</v>
      </c>
      <c r="P10" s="45">
        <v>1.4E-2</v>
      </c>
      <c r="Q10" s="45">
        <f>IF(Table1[[#This Row],[DiscountPct]]&gt;25%,25%,Table1[[#This Row],[DiscountPct]])</f>
        <v>0.19600000000000001</v>
      </c>
      <c r="R10" s="46">
        <v>47</v>
      </c>
      <c r="S10" s="45">
        <f t="shared" si="2"/>
        <v>1.1342986598902021</v>
      </c>
      <c r="T10" s="47">
        <f t="shared" si="3"/>
        <v>82514.711519999997</v>
      </c>
      <c r="U10" s="47">
        <f t="shared" si="4"/>
        <v>39210.22</v>
      </c>
      <c r="V10" s="48">
        <f t="shared" si="5"/>
        <v>43304.491519999996</v>
      </c>
      <c r="W10" s="45">
        <f t="shared" si="6"/>
        <v>0.5248093427497933</v>
      </c>
      <c r="X10" t="str" cm="1">
        <f t="array" ref="X10">_xlfn.IFS(S10&lt;=25%, "Low", S10&lt;=75%, "Medium", S10&gt;75%, "High")</f>
        <v>High</v>
      </c>
      <c r="Y10" s="47">
        <f>Table1[[#This Row],[Quantity]]*(Table1[[#This Row],[UnitPrice]]*(1-Table1[[#This Row],[DiscountPct]]))</f>
        <v>2231.6467200000002</v>
      </c>
      <c r="Z10" s="48">
        <f t="shared" si="7"/>
        <v>-36978.573280000004</v>
      </c>
      <c r="AA10" s="30">
        <f>COUNTIF($G$2:G11,G10)</f>
        <v>2</v>
      </c>
      <c r="AB10" s="49">
        <f t="shared" si="8"/>
        <v>45618</v>
      </c>
      <c r="AC10" s="49">
        <f t="shared" si="9"/>
        <v>45626</v>
      </c>
      <c r="AD10" s="30" t="str">
        <f t="shared" si="10"/>
        <v>Good</v>
      </c>
      <c r="AE10" s="30">
        <f>COUNTIF(AD$2:AD11,AD10)</f>
        <v>4</v>
      </c>
      <c r="AF10" s="30" t="str">
        <f t="shared" si="11"/>
        <v>False</v>
      </c>
      <c r="AG10" s="47">
        <f>Table1[[#This Row],[UnitPrice]]*(1-Table1[[#This Row],[Disc Scenario]])*Table1[[#This Row],[Quantity]]</f>
        <v>2231.6467200000002</v>
      </c>
      <c r="AH10" s="30">
        <f>ROUNDDOWN((Table1[[#This Row],[Quantity]]*(1+20%)),0)</f>
        <v>9</v>
      </c>
      <c r="AI10" s="47">
        <f>Table1[[#This Row],[Quantity increase by 20%]]*Table1[[#This Row],[UnitPrice]]</f>
        <v>3122.64</v>
      </c>
      <c r="AJ10" s="30">
        <f>ROUNDDOWN(Table1[[#This Row],[Quantity]]*(1+20%),0)</f>
        <v>9</v>
      </c>
      <c r="AK10" s="47">
        <f>Table1[[#This Row],[UnitCost]]*(1+15%)</f>
        <v>173.489</v>
      </c>
      <c r="AL10" s="50">
        <f>Table1[[#This Row],[Quantity]]*Table1[[#This Row],[Cost of unit by inflation 15%]]</f>
        <v>1387.912</v>
      </c>
    </row>
    <row r="11" spans="1:38" x14ac:dyDescent="0.35">
      <c r="A11" s="31" t="s">
        <v>626</v>
      </c>
      <c r="B11" s="51">
        <v>45468</v>
      </c>
      <c r="C11" s="51">
        <v>45473</v>
      </c>
      <c r="D11" s="52">
        <f t="shared" si="0"/>
        <v>5</v>
      </c>
      <c r="E11" s="51" t="str">
        <f t="shared" si="1"/>
        <v>Q2-2024</v>
      </c>
      <c r="F11" s="32" t="s">
        <v>645</v>
      </c>
      <c r="G11" s="32" t="s">
        <v>649</v>
      </c>
      <c r="H11" s="32" t="s">
        <v>661</v>
      </c>
      <c r="I11" s="32" t="s">
        <v>701</v>
      </c>
      <c r="J11" s="32" t="s">
        <v>710</v>
      </c>
      <c r="K11" s="32" t="s">
        <v>723</v>
      </c>
      <c r="L11" s="32" t="s">
        <v>728</v>
      </c>
      <c r="M11" s="32" t="s">
        <v>1342</v>
      </c>
      <c r="N11" s="52">
        <v>1323.55</v>
      </c>
      <c r="O11" s="52">
        <v>3230.35</v>
      </c>
      <c r="P11" s="53">
        <v>2.1999999999999999E-2</v>
      </c>
      <c r="Q11" s="53">
        <f>IF(Table1[[#This Row],[DiscountPct]]&gt;25%,25%,Table1[[#This Row],[DiscountPct]])</f>
        <v>8.8999999999999996E-2</v>
      </c>
      <c r="R11" s="54">
        <v>26</v>
      </c>
      <c r="S11" s="53">
        <f t="shared" si="2"/>
        <v>1.4406709228967549</v>
      </c>
      <c r="T11" s="55">
        <f t="shared" si="3"/>
        <v>82141.339799999987</v>
      </c>
      <c r="U11" s="55">
        <f t="shared" si="4"/>
        <v>34412.299999999996</v>
      </c>
      <c r="V11" s="56">
        <f t="shared" si="5"/>
        <v>47729.039799999991</v>
      </c>
      <c r="W11" s="53">
        <f t="shared" si="6"/>
        <v>0.58105991351263542</v>
      </c>
      <c r="X11" t="str" cm="1">
        <f t="array" ref="X11">_xlfn.IFS(S11&lt;=25%, "Low", S11&lt;=75%, "Medium", S11&gt;75%, "High")</f>
        <v>High</v>
      </c>
      <c r="Y11" s="55">
        <f>Table1[[#This Row],[Quantity]]*(Table1[[#This Row],[UnitPrice]]*(1-Table1[[#This Row],[DiscountPct]]))</f>
        <v>6776.5299820000009</v>
      </c>
      <c r="Z11" s="56">
        <f t="shared" si="7"/>
        <v>-27635.770017999996</v>
      </c>
      <c r="AA11" s="32">
        <f>COUNTIF($G$2:G12,G11)</f>
        <v>2</v>
      </c>
      <c r="AB11" s="57">
        <f t="shared" si="8"/>
        <v>45618</v>
      </c>
      <c r="AC11" s="57">
        <f t="shared" si="9"/>
        <v>45626</v>
      </c>
      <c r="AD11" s="32" t="str">
        <f t="shared" si="10"/>
        <v>Good</v>
      </c>
      <c r="AE11" s="32">
        <f>COUNTIF(AD$2:AD12,AD11)</f>
        <v>4</v>
      </c>
      <c r="AF11" s="32" t="str">
        <f t="shared" si="11"/>
        <v>False</v>
      </c>
      <c r="AG11" s="55">
        <f>Table1[[#This Row],[UnitPrice]]*(1-Table1[[#This Row],[Disc Scenario]])*Table1[[#This Row],[Quantity]]</f>
        <v>6776.5299820000009</v>
      </c>
      <c r="AH11" s="32">
        <f>ROUNDDOWN((Table1[[#This Row],[Quantity]]*(1+20%)),0)</f>
        <v>12</v>
      </c>
      <c r="AI11" s="55">
        <f>Table1[[#This Row],[Quantity increase by 20%]]*Table1[[#This Row],[UnitPrice]]</f>
        <v>8926.2744000000002</v>
      </c>
      <c r="AJ11" s="32">
        <f>ROUNDDOWN(Table1[[#This Row],[Quantity]]*(1+20%),0)</f>
        <v>12</v>
      </c>
      <c r="AK11" s="55">
        <f>Table1[[#This Row],[UnitCost]]*(1+15%)</f>
        <v>566.51299999999992</v>
      </c>
      <c r="AL11" s="58">
        <f>Table1[[#This Row],[Quantity]]*Table1[[#This Row],[Cost of unit by inflation 15%]]</f>
        <v>5665.1299999999992</v>
      </c>
    </row>
    <row r="17" spans="6:7" x14ac:dyDescent="0.35">
      <c r="F17" s="18" t="s">
        <v>1435</v>
      </c>
      <c r="G17" t="s">
        <v>1441</v>
      </c>
    </row>
    <row r="18" spans="6:7" x14ac:dyDescent="0.35">
      <c r="F18" s="19" t="s">
        <v>791</v>
      </c>
      <c r="G18" s="9">
        <v>110456.766</v>
      </c>
    </row>
    <row r="19" spans="6:7" x14ac:dyDescent="0.35">
      <c r="F19" s="19" t="s">
        <v>1195</v>
      </c>
      <c r="G19" s="9">
        <v>84136.119600000005</v>
      </c>
    </row>
    <row r="20" spans="6:7" x14ac:dyDescent="0.35">
      <c r="F20" s="19" t="s">
        <v>968</v>
      </c>
      <c r="G20" s="9">
        <v>139277.83032000001</v>
      </c>
    </row>
    <row r="21" spans="6:7" x14ac:dyDescent="0.35">
      <c r="F21" s="19" t="s">
        <v>1093</v>
      </c>
      <c r="G21" s="9">
        <v>82514.711519999997</v>
      </c>
    </row>
    <row r="22" spans="6:7" x14ac:dyDescent="0.35">
      <c r="F22" s="19" t="s">
        <v>1152</v>
      </c>
      <c r="G22" s="9">
        <v>102122.94203999999</v>
      </c>
    </row>
    <row r="23" spans="6:7" x14ac:dyDescent="0.35">
      <c r="F23" s="19" t="s">
        <v>872</v>
      </c>
      <c r="G23" s="9">
        <v>87404.929919999995</v>
      </c>
    </row>
    <row r="24" spans="6:7" x14ac:dyDescent="0.35">
      <c r="F24" s="19" t="s">
        <v>897</v>
      </c>
      <c r="G24" s="9">
        <v>85637.740319999997</v>
      </c>
    </row>
    <row r="25" spans="6:7" x14ac:dyDescent="0.35">
      <c r="F25" s="19" t="s">
        <v>907</v>
      </c>
      <c r="G25" s="9">
        <v>92715.25</v>
      </c>
    </row>
    <row r="26" spans="6:7" x14ac:dyDescent="0.35">
      <c r="F26" s="19" t="s">
        <v>1436</v>
      </c>
      <c r="G26" s="9">
        <v>784266.28972</v>
      </c>
    </row>
  </sheetData>
  <conditionalFormatting sqref="A1:R11">
    <cfRule type="expression" dxfId="0" priority="1">
      <formula>"IF($M:$M&lt;$L:$L)"</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Metadata/LabelInfo.xml><?xml version="1.0" encoding="utf-8"?>
<clbl:labelList xmlns:clbl="http://schemas.microsoft.com/office/2020/mipLabelMetadata">
  <clbl:label id="{0067311d-9052-48b6-9c57-4f74035921de}" enabled="1" method="Privileged" siteId="{98fd8132-b015-4e55-8d37-09bc8122e2a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Orders_per_month</vt:lpstr>
      <vt:lpstr>Gross_profit_by_SP</vt:lpstr>
      <vt:lpstr>OnlineVsRetail</vt:lpstr>
      <vt:lpstr>PCT_of_7day_Lead_time</vt:lpstr>
      <vt:lpstr>Dashboard</vt:lpstr>
      <vt:lpstr>Disc greater than 20%</vt:lpstr>
      <vt:lpstr>Revenue_By_Country</vt:lpstr>
      <vt:lpstr>Total Revenue by Region</vt:lpstr>
      <vt:lpstr>Total Revenue by channel</vt:lpstr>
      <vt:lpstr>Total Revenue by category</vt:lpstr>
      <vt:lpstr>Total orders per month</vt:lpstr>
      <vt:lpstr>Total revenue by sales person</vt:lpstr>
      <vt:lpstr>Data</vt:lpstr>
      <vt:lpstr>Cohort_Analysis</vt:lpstr>
      <vt:lpstr>Brief</vt:lpstr>
      <vt:lpstr>Scenario_Analysis</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Administrator</cp:lastModifiedBy>
  <dcterms:created xsi:type="dcterms:W3CDTF">2025-09-28T10:49:35Z</dcterms:created>
  <dcterms:modified xsi:type="dcterms:W3CDTF">2026-02-01T18:53:54Z</dcterms:modified>
</cp:coreProperties>
</file>